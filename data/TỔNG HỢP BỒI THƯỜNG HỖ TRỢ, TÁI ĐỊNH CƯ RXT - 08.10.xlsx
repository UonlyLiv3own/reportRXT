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W:\TOKETOAN-LUU\26. PHUONGTHUY\1. RACHXUYENTAM\Báo cáo\14-9\"/>
    </mc:Choice>
  </mc:AlternateContent>
  <xr:revisionPtr revIDLastSave="0" documentId="13_ncr:1_{BAE552D6-47D5-4B1A-9561-6AA211ED72D1}" xr6:coauthVersionLast="47" xr6:coauthVersionMax="47" xr10:uidLastSave="{00000000-0000-0000-0000-000000000000}"/>
  <bookViews>
    <workbookView xWindow="-108" yWindow="-108" windowWidth="19416" windowHeight="10416" xr2:uid="{8C0F3874-F474-44B0-802F-F6AC8CBA13CA}"/>
  </bookViews>
  <sheets>
    <sheet name="Tổng hơp RXT - Bình Thạnh" sheetId="1" r:id="rId1"/>
    <sheet name="Tổng hơp RXT - Bình Thạnh (2)" sheetId="3" r:id="rId2"/>
    <sheet name="Tạm cư " sheetId="2" r:id="rId3"/>
  </sheets>
  <definedNames>
    <definedName name="_xlnm._FilterDatabase" localSheetId="2" hidden="1">'Tạm cư '!$A$13:$AS$926</definedName>
    <definedName name="_xlnm._FilterDatabase" localSheetId="0" hidden="1">'Tổng hơp RXT - Bình Thạnh'!$A$13:$AS$897</definedName>
    <definedName name="_xlnm._FilterDatabase" localSheetId="1" hidden="1">'Tổng hơp RXT - Bình Thạnh (2)'!$A$4:$AS$888</definedName>
    <definedName name="_xlnm.Print_Titles" localSheetId="2">'Tạm cư '!$10:$11</definedName>
    <definedName name="_xlnm.Print_Titles" localSheetId="0">'Tổng hơp RXT - Bình Thạnh'!$10:$11</definedName>
    <definedName name="_xlnm.Print_Titles" localSheetId="1">'Tổng hơp RXT - Bình Thạnh (2)'!$1:$2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888" i="3" l="1"/>
  <c r="Z888" i="3"/>
  <c r="Y888" i="3"/>
  <c r="X888" i="3"/>
  <c r="Q888" i="3"/>
  <c r="AC887" i="3"/>
  <c r="Z887" i="3"/>
  <c r="Y887" i="3"/>
  <c r="X887" i="3"/>
  <c r="Q887" i="3"/>
  <c r="AC886" i="3"/>
  <c r="Z886" i="3"/>
  <c r="Y886" i="3"/>
  <c r="X886" i="3"/>
  <c r="Q886" i="3"/>
  <c r="AC885" i="3"/>
  <c r="Z885" i="3"/>
  <c r="Y885" i="3"/>
  <c r="X885" i="3"/>
  <c r="Q885" i="3"/>
  <c r="AC884" i="3"/>
  <c r="Z884" i="3"/>
  <c r="Y884" i="3"/>
  <c r="X884" i="3"/>
  <c r="Q884" i="3"/>
  <c r="AC883" i="3"/>
  <c r="Z883" i="3"/>
  <c r="Y883" i="3"/>
  <c r="X883" i="3"/>
  <c r="Q883" i="3"/>
  <c r="AC882" i="3"/>
  <c r="Z882" i="3"/>
  <c r="Y882" i="3"/>
  <c r="X882" i="3"/>
  <c r="Q882" i="3"/>
  <c r="AC881" i="3"/>
  <c r="Z881" i="3"/>
  <c r="Y881" i="3"/>
  <c r="X881" i="3"/>
  <c r="Q881" i="3"/>
  <c r="AC880" i="3"/>
  <c r="Z880" i="3"/>
  <c r="Y880" i="3"/>
  <c r="X880" i="3"/>
  <c r="Q880" i="3"/>
  <c r="AC50" i="3"/>
  <c r="Z50" i="3"/>
  <c r="Y50" i="3"/>
  <c r="X50" i="3"/>
  <c r="Q50" i="3"/>
  <c r="AC879" i="3"/>
  <c r="Z879" i="3"/>
  <c r="Y879" i="3"/>
  <c r="X879" i="3"/>
  <c r="Q879" i="3"/>
  <c r="AC49" i="3"/>
  <c r="Z49" i="3"/>
  <c r="Y49" i="3"/>
  <c r="X49" i="3"/>
  <c r="Q49" i="3"/>
  <c r="AC31" i="3"/>
  <c r="Z31" i="3"/>
  <c r="Y31" i="3"/>
  <c r="X31" i="3"/>
  <c r="Q31" i="3"/>
  <c r="AC878" i="3"/>
  <c r="Z878" i="3"/>
  <c r="Y878" i="3"/>
  <c r="X878" i="3"/>
  <c r="Q878" i="3"/>
  <c r="AC198" i="3"/>
  <c r="Z198" i="3"/>
  <c r="Y198" i="3"/>
  <c r="X198" i="3"/>
  <c r="Q198" i="3"/>
  <c r="AC877" i="3"/>
  <c r="Z877" i="3"/>
  <c r="Y877" i="3"/>
  <c r="X877" i="3"/>
  <c r="Q877" i="3"/>
  <c r="AC115" i="3"/>
  <c r="Z115" i="3"/>
  <c r="Y115" i="3"/>
  <c r="X115" i="3"/>
  <c r="Q115" i="3"/>
  <c r="AC876" i="3"/>
  <c r="Z876" i="3"/>
  <c r="Y876" i="3"/>
  <c r="X876" i="3"/>
  <c r="Q876" i="3"/>
  <c r="AC875" i="3"/>
  <c r="Z875" i="3"/>
  <c r="Y875" i="3"/>
  <c r="X875" i="3"/>
  <c r="Q875" i="3"/>
  <c r="AC164" i="3"/>
  <c r="Z164" i="3"/>
  <c r="Y164" i="3"/>
  <c r="X164" i="3"/>
  <c r="Q164" i="3"/>
  <c r="AC70" i="3"/>
  <c r="Z70" i="3"/>
  <c r="Y70" i="3"/>
  <c r="X70" i="3"/>
  <c r="Q70" i="3"/>
  <c r="AC874" i="3"/>
  <c r="Z874" i="3"/>
  <c r="Y874" i="3"/>
  <c r="X874" i="3"/>
  <c r="Q874" i="3"/>
  <c r="AC67" i="3"/>
  <c r="Z67" i="3"/>
  <c r="Y67" i="3"/>
  <c r="X67" i="3"/>
  <c r="Q67" i="3"/>
  <c r="AC873" i="3"/>
  <c r="Z873" i="3"/>
  <c r="Y873" i="3"/>
  <c r="X873" i="3"/>
  <c r="Q873" i="3"/>
  <c r="AC872" i="3"/>
  <c r="Z872" i="3"/>
  <c r="Y872" i="3"/>
  <c r="X872" i="3"/>
  <c r="Q872" i="3"/>
  <c r="AC181" i="3"/>
  <c r="Z181" i="3"/>
  <c r="Y181" i="3"/>
  <c r="X181" i="3"/>
  <c r="Q181" i="3"/>
  <c r="AC871" i="3"/>
  <c r="Z871" i="3"/>
  <c r="Y871" i="3"/>
  <c r="X871" i="3"/>
  <c r="Q871" i="3"/>
  <c r="AC142" i="3"/>
  <c r="Z142" i="3"/>
  <c r="Y142" i="3"/>
  <c r="X142" i="3"/>
  <c r="Q142" i="3"/>
  <c r="AC870" i="3"/>
  <c r="Z870" i="3"/>
  <c r="Y870" i="3"/>
  <c r="X870" i="3"/>
  <c r="Q870" i="3"/>
  <c r="AC869" i="3"/>
  <c r="Z869" i="3"/>
  <c r="Y869" i="3"/>
  <c r="X869" i="3"/>
  <c r="Q869" i="3"/>
  <c r="AC120" i="3"/>
  <c r="Z120" i="3"/>
  <c r="Y120" i="3"/>
  <c r="X120" i="3"/>
  <c r="Q120" i="3"/>
  <c r="AC204" i="3"/>
  <c r="Z204" i="3"/>
  <c r="Y204" i="3"/>
  <c r="X204" i="3"/>
  <c r="Q204" i="3"/>
  <c r="AC868" i="3"/>
  <c r="Z868" i="3"/>
  <c r="Y868" i="3"/>
  <c r="X868" i="3"/>
  <c r="Q868" i="3"/>
  <c r="AC867" i="3"/>
  <c r="Z867" i="3"/>
  <c r="Y867" i="3"/>
  <c r="X867" i="3"/>
  <c r="Q867" i="3"/>
  <c r="AC79" i="3"/>
  <c r="Z79" i="3"/>
  <c r="Y79" i="3"/>
  <c r="X79" i="3"/>
  <c r="Q79" i="3"/>
  <c r="AC183" i="3"/>
  <c r="Z183" i="3"/>
  <c r="Y183" i="3"/>
  <c r="X183" i="3"/>
  <c r="Q183" i="3"/>
  <c r="AC154" i="3"/>
  <c r="Z154" i="3"/>
  <c r="Y154" i="3"/>
  <c r="X154" i="3"/>
  <c r="Q154" i="3"/>
  <c r="AC197" i="3"/>
  <c r="Z197" i="3"/>
  <c r="Y197" i="3"/>
  <c r="X197" i="3"/>
  <c r="Q197" i="3"/>
  <c r="AC186" i="3"/>
  <c r="Z186" i="3"/>
  <c r="Y186" i="3"/>
  <c r="X186" i="3"/>
  <c r="Q186" i="3"/>
  <c r="AC866" i="3"/>
  <c r="Z866" i="3"/>
  <c r="Y866" i="3"/>
  <c r="X866" i="3"/>
  <c r="Q866" i="3"/>
  <c r="AC865" i="3"/>
  <c r="Z865" i="3"/>
  <c r="Y865" i="3"/>
  <c r="X865" i="3"/>
  <c r="Q865" i="3"/>
  <c r="AC93" i="3"/>
  <c r="Z93" i="3"/>
  <c r="Y93" i="3"/>
  <c r="X93" i="3"/>
  <c r="Q93" i="3"/>
  <c r="AC864" i="3"/>
  <c r="Z864" i="3"/>
  <c r="Y864" i="3"/>
  <c r="X864" i="3"/>
  <c r="Q864" i="3"/>
  <c r="AC863" i="3"/>
  <c r="Z863" i="3"/>
  <c r="Y863" i="3"/>
  <c r="X863" i="3"/>
  <c r="Q863" i="3"/>
  <c r="AC862" i="3"/>
  <c r="Z862" i="3"/>
  <c r="Y862" i="3"/>
  <c r="X862" i="3"/>
  <c r="Q862" i="3"/>
  <c r="AC861" i="3"/>
  <c r="Z861" i="3"/>
  <c r="Y861" i="3"/>
  <c r="X861" i="3"/>
  <c r="Q861" i="3"/>
  <c r="AC29" i="3"/>
  <c r="Z29" i="3"/>
  <c r="Y29" i="3"/>
  <c r="X29" i="3"/>
  <c r="Q29" i="3"/>
  <c r="AC860" i="3"/>
  <c r="Z860" i="3"/>
  <c r="Y860" i="3"/>
  <c r="X860" i="3"/>
  <c r="Q860" i="3"/>
  <c r="AC859" i="3"/>
  <c r="Z859" i="3"/>
  <c r="Y859" i="3"/>
  <c r="X859" i="3"/>
  <c r="Q859" i="3"/>
  <c r="AC858" i="3"/>
  <c r="Z858" i="3"/>
  <c r="Y858" i="3"/>
  <c r="X858" i="3"/>
  <c r="Q858" i="3"/>
  <c r="AC857" i="3"/>
  <c r="Z857" i="3"/>
  <c r="Y857" i="3"/>
  <c r="X857" i="3"/>
  <c r="Q857" i="3"/>
  <c r="AC856" i="3"/>
  <c r="Z856" i="3"/>
  <c r="Y856" i="3"/>
  <c r="X856" i="3"/>
  <c r="Q856" i="3"/>
  <c r="AC855" i="3"/>
  <c r="Z855" i="3"/>
  <c r="Y855" i="3"/>
  <c r="X855" i="3"/>
  <c r="Q855" i="3"/>
  <c r="AC90" i="3"/>
  <c r="Z90" i="3"/>
  <c r="Y90" i="3"/>
  <c r="X90" i="3"/>
  <c r="Q90" i="3"/>
  <c r="AC854" i="3"/>
  <c r="Z854" i="3"/>
  <c r="Y854" i="3"/>
  <c r="X854" i="3"/>
  <c r="Q854" i="3"/>
  <c r="AC853" i="3"/>
  <c r="Z853" i="3"/>
  <c r="Y853" i="3"/>
  <c r="X853" i="3"/>
  <c r="Q853" i="3"/>
  <c r="AC45" i="3"/>
  <c r="Z45" i="3"/>
  <c r="Y45" i="3"/>
  <c r="X45" i="3"/>
  <c r="Q45" i="3"/>
  <c r="AC852" i="3"/>
  <c r="Z852" i="3"/>
  <c r="Y852" i="3"/>
  <c r="X852" i="3"/>
  <c r="Q852" i="3"/>
  <c r="AC188" i="3"/>
  <c r="Z188" i="3"/>
  <c r="Y188" i="3"/>
  <c r="X188" i="3"/>
  <c r="Q188" i="3"/>
  <c r="AC851" i="3"/>
  <c r="Z851" i="3"/>
  <c r="Y851" i="3"/>
  <c r="X851" i="3"/>
  <c r="Q851" i="3"/>
  <c r="AC114" i="3"/>
  <c r="Z114" i="3"/>
  <c r="Y114" i="3"/>
  <c r="X114" i="3"/>
  <c r="Q114" i="3"/>
  <c r="AC63" i="3"/>
  <c r="Z63" i="3"/>
  <c r="Y63" i="3"/>
  <c r="X63" i="3"/>
  <c r="Q63" i="3"/>
  <c r="AC44" i="3"/>
  <c r="Z44" i="3"/>
  <c r="Y44" i="3"/>
  <c r="X44" i="3"/>
  <c r="Q44" i="3"/>
  <c r="AC850" i="3"/>
  <c r="Z850" i="3"/>
  <c r="Y850" i="3"/>
  <c r="X850" i="3"/>
  <c r="Q850" i="3"/>
  <c r="AC849" i="3"/>
  <c r="Z849" i="3"/>
  <c r="Y849" i="3"/>
  <c r="X849" i="3"/>
  <c r="Q849" i="3"/>
  <c r="AC167" i="3"/>
  <c r="Z167" i="3"/>
  <c r="Y167" i="3"/>
  <c r="X167" i="3"/>
  <c r="Q167" i="3"/>
  <c r="AC848" i="3"/>
  <c r="Z848" i="3"/>
  <c r="Y848" i="3"/>
  <c r="X848" i="3"/>
  <c r="Q848" i="3"/>
  <c r="AC847" i="3"/>
  <c r="Z847" i="3"/>
  <c r="Y847" i="3"/>
  <c r="X847" i="3"/>
  <c r="Q847" i="3"/>
  <c r="AC113" i="3"/>
  <c r="Z113" i="3"/>
  <c r="Y113" i="3"/>
  <c r="X113" i="3"/>
  <c r="Q113" i="3"/>
  <c r="AC846" i="3"/>
  <c r="Z846" i="3"/>
  <c r="Y846" i="3"/>
  <c r="X846" i="3"/>
  <c r="Q846" i="3"/>
  <c r="AC845" i="3"/>
  <c r="Z845" i="3"/>
  <c r="Y845" i="3"/>
  <c r="X845" i="3"/>
  <c r="Q845" i="3"/>
  <c r="AC844" i="3"/>
  <c r="Z844" i="3"/>
  <c r="Y844" i="3"/>
  <c r="X844" i="3"/>
  <c r="Q844" i="3"/>
  <c r="AC9" i="3"/>
  <c r="Z9" i="3"/>
  <c r="Y9" i="3"/>
  <c r="X9" i="3"/>
  <c r="Q9" i="3"/>
  <c r="AC843" i="3"/>
  <c r="Z843" i="3"/>
  <c r="Y843" i="3"/>
  <c r="X843" i="3"/>
  <c r="Q843" i="3"/>
  <c r="AC842" i="3"/>
  <c r="Z842" i="3"/>
  <c r="Y842" i="3"/>
  <c r="X842" i="3"/>
  <c r="Q842" i="3"/>
  <c r="AC841" i="3"/>
  <c r="Z841" i="3"/>
  <c r="Y841" i="3"/>
  <c r="X841" i="3"/>
  <c r="Q841" i="3"/>
  <c r="AC19" i="3"/>
  <c r="Z19" i="3"/>
  <c r="Y19" i="3"/>
  <c r="X19" i="3"/>
  <c r="Q19" i="3"/>
  <c r="AC180" i="3"/>
  <c r="Z180" i="3"/>
  <c r="Y180" i="3"/>
  <c r="X180" i="3"/>
  <c r="Q180" i="3"/>
  <c r="AC182" i="3"/>
  <c r="Z182" i="3"/>
  <c r="Y182" i="3"/>
  <c r="X182" i="3"/>
  <c r="Q182" i="3"/>
  <c r="AC840" i="3"/>
  <c r="Z840" i="3"/>
  <c r="Y840" i="3"/>
  <c r="X840" i="3"/>
  <c r="Q840" i="3"/>
  <c r="AC163" i="3"/>
  <c r="Z163" i="3"/>
  <c r="Y163" i="3"/>
  <c r="X163" i="3"/>
  <c r="Q163" i="3"/>
  <c r="AC839" i="3"/>
  <c r="Z839" i="3"/>
  <c r="Y839" i="3"/>
  <c r="X839" i="3"/>
  <c r="Q839" i="3"/>
  <c r="AC46" i="3"/>
  <c r="Z46" i="3"/>
  <c r="Y46" i="3"/>
  <c r="X46" i="3"/>
  <c r="Q46" i="3"/>
  <c r="AC838" i="3"/>
  <c r="Z838" i="3"/>
  <c r="Y838" i="3"/>
  <c r="X838" i="3"/>
  <c r="Q838" i="3"/>
  <c r="AC153" i="3"/>
  <c r="Z153" i="3"/>
  <c r="Y153" i="3"/>
  <c r="X153" i="3"/>
  <c r="Q153" i="3"/>
  <c r="AC837" i="3"/>
  <c r="Z837" i="3"/>
  <c r="Y837" i="3"/>
  <c r="X837" i="3"/>
  <c r="Q837" i="3"/>
  <c r="AC836" i="3"/>
  <c r="Z836" i="3"/>
  <c r="Y836" i="3"/>
  <c r="X836" i="3"/>
  <c r="Q836" i="3"/>
  <c r="AC835" i="3"/>
  <c r="Z835" i="3"/>
  <c r="Y835" i="3"/>
  <c r="X835" i="3"/>
  <c r="Q835" i="3"/>
  <c r="AC179" i="3"/>
  <c r="Z179" i="3"/>
  <c r="Y179" i="3"/>
  <c r="X179" i="3"/>
  <c r="Q179" i="3"/>
  <c r="AC62" i="3"/>
  <c r="Z62" i="3"/>
  <c r="Y62" i="3"/>
  <c r="X62" i="3"/>
  <c r="Q62" i="3"/>
  <c r="AC834" i="3"/>
  <c r="Z834" i="3"/>
  <c r="Y834" i="3"/>
  <c r="X834" i="3"/>
  <c r="Q834" i="3"/>
  <c r="AC833" i="3"/>
  <c r="Z833" i="3"/>
  <c r="Y833" i="3"/>
  <c r="X833" i="3"/>
  <c r="Q833" i="3"/>
  <c r="AC832" i="3"/>
  <c r="Z832" i="3"/>
  <c r="Y832" i="3"/>
  <c r="X832" i="3"/>
  <c r="Q832" i="3"/>
  <c r="AC831" i="3"/>
  <c r="Z831" i="3"/>
  <c r="Y831" i="3"/>
  <c r="X831" i="3"/>
  <c r="Q831" i="3"/>
  <c r="AC196" i="3"/>
  <c r="Z196" i="3"/>
  <c r="Y196" i="3"/>
  <c r="X196" i="3"/>
  <c r="Q196" i="3"/>
  <c r="AC830" i="3"/>
  <c r="Z830" i="3"/>
  <c r="Y830" i="3"/>
  <c r="X830" i="3"/>
  <c r="Q830" i="3"/>
  <c r="AC829" i="3"/>
  <c r="Z829" i="3"/>
  <c r="Y829" i="3"/>
  <c r="X829" i="3"/>
  <c r="Q829" i="3"/>
  <c r="AC21" i="3"/>
  <c r="Z21" i="3"/>
  <c r="Y21" i="3"/>
  <c r="X21" i="3"/>
  <c r="Q21" i="3"/>
  <c r="AC52" i="3"/>
  <c r="Z52" i="3"/>
  <c r="Y52" i="3"/>
  <c r="X52" i="3"/>
  <c r="Q52" i="3"/>
  <c r="AC828" i="3"/>
  <c r="Z828" i="3"/>
  <c r="Y828" i="3"/>
  <c r="X828" i="3"/>
  <c r="Q828" i="3"/>
  <c r="AC827" i="3"/>
  <c r="Z827" i="3"/>
  <c r="Y827" i="3"/>
  <c r="X827" i="3"/>
  <c r="Q827" i="3"/>
  <c r="AC30" i="3"/>
  <c r="Z30" i="3"/>
  <c r="Y30" i="3"/>
  <c r="X30" i="3"/>
  <c r="Q30" i="3"/>
  <c r="AC826" i="3"/>
  <c r="Z826" i="3"/>
  <c r="Y826" i="3"/>
  <c r="X826" i="3"/>
  <c r="Q826" i="3"/>
  <c r="AC43" i="3"/>
  <c r="Z43" i="3"/>
  <c r="Y43" i="3"/>
  <c r="X43" i="3"/>
  <c r="Q43" i="3"/>
  <c r="AC78" i="3"/>
  <c r="Z78" i="3"/>
  <c r="Y78" i="3"/>
  <c r="X78" i="3"/>
  <c r="Q78" i="3"/>
  <c r="AC825" i="3"/>
  <c r="Z825" i="3"/>
  <c r="Y825" i="3"/>
  <c r="X825" i="3"/>
  <c r="Q825" i="3"/>
  <c r="AC18" i="3"/>
  <c r="Z18" i="3"/>
  <c r="Y18" i="3"/>
  <c r="X18" i="3"/>
  <c r="Q18" i="3"/>
  <c r="AC75" i="3"/>
  <c r="Z75" i="3"/>
  <c r="Y75" i="3"/>
  <c r="X75" i="3"/>
  <c r="Q75" i="3"/>
  <c r="AC824" i="3"/>
  <c r="Z824" i="3"/>
  <c r="Y824" i="3"/>
  <c r="X824" i="3"/>
  <c r="Q824" i="3"/>
  <c r="AC8" i="3"/>
  <c r="Z8" i="3"/>
  <c r="Y8" i="3"/>
  <c r="X8" i="3"/>
  <c r="Q8" i="3"/>
  <c r="AC823" i="3"/>
  <c r="Z823" i="3"/>
  <c r="Y823" i="3"/>
  <c r="X823" i="3"/>
  <c r="Q823" i="3"/>
  <c r="AC822" i="3"/>
  <c r="Z822" i="3"/>
  <c r="Y822" i="3"/>
  <c r="X822" i="3"/>
  <c r="Q822" i="3"/>
  <c r="AC821" i="3"/>
  <c r="Z821" i="3"/>
  <c r="Y821" i="3"/>
  <c r="X821" i="3"/>
  <c r="Q821" i="3"/>
  <c r="AC820" i="3"/>
  <c r="Z820" i="3"/>
  <c r="Y820" i="3"/>
  <c r="X820" i="3"/>
  <c r="Q820" i="3"/>
  <c r="AC819" i="3"/>
  <c r="Z819" i="3"/>
  <c r="Y819" i="3"/>
  <c r="X819" i="3"/>
  <c r="Q819" i="3"/>
  <c r="AC818" i="3"/>
  <c r="Z818" i="3"/>
  <c r="Y818" i="3"/>
  <c r="X818" i="3"/>
  <c r="Q818" i="3"/>
  <c r="AC169" i="3"/>
  <c r="Z169" i="3"/>
  <c r="Y169" i="3"/>
  <c r="X169" i="3"/>
  <c r="Q169" i="3"/>
  <c r="AC83" i="3"/>
  <c r="Z83" i="3"/>
  <c r="Y83" i="3"/>
  <c r="X83" i="3"/>
  <c r="Q83" i="3"/>
  <c r="AC817" i="3"/>
  <c r="Z817" i="3"/>
  <c r="Y817" i="3"/>
  <c r="X817" i="3"/>
  <c r="Q817" i="3"/>
  <c r="AC816" i="3"/>
  <c r="Z816" i="3"/>
  <c r="Y816" i="3"/>
  <c r="X816" i="3"/>
  <c r="Q816" i="3"/>
  <c r="AC59" i="3"/>
  <c r="Z59" i="3"/>
  <c r="Y59" i="3"/>
  <c r="X59" i="3"/>
  <c r="Q59" i="3"/>
  <c r="AC195" i="3"/>
  <c r="Z195" i="3"/>
  <c r="Y195" i="3"/>
  <c r="X195" i="3"/>
  <c r="Q195" i="3"/>
  <c r="AC194" i="3"/>
  <c r="Z194" i="3"/>
  <c r="Y194" i="3"/>
  <c r="X194" i="3"/>
  <c r="Q194" i="3"/>
  <c r="AC815" i="3"/>
  <c r="Z815" i="3"/>
  <c r="Y815" i="3"/>
  <c r="X815" i="3"/>
  <c r="Q815" i="3"/>
  <c r="AC48" i="3"/>
  <c r="Z48" i="3"/>
  <c r="Y48" i="3"/>
  <c r="X48" i="3"/>
  <c r="Q48" i="3"/>
  <c r="AC814" i="3"/>
  <c r="Z814" i="3"/>
  <c r="Y814" i="3"/>
  <c r="X814" i="3"/>
  <c r="Q814" i="3"/>
  <c r="AC813" i="3"/>
  <c r="Z813" i="3"/>
  <c r="Y813" i="3"/>
  <c r="X813" i="3"/>
  <c r="Q813" i="3"/>
  <c r="AC812" i="3"/>
  <c r="Z812" i="3"/>
  <c r="Y812" i="3"/>
  <c r="X812" i="3"/>
  <c r="Q812" i="3"/>
  <c r="AC101" i="3"/>
  <c r="Z101" i="3"/>
  <c r="Y101" i="3"/>
  <c r="X101" i="3"/>
  <c r="Q101" i="3"/>
  <c r="AC22" i="3"/>
  <c r="Z22" i="3"/>
  <c r="Y22" i="3"/>
  <c r="X22" i="3"/>
  <c r="Q22" i="3"/>
  <c r="AC811" i="3"/>
  <c r="Z811" i="3"/>
  <c r="Y811" i="3"/>
  <c r="X811" i="3"/>
  <c r="Q811" i="3"/>
  <c r="AC810" i="3"/>
  <c r="Z810" i="3"/>
  <c r="Y810" i="3"/>
  <c r="X810" i="3"/>
  <c r="Q810" i="3"/>
  <c r="AC82" i="3"/>
  <c r="Z82" i="3"/>
  <c r="Y82" i="3"/>
  <c r="X82" i="3"/>
  <c r="Q82" i="3"/>
  <c r="AC809" i="3"/>
  <c r="Z809" i="3"/>
  <c r="Y809" i="3"/>
  <c r="X809" i="3"/>
  <c r="Q809" i="3"/>
  <c r="AC203" i="3"/>
  <c r="Z203" i="3"/>
  <c r="Y203" i="3"/>
  <c r="X203" i="3"/>
  <c r="Q203" i="3"/>
  <c r="AC126" i="3"/>
  <c r="Z126" i="3"/>
  <c r="Y126" i="3"/>
  <c r="X126" i="3"/>
  <c r="Q126" i="3"/>
  <c r="AC808" i="3"/>
  <c r="Z808" i="3"/>
  <c r="Y808" i="3"/>
  <c r="X808" i="3"/>
  <c r="Q808" i="3"/>
  <c r="AC202" i="3"/>
  <c r="Z202" i="3"/>
  <c r="Y202" i="3"/>
  <c r="X202" i="3"/>
  <c r="Q202" i="3"/>
  <c r="AC178" i="3"/>
  <c r="Z178" i="3"/>
  <c r="Y178" i="3"/>
  <c r="X178" i="3"/>
  <c r="Q178" i="3"/>
  <c r="AC175" i="3"/>
  <c r="Z175" i="3"/>
  <c r="Y175" i="3"/>
  <c r="X175" i="3"/>
  <c r="Q175" i="3"/>
  <c r="AC69" i="3"/>
  <c r="Z69" i="3"/>
  <c r="Y69" i="3"/>
  <c r="X69" i="3"/>
  <c r="Q69" i="3"/>
  <c r="AC201" i="3"/>
  <c r="Z201" i="3"/>
  <c r="Y201" i="3"/>
  <c r="X201" i="3"/>
  <c r="Q201" i="3"/>
  <c r="AC807" i="3"/>
  <c r="Z807" i="3"/>
  <c r="Y807" i="3"/>
  <c r="X807" i="3"/>
  <c r="Q807" i="3"/>
  <c r="AC806" i="3"/>
  <c r="Z806" i="3"/>
  <c r="Y806" i="3"/>
  <c r="X806" i="3"/>
  <c r="Q806" i="3"/>
  <c r="AC805" i="3"/>
  <c r="Z805" i="3"/>
  <c r="Y805" i="3"/>
  <c r="X805" i="3"/>
  <c r="Q805" i="3"/>
  <c r="AC804" i="3"/>
  <c r="Z804" i="3"/>
  <c r="Y804" i="3"/>
  <c r="X804" i="3"/>
  <c r="Q804" i="3"/>
  <c r="AC803" i="3"/>
  <c r="Z803" i="3"/>
  <c r="Y803" i="3"/>
  <c r="X803" i="3"/>
  <c r="Q803" i="3"/>
  <c r="AC802" i="3"/>
  <c r="Z802" i="3"/>
  <c r="Y802" i="3"/>
  <c r="X802" i="3"/>
  <c r="Q802" i="3"/>
  <c r="AC801" i="3"/>
  <c r="Z801" i="3"/>
  <c r="Y801" i="3"/>
  <c r="X801" i="3"/>
  <c r="Q801" i="3"/>
  <c r="AC172" i="3"/>
  <c r="Z172" i="3"/>
  <c r="Y172" i="3"/>
  <c r="X172" i="3"/>
  <c r="Q172" i="3"/>
  <c r="AC800" i="3"/>
  <c r="Z800" i="3"/>
  <c r="Y800" i="3"/>
  <c r="X800" i="3"/>
  <c r="Q800" i="3"/>
  <c r="AC64" i="3"/>
  <c r="Z64" i="3"/>
  <c r="Y64" i="3"/>
  <c r="X64" i="3"/>
  <c r="Q64" i="3"/>
  <c r="AC37" i="3"/>
  <c r="Z37" i="3"/>
  <c r="Y37" i="3"/>
  <c r="X37" i="3"/>
  <c r="Q37" i="3"/>
  <c r="AC799" i="3"/>
  <c r="Z799" i="3"/>
  <c r="Y799" i="3"/>
  <c r="X799" i="3"/>
  <c r="Q799" i="3"/>
  <c r="AC174" i="3"/>
  <c r="Z174" i="3"/>
  <c r="Y174" i="3"/>
  <c r="X174" i="3"/>
  <c r="Q174" i="3"/>
  <c r="AC798" i="3"/>
  <c r="Z798" i="3"/>
  <c r="Y798" i="3"/>
  <c r="X798" i="3"/>
  <c r="Q798" i="3"/>
  <c r="AC151" i="3"/>
  <c r="Z151" i="3"/>
  <c r="Y151" i="3"/>
  <c r="X151" i="3"/>
  <c r="Q151" i="3"/>
  <c r="AC797" i="3"/>
  <c r="Z797" i="3"/>
  <c r="Y797" i="3"/>
  <c r="X797" i="3"/>
  <c r="Q797" i="3"/>
  <c r="AC168" i="3"/>
  <c r="Z168" i="3"/>
  <c r="Y168" i="3"/>
  <c r="X168" i="3"/>
  <c r="Q168" i="3"/>
  <c r="AC150" i="3"/>
  <c r="Z150" i="3"/>
  <c r="Y150" i="3"/>
  <c r="X150" i="3"/>
  <c r="Q150" i="3"/>
  <c r="AC796" i="3"/>
  <c r="Z796" i="3"/>
  <c r="Y796" i="3"/>
  <c r="X796" i="3"/>
  <c r="Q796" i="3"/>
  <c r="AC795" i="3"/>
  <c r="Z795" i="3"/>
  <c r="Y795" i="3"/>
  <c r="X795" i="3"/>
  <c r="Q795" i="3"/>
  <c r="AC794" i="3"/>
  <c r="Z794" i="3"/>
  <c r="Y794" i="3"/>
  <c r="X794" i="3"/>
  <c r="Q794" i="3"/>
  <c r="AC793" i="3"/>
  <c r="Z793" i="3"/>
  <c r="Y793" i="3"/>
  <c r="X793" i="3"/>
  <c r="Q793" i="3"/>
  <c r="AC792" i="3"/>
  <c r="Z792" i="3"/>
  <c r="Y792" i="3"/>
  <c r="X792" i="3"/>
  <c r="Q792" i="3"/>
  <c r="AC32" i="3"/>
  <c r="Z32" i="3"/>
  <c r="Y32" i="3"/>
  <c r="X32" i="3"/>
  <c r="Q32" i="3"/>
  <c r="AC791" i="3"/>
  <c r="Z791" i="3"/>
  <c r="Y791" i="3"/>
  <c r="X791" i="3"/>
  <c r="Q791" i="3"/>
  <c r="AC162" i="3"/>
  <c r="Z162" i="3"/>
  <c r="Y162" i="3"/>
  <c r="X162" i="3"/>
  <c r="Q162" i="3"/>
  <c r="AC790" i="3"/>
  <c r="Z790" i="3"/>
  <c r="Y790" i="3"/>
  <c r="X790" i="3"/>
  <c r="Q790" i="3"/>
  <c r="AC789" i="3"/>
  <c r="Z789" i="3"/>
  <c r="Y789" i="3"/>
  <c r="X789" i="3"/>
  <c r="Q789" i="3"/>
  <c r="AC788" i="3"/>
  <c r="Z788" i="3"/>
  <c r="Y788" i="3"/>
  <c r="X788" i="3"/>
  <c r="Q788" i="3"/>
  <c r="AC787" i="3"/>
  <c r="Z787" i="3"/>
  <c r="Y787" i="3"/>
  <c r="X787" i="3"/>
  <c r="Q787" i="3"/>
  <c r="AC786" i="3"/>
  <c r="Z786" i="3"/>
  <c r="Y786" i="3"/>
  <c r="X786" i="3"/>
  <c r="Q786" i="3"/>
  <c r="AC68" i="3"/>
  <c r="Z68" i="3"/>
  <c r="Y68" i="3"/>
  <c r="X68" i="3"/>
  <c r="Q68" i="3"/>
  <c r="AC42" i="3"/>
  <c r="Z42" i="3"/>
  <c r="Y42" i="3"/>
  <c r="X42" i="3"/>
  <c r="Q42" i="3"/>
  <c r="AC785" i="3"/>
  <c r="Z785" i="3"/>
  <c r="Y785" i="3"/>
  <c r="X785" i="3"/>
  <c r="Q785" i="3"/>
  <c r="AC11" i="3"/>
  <c r="Z11" i="3"/>
  <c r="Y11" i="3"/>
  <c r="X11" i="3"/>
  <c r="Q11" i="3"/>
  <c r="AC784" i="3"/>
  <c r="Z784" i="3"/>
  <c r="Y784" i="3"/>
  <c r="X784" i="3"/>
  <c r="Q784" i="3"/>
  <c r="AC783" i="3"/>
  <c r="Z783" i="3"/>
  <c r="Y783" i="3"/>
  <c r="X783" i="3"/>
  <c r="Q783" i="3"/>
  <c r="AC782" i="3"/>
  <c r="Z782" i="3"/>
  <c r="Y782" i="3"/>
  <c r="X782" i="3"/>
  <c r="Q782" i="3"/>
  <c r="AC781" i="3"/>
  <c r="Z781" i="3"/>
  <c r="Y781" i="3"/>
  <c r="X781" i="3"/>
  <c r="Q781" i="3"/>
  <c r="AC28" i="3"/>
  <c r="Z28" i="3"/>
  <c r="Y28" i="3"/>
  <c r="X28" i="3"/>
  <c r="Q28" i="3"/>
  <c r="AC88" i="3"/>
  <c r="Z88" i="3"/>
  <c r="Y88" i="3"/>
  <c r="X88" i="3"/>
  <c r="Q88" i="3"/>
  <c r="AC157" i="3"/>
  <c r="Z157" i="3"/>
  <c r="Y157" i="3"/>
  <c r="X157" i="3"/>
  <c r="Q157" i="3"/>
  <c r="AC149" i="3"/>
  <c r="Z149" i="3"/>
  <c r="Y149" i="3"/>
  <c r="X149" i="3"/>
  <c r="Q149" i="3"/>
  <c r="AC780" i="3"/>
  <c r="Z780" i="3"/>
  <c r="Y780" i="3"/>
  <c r="X780" i="3"/>
  <c r="Q780" i="3"/>
  <c r="AC39" i="3"/>
  <c r="Z39" i="3"/>
  <c r="Y39" i="3"/>
  <c r="X39" i="3"/>
  <c r="Q39" i="3"/>
  <c r="AC779" i="3"/>
  <c r="Z779" i="3"/>
  <c r="Y779" i="3"/>
  <c r="X779" i="3"/>
  <c r="Q779" i="3"/>
  <c r="AC171" i="3"/>
  <c r="Z171" i="3"/>
  <c r="Y171" i="3"/>
  <c r="X171" i="3"/>
  <c r="Q171" i="3"/>
  <c r="AC778" i="3"/>
  <c r="Z778" i="3"/>
  <c r="Y778" i="3"/>
  <c r="X778" i="3"/>
  <c r="Q778" i="3"/>
  <c r="AC777" i="3"/>
  <c r="Z777" i="3"/>
  <c r="Y777" i="3"/>
  <c r="X777" i="3"/>
  <c r="Q777" i="3"/>
  <c r="AC776" i="3"/>
  <c r="Z776" i="3"/>
  <c r="Y776" i="3"/>
  <c r="X776" i="3"/>
  <c r="Q776" i="3"/>
  <c r="AC26" i="3"/>
  <c r="Z26" i="3"/>
  <c r="Y26" i="3"/>
  <c r="X26" i="3"/>
  <c r="Q26" i="3"/>
  <c r="AC775" i="3"/>
  <c r="Z775" i="3"/>
  <c r="Y775" i="3"/>
  <c r="X775" i="3"/>
  <c r="Q775" i="3"/>
  <c r="AC161" i="3"/>
  <c r="Z161" i="3"/>
  <c r="Y161" i="3"/>
  <c r="X161" i="3"/>
  <c r="Q161" i="3"/>
  <c r="AC7" i="3"/>
  <c r="Z7" i="3"/>
  <c r="Y7" i="3"/>
  <c r="X7" i="3"/>
  <c r="Q7" i="3"/>
  <c r="AC87" i="3"/>
  <c r="Z87" i="3"/>
  <c r="Y87" i="3"/>
  <c r="X87" i="3"/>
  <c r="Q87" i="3"/>
  <c r="AC774" i="3"/>
  <c r="Z774" i="3"/>
  <c r="Y774" i="3"/>
  <c r="X774" i="3"/>
  <c r="Q774" i="3"/>
  <c r="AC773" i="3"/>
  <c r="Z773" i="3"/>
  <c r="Y773" i="3"/>
  <c r="X773" i="3"/>
  <c r="Q773" i="3"/>
  <c r="AC112" i="3"/>
  <c r="Z112" i="3"/>
  <c r="Y112" i="3"/>
  <c r="X112" i="3"/>
  <c r="Q112" i="3"/>
  <c r="AC152" i="3"/>
  <c r="Z152" i="3"/>
  <c r="Y152" i="3"/>
  <c r="X152" i="3"/>
  <c r="Q152" i="3"/>
  <c r="AC772" i="3"/>
  <c r="Z772" i="3"/>
  <c r="Y772" i="3"/>
  <c r="X772" i="3"/>
  <c r="Q772" i="3"/>
  <c r="AC771" i="3"/>
  <c r="Z771" i="3"/>
  <c r="Y771" i="3"/>
  <c r="X771" i="3"/>
  <c r="Q771" i="3"/>
  <c r="AC770" i="3"/>
  <c r="Z770" i="3"/>
  <c r="Y770" i="3"/>
  <c r="X770" i="3"/>
  <c r="Q770" i="3"/>
  <c r="AC769" i="3"/>
  <c r="Z769" i="3"/>
  <c r="Y769" i="3"/>
  <c r="X769" i="3"/>
  <c r="Q769" i="3"/>
  <c r="AC111" i="3"/>
  <c r="Z111" i="3"/>
  <c r="Y111" i="3"/>
  <c r="X111" i="3"/>
  <c r="Q111" i="3"/>
  <c r="AC768" i="3"/>
  <c r="Z768" i="3"/>
  <c r="Y768" i="3"/>
  <c r="X768" i="3"/>
  <c r="Q768" i="3"/>
  <c r="AC110" i="3"/>
  <c r="Z110" i="3"/>
  <c r="Y110" i="3"/>
  <c r="X110" i="3"/>
  <c r="Q110" i="3"/>
  <c r="AC109" i="3"/>
  <c r="Z109" i="3"/>
  <c r="Y109" i="3"/>
  <c r="X109" i="3"/>
  <c r="Q109" i="3"/>
  <c r="AC767" i="3"/>
  <c r="Z767" i="3"/>
  <c r="Y767" i="3"/>
  <c r="X767" i="3"/>
  <c r="Q767" i="3"/>
  <c r="AC766" i="3"/>
  <c r="Z766" i="3"/>
  <c r="Y766" i="3"/>
  <c r="X766" i="3"/>
  <c r="Q766" i="3"/>
  <c r="AC100" i="3"/>
  <c r="Z100" i="3"/>
  <c r="Y100" i="3"/>
  <c r="X100" i="3"/>
  <c r="Q100" i="3"/>
  <c r="AC765" i="3"/>
  <c r="Z765" i="3"/>
  <c r="Y765" i="3"/>
  <c r="X765" i="3"/>
  <c r="Q765" i="3"/>
  <c r="AC764" i="3"/>
  <c r="Z764" i="3"/>
  <c r="Y764" i="3"/>
  <c r="X764" i="3"/>
  <c r="Q764" i="3"/>
  <c r="AC763" i="3"/>
  <c r="Z763" i="3"/>
  <c r="Y763" i="3"/>
  <c r="X763" i="3"/>
  <c r="Q763" i="3"/>
  <c r="AC762" i="3"/>
  <c r="Z762" i="3"/>
  <c r="Y762" i="3"/>
  <c r="X762" i="3"/>
  <c r="Q762" i="3"/>
  <c r="AC89" i="3"/>
  <c r="Z89" i="3"/>
  <c r="Y89" i="3"/>
  <c r="X89" i="3"/>
  <c r="Q89" i="3"/>
  <c r="AC761" i="3"/>
  <c r="Z761" i="3"/>
  <c r="X761" i="3"/>
  <c r="O761" i="3"/>
  <c r="Y761" i="3" s="1"/>
  <c r="AC34" i="3"/>
  <c r="Z34" i="3"/>
  <c r="Y34" i="3"/>
  <c r="X34" i="3"/>
  <c r="Q34" i="3"/>
  <c r="AC760" i="3"/>
  <c r="Z760" i="3"/>
  <c r="Y760" i="3"/>
  <c r="X760" i="3"/>
  <c r="Q760" i="3"/>
  <c r="AC85" i="3"/>
  <c r="Z85" i="3"/>
  <c r="Y85" i="3"/>
  <c r="X85" i="3"/>
  <c r="Q85" i="3"/>
  <c r="AC759" i="3"/>
  <c r="Z759" i="3"/>
  <c r="Y759" i="3"/>
  <c r="X759" i="3"/>
  <c r="Q759" i="3"/>
  <c r="AC758" i="3"/>
  <c r="Z758" i="3"/>
  <c r="Y758" i="3"/>
  <c r="X758" i="3"/>
  <c r="Q758" i="3"/>
  <c r="AC757" i="3"/>
  <c r="Z757" i="3"/>
  <c r="Y757" i="3"/>
  <c r="X757" i="3"/>
  <c r="Q757" i="3"/>
  <c r="AC73" i="3"/>
  <c r="Z73" i="3"/>
  <c r="Y73" i="3"/>
  <c r="X73" i="3"/>
  <c r="Q73" i="3"/>
  <c r="AC756" i="3"/>
  <c r="Z756" i="3"/>
  <c r="Y756" i="3"/>
  <c r="X756" i="3"/>
  <c r="Q756" i="3"/>
  <c r="AC755" i="3"/>
  <c r="Z755" i="3"/>
  <c r="Y755" i="3"/>
  <c r="X755" i="3"/>
  <c r="Q755" i="3"/>
  <c r="AC754" i="3"/>
  <c r="Z754" i="3"/>
  <c r="Y754" i="3"/>
  <c r="X754" i="3"/>
  <c r="Q754" i="3"/>
  <c r="AC99" i="3"/>
  <c r="Z99" i="3"/>
  <c r="Y99" i="3"/>
  <c r="X99" i="3"/>
  <c r="Q99" i="3"/>
  <c r="AC753" i="3"/>
  <c r="Z753" i="3"/>
  <c r="Y753" i="3"/>
  <c r="X753" i="3"/>
  <c r="Q753" i="3"/>
  <c r="AC752" i="3"/>
  <c r="Z752" i="3"/>
  <c r="Y752" i="3"/>
  <c r="X752" i="3"/>
  <c r="Q752" i="3"/>
  <c r="AC751" i="3"/>
  <c r="Z751" i="3"/>
  <c r="Y751" i="3"/>
  <c r="X751" i="3"/>
  <c r="Q751" i="3"/>
  <c r="AC98" i="3"/>
  <c r="Z98" i="3"/>
  <c r="Y98" i="3"/>
  <c r="X98" i="3"/>
  <c r="Q98" i="3"/>
  <c r="AC750" i="3"/>
  <c r="Z750" i="3"/>
  <c r="Y750" i="3"/>
  <c r="X750" i="3"/>
  <c r="Q750" i="3"/>
  <c r="AC749" i="3"/>
  <c r="Z749" i="3"/>
  <c r="Y749" i="3"/>
  <c r="X749" i="3"/>
  <c r="Q749" i="3"/>
  <c r="AC748" i="3"/>
  <c r="Z748" i="3"/>
  <c r="Y748" i="3"/>
  <c r="X748" i="3"/>
  <c r="Q748" i="3"/>
  <c r="AC747" i="3"/>
  <c r="Z747" i="3"/>
  <c r="Y747" i="3"/>
  <c r="X747" i="3"/>
  <c r="Q747" i="3"/>
  <c r="AC746" i="3"/>
  <c r="Z746" i="3"/>
  <c r="Y746" i="3"/>
  <c r="X746" i="3"/>
  <c r="Q746" i="3"/>
  <c r="AC33" i="3"/>
  <c r="Z33" i="3"/>
  <c r="Y33" i="3"/>
  <c r="X33" i="3"/>
  <c r="Q33" i="3"/>
  <c r="AC144" i="3"/>
  <c r="Z144" i="3"/>
  <c r="Y144" i="3"/>
  <c r="X144" i="3"/>
  <c r="Q144" i="3"/>
  <c r="AC190" i="3"/>
  <c r="Z190" i="3"/>
  <c r="Y190" i="3"/>
  <c r="X190" i="3"/>
  <c r="Q190" i="3"/>
  <c r="AC745" i="3"/>
  <c r="Z745" i="3"/>
  <c r="Y745" i="3"/>
  <c r="X745" i="3"/>
  <c r="Q745" i="3"/>
  <c r="AC744" i="3"/>
  <c r="Z744" i="3"/>
  <c r="Y744" i="3"/>
  <c r="X744" i="3"/>
  <c r="Q744" i="3"/>
  <c r="AC743" i="3"/>
  <c r="Z743" i="3"/>
  <c r="Y743" i="3"/>
  <c r="X743" i="3"/>
  <c r="Q743" i="3"/>
  <c r="AC742" i="3"/>
  <c r="Z742" i="3"/>
  <c r="Y742" i="3"/>
  <c r="X742" i="3"/>
  <c r="Q742" i="3"/>
  <c r="AC121" i="3"/>
  <c r="Z121" i="3"/>
  <c r="Y121" i="3"/>
  <c r="X121" i="3"/>
  <c r="Q121" i="3"/>
  <c r="AC741" i="3"/>
  <c r="Z741" i="3"/>
  <c r="Y741" i="3"/>
  <c r="X741" i="3"/>
  <c r="Q741" i="3"/>
  <c r="AC740" i="3"/>
  <c r="Z740" i="3"/>
  <c r="Y740" i="3"/>
  <c r="X740" i="3"/>
  <c r="Q740" i="3"/>
  <c r="AC739" i="3"/>
  <c r="Z739" i="3"/>
  <c r="Y739" i="3"/>
  <c r="X739" i="3"/>
  <c r="Q739" i="3"/>
  <c r="AC738" i="3"/>
  <c r="Z738" i="3"/>
  <c r="Y738" i="3"/>
  <c r="X738" i="3"/>
  <c r="Q738" i="3"/>
  <c r="AC737" i="3"/>
  <c r="Z737" i="3"/>
  <c r="Y737" i="3"/>
  <c r="X737" i="3"/>
  <c r="Q737" i="3"/>
  <c r="AC736" i="3"/>
  <c r="Z736" i="3"/>
  <c r="Y736" i="3"/>
  <c r="X736" i="3"/>
  <c r="Q736" i="3"/>
  <c r="AC735" i="3"/>
  <c r="Z735" i="3"/>
  <c r="Y735" i="3"/>
  <c r="X735" i="3"/>
  <c r="Q735" i="3"/>
  <c r="AC734" i="3"/>
  <c r="Z734" i="3"/>
  <c r="Y734" i="3"/>
  <c r="X734" i="3"/>
  <c r="Q734" i="3"/>
  <c r="AC733" i="3"/>
  <c r="Z733" i="3"/>
  <c r="Y733" i="3"/>
  <c r="X733" i="3"/>
  <c r="Q733" i="3"/>
  <c r="AC732" i="3"/>
  <c r="Z732" i="3"/>
  <c r="Y732" i="3"/>
  <c r="X732" i="3"/>
  <c r="Q732" i="3"/>
  <c r="AC731" i="3"/>
  <c r="Z731" i="3"/>
  <c r="Y731" i="3"/>
  <c r="X731" i="3"/>
  <c r="Q731" i="3"/>
  <c r="AC730" i="3"/>
  <c r="Z730" i="3"/>
  <c r="Y730" i="3"/>
  <c r="X730" i="3"/>
  <c r="Q730" i="3"/>
  <c r="AC108" i="3"/>
  <c r="Z108" i="3"/>
  <c r="Y108" i="3"/>
  <c r="X108" i="3"/>
  <c r="Q108" i="3"/>
  <c r="AC729" i="3"/>
  <c r="Z729" i="3"/>
  <c r="Y729" i="3"/>
  <c r="X729" i="3"/>
  <c r="Q729" i="3"/>
  <c r="AC728" i="3"/>
  <c r="Z728" i="3"/>
  <c r="Y728" i="3"/>
  <c r="X728" i="3"/>
  <c r="Q728" i="3"/>
  <c r="AC727" i="3"/>
  <c r="Z727" i="3"/>
  <c r="Y727" i="3"/>
  <c r="X727" i="3"/>
  <c r="Q727" i="3"/>
  <c r="AC146" i="3"/>
  <c r="Z146" i="3"/>
  <c r="Y146" i="3"/>
  <c r="X146" i="3"/>
  <c r="Q146" i="3"/>
  <c r="AC23" i="3"/>
  <c r="Z23" i="3"/>
  <c r="Y23" i="3"/>
  <c r="X23" i="3"/>
  <c r="Q23" i="3"/>
  <c r="AC726" i="3"/>
  <c r="Z726" i="3"/>
  <c r="Y726" i="3"/>
  <c r="X726" i="3"/>
  <c r="Q726" i="3"/>
  <c r="AC725" i="3"/>
  <c r="Z725" i="3"/>
  <c r="Y725" i="3"/>
  <c r="X725" i="3"/>
  <c r="Q725" i="3"/>
  <c r="AC724" i="3"/>
  <c r="Z724" i="3"/>
  <c r="Y724" i="3"/>
  <c r="X724" i="3"/>
  <c r="Q724" i="3"/>
  <c r="AC723" i="3"/>
  <c r="Z723" i="3"/>
  <c r="Y723" i="3"/>
  <c r="X723" i="3"/>
  <c r="Q723" i="3"/>
  <c r="AC722" i="3"/>
  <c r="Z722" i="3"/>
  <c r="Y722" i="3"/>
  <c r="X722" i="3"/>
  <c r="Q722" i="3"/>
  <c r="AC165" i="3"/>
  <c r="Z165" i="3"/>
  <c r="Y165" i="3"/>
  <c r="X165" i="3"/>
  <c r="Q165" i="3"/>
  <c r="AC721" i="3"/>
  <c r="Z721" i="3"/>
  <c r="Y721" i="3"/>
  <c r="X721" i="3"/>
  <c r="Q721" i="3"/>
  <c r="AC720" i="3"/>
  <c r="Z720" i="3"/>
  <c r="Y720" i="3"/>
  <c r="X720" i="3"/>
  <c r="Q720" i="3"/>
  <c r="AC719" i="3"/>
  <c r="Z719" i="3"/>
  <c r="Y719" i="3"/>
  <c r="X719" i="3"/>
  <c r="Q719" i="3"/>
  <c r="AC718" i="3"/>
  <c r="Z718" i="3"/>
  <c r="Y718" i="3"/>
  <c r="X718" i="3"/>
  <c r="Q718" i="3"/>
  <c r="AC717" i="3"/>
  <c r="Z717" i="3"/>
  <c r="Y717" i="3"/>
  <c r="X717" i="3"/>
  <c r="Q717" i="3"/>
  <c r="AC716" i="3"/>
  <c r="Z716" i="3"/>
  <c r="Y716" i="3"/>
  <c r="X716" i="3"/>
  <c r="Q716" i="3"/>
  <c r="AC715" i="3"/>
  <c r="Z715" i="3"/>
  <c r="Y715" i="3"/>
  <c r="X715" i="3"/>
  <c r="Q715" i="3"/>
  <c r="AC714" i="3"/>
  <c r="Z714" i="3"/>
  <c r="Y714" i="3"/>
  <c r="X714" i="3"/>
  <c r="Q714" i="3"/>
  <c r="AC6" i="3"/>
  <c r="Z6" i="3"/>
  <c r="Y6" i="3"/>
  <c r="X6" i="3"/>
  <c r="Q6" i="3"/>
  <c r="AC713" i="3"/>
  <c r="Z713" i="3"/>
  <c r="Y713" i="3"/>
  <c r="X713" i="3"/>
  <c r="Q713" i="3"/>
  <c r="AC27" i="3"/>
  <c r="Z27" i="3"/>
  <c r="Y27" i="3"/>
  <c r="X27" i="3"/>
  <c r="Q27" i="3"/>
  <c r="AC712" i="3"/>
  <c r="Z712" i="3"/>
  <c r="Y712" i="3"/>
  <c r="X712" i="3"/>
  <c r="Q712" i="3"/>
  <c r="AC711" i="3"/>
  <c r="Z711" i="3"/>
  <c r="Y711" i="3"/>
  <c r="X711" i="3"/>
  <c r="Q711" i="3"/>
  <c r="AC54" i="3"/>
  <c r="Z54" i="3"/>
  <c r="Y54" i="3"/>
  <c r="X54" i="3"/>
  <c r="Q54" i="3"/>
  <c r="AC710" i="3"/>
  <c r="Z710" i="3"/>
  <c r="Y710" i="3"/>
  <c r="X710" i="3"/>
  <c r="Q710" i="3"/>
  <c r="AC51" i="3"/>
  <c r="Z51" i="3"/>
  <c r="Y51" i="3"/>
  <c r="X51" i="3"/>
  <c r="Q51" i="3"/>
  <c r="AC709" i="3"/>
  <c r="Z709" i="3"/>
  <c r="Y709" i="3"/>
  <c r="X709" i="3"/>
  <c r="Q709" i="3"/>
  <c r="AC193" i="3"/>
  <c r="Z193" i="3"/>
  <c r="Y193" i="3"/>
  <c r="X193" i="3"/>
  <c r="Q193" i="3"/>
  <c r="AC708" i="3"/>
  <c r="Z708" i="3"/>
  <c r="Y708" i="3"/>
  <c r="X708" i="3"/>
  <c r="Q708" i="3"/>
  <c r="AC707" i="3"/>
  <c r="Z707" i="3"/>
  <c r="Y707" i="3"/>
  <c r="X707" i="3"/>
  <c r="Q707" i="3"/>
  <c r="AC706" i="3"/>
  <c r="Z706" i="3"/>
  <c r="Y706" i="3"/>
  <c r="X706" i="3"/>
  <c r="Q706" i="3"/>
  <c r="AC705" i="3"/>
  <c r="Z705" i="3"/>
  <c r="Y705" i="3"/>
  <c r="X705" i="3"/>
  <c r="Q705" i="3"/>
  <c r="AC74" i="3"/>
  <c r="Z74" i="3"/>
  <c r="Y74" i="3"/>
  <c r="X74" i="3"/>
  <c r="Q74" i="3"/>
  <c r="AC148" i="3"/>
  <c r="Z148" i="3"/>
  <c r="Y148" i="3"/>
  <c r="X148" i="3"/>
  <c r="Q148" i="3"/>
  <c r="AC704" i="3"/>
  <c r="Z704" i="3"/>
  <c r="Y704" i="3"/>
  <c r="X704" i="3"/>
  <c r="Q704" i="3"/>
  <c r="AC132" i="3"/>
  <c r="Z132" i="3"/>
  <c r="Y132" i="3"/>
  <c r="X132" i="3"/>
  <c r="Q132" i="3"/>
  <c r="AC703" i="3"/>
  <c r="Z703" i="3"/>
  <c r="Y703" i="3"/>
  <c r="X703" i="3"/>
  <c r="Q703" i="3"/>
  <c r="AC702" i="3"/>
  <c r="Z702" i="3"/>
  <c r="Y702" i="3"/>
  <c r="X702" i="3"/>
  <c r="Q702" i="3"/>
  <c r="AC160" i="3"/>
  <c r="Z160" i="3"/>
  <c r="Y160" i="3"/>
  <c r="X160" i="3"/>
  <c r="Q160" i="3"/>
  <c r="AC701" i="3"/>
  <c r="Z701" i="3"/>
  <c r="Y701" i="3"/>
  <c r="X701" i="3"/>
  <c r="Q701" i="3"/>
  <c r="AC700" i="3"/>
  <c r="Z700" i="3"/>
  <c r="Y700" i="3"/>
  <c r="X700" i="3"/>
  <c r="Q700" i="3"/>
  <c r="AC699" i="3"/>
  <c r="Z699" i="3"/>
  <c r="Y699" i="3"/>
  <c r="X699" i="3"/>
  <c r="Q699" i="3"/>
  <c r="AC57" i="3"/>
  <c r="Z57" i="3"/>
  <c r="Y57" i="3"/>
  <c r="X57" i="3"/>
  <c r="Q57" i="3"/>
  <c r="AC698" i="3"/>
  <c r="Z698" i="3"/>
  <c r="Y698" i="3"/>
  <c r="X698" i="3"/>
  <c r="Q698" i="3"/>
  <c r="AC697" i="3"/>
  <c r="Z697" i="3"/>
  <c r="Y697" i="3"/>
  <c r="X697" i="3"/>
  <c r="Q697" i="3"/>
  <c r="AC696" i="3"/>
  <c r="Z696" i="3"/>
  <c r="Y696" i="3"/>
  <c r="X696" i="3"/>
  <c r="Q696" i="3"/>
  <c r="AC695" i="3"/>
  <c r="Z695" i="3"/>
  <c r="Y695" i="3"/>
  <c r="X695" i="3"/>
  <c r="Q695" i="3"/>
  <c r="AC133" i="3"/>
  <c r="Z133" i="3"/>
  <c r="Y133" i="3"/>
  <c r="X133" i="3"/>
  <c r="Q133" i="3"/>
  <c r="AC192" i="3"/>
  <c r="Z192" i="3"/>
  <c r="Y192" i="3"/>
  <c r="X192" i="3"/>
  <c r="Q192" i="3"/>
  <c r="AC92" i="3"/>
  <c r="Z92" i="3"/>
  <c r="Y92" i="3"/>
  <c r="X92" i="3"/>
  <c r="Q92" i="3"/>
  <c r="AC694" i="3"/>
  <c r="Z694" i="3"/>
  <c r="Y694" i="3"/>
  <c r="X694" i="3"/>
  <c r="Q694" i="3"/>
  <c r="AC693" i="3"/>
  <c r="Z693" i="3"/>
  <c r="Y693" i="3"/>
  <c r="X693" i="3"/>
  <c r="Q693" i="3"/>
  <c r="AC692" i="3"/>
  <c r="Z692" i="3"/>
  <c r="Y692" i="3"/>
  <c r="X692" i="3"/>
  <c r="Q692" i="3"/>
  <c r="AC691" i="3"/>
  <c r="Z691" i="3"/>
  <c r="Y691" i="3"/>
  <c r="X691" i="3"/>
  <c r="Q691" i="3"/>
  <c r="AC690" i="3"/>
  <c r="Z690" i="3"/>
  <c r="Y690" i="3"/>
  <c r="X690" i="3"/>
  <c r="Q690" i="3"/>
  <c r="AC689" i="3"/>
  <c r="Z689" i="3"/>
  <c r="Y689" i="3"/>
  <c r="X689" i="3"/>
  <c r="Q689" i="3"/>
  <c r="AC145" i="3"/>
  <c r="Z145" i="3"/>
  <c r="Y145" i="3"/>
  <c r="X145" i="3"/>
  <c r="Q145" i="3"/>
  <c r="AC688" i="3"/>
  <c r="Z688" i="3"/>
  <c r="Y688" i="3"/>
  <c r="X688" i="3"/>
  <c r="Q688" i="3"/>
  <c r="AC687" i="3"/>
  <c r="Z687" i="3"/>
  <c r="Y687" i="3"/>
  <c r="X687" i="3"/>
  <c r="Q687" i="3"/>
  <c r="AC131" i="3"/>
  <c r="Z131" i="3"/>
  <c r="Y131" i="3"/>
  <c r="X131" i="3"/>
  <c r="Q131" i="3"/>
  <c r="AC686" i="3"/>
  <c r="Z686" i="3"/>
  <c r="Y686" i="3"/>
  <c r="X686" i="3"/>
  <c r="Q686" i="3"/>
  <c r="AC685" i="3"/>
  <c r="Z685" i="3"/>
  <c r="Y685" i="3"/>
  <c r="X685" i="3"/>
  <c r="Q685" i="3"/>
  <c r="AC86" i="3"/>
  <c r="Z86" i="3"/>
  <c r="Y86" i="3"/>
  <c r="X86" i="3"/>
  <c r="Q86" i="3"/>
  <c r="AC684" i="3"/>
  <c r="Z684" i="3"/>
  <c r="Y684" i="3"/>
  <c r="X684" i="3"/>
  <c r="Q684" i="3"/>
  <c r="AC683" i="3"/>
  <c r="Z683" i="3"/>
  <c r="Y683" i="3"/>
  <c r="X683" i="3"/>
  <c r="Q683" i="3"/>
  <c r="AC185" i="3"/>
  <c r="Z185" i="3"/>
  <c r="Y185" i="3"/>
  <c r="X185" i="3"/>
  <c r="Q185" i="3"/>
  <c r="AC682" i="3"/>
  <c r="Z682" i="3"/>
  <c r="Y682" i="3"/>
  <c r="X682" i="3"/>
  <c r="Q682" i="3"/>
  <c r="AC681" i="3"/>
  <c r="Z681" i="3"/>
  <c r="Y681" i="3"/>
  <c r="X681" i="3"/>
  <c r="Q681" i="3"/>
  <c r="AC680" i="3"/>
  <c r="Z680" i="3"/>
  <c r="Y680" i="3"/>
  <c r="X680" i="3"/>
  <c r="Q680" i="3"/>
  <c r="AC679" i="3"/>
  <c r="Z679" i="3"/>
  <c r="Y679" i="3"/>
  <c r="X679" i="3"/>
  <c r="Q679" i="3"/>
  <c r="AC141" i="3"/>
  <c r="Z141" i="3"/>
  <c r="Y141" i="3"/>
  <c r="X141" i="3"/>
  <c r="Q141" i="3"/>
  <c r="AC678" i="3"/>
  <c r="Z678" i="3"/>
  <c r="Y678" i="3"/>
  <c r="X678" i="3"/>
  <c r="Q678" i="3"/>
  <c r="AC677" i="3"/>
  <c r="Z677" i="3"/>
  <c r="Y677" i="3"/>
  <c r="X677" i="3"/>
  <c r="Q677" i="3"/>
  <c r="AC676" i="3"/>
  <c r="Z676" i="3"/>
  <c r="Y676" i="3"/>
  <c r="X676" i="3"/>
  <c r="Q676" i="3"/>
  <c r="AC675" i="3"/>
  <c r="Z675" i="3"/>
  <c r="Y675" i="3"/>
  <c r="X675" i="3"/>
  <c r="Q675" i="3"/>
  <c r="AC674" i="3"/>
  <c r="Z674" i="3"/>
  <c r="Y674" i="3"/>
  <c r="X674" i="3"/>
  <c r="Q674" i="3"/>
  <c r="AC140" i="3"/>
  <c r="Z140" i="3"/>
  <c r="Y140" i="3"/>
  <c r="X140" i="3"/>
  <c r="Q140" i="3"/>
  <c r="AC673" i="3"/>
  <c r="Z673" i="3"/>
  <c r="Y673" i="3"/>
  <c r="X673" i="3"/>
  <c r="Q673" i="3"/>
  <c r="AC97" i="3"/>
  <c r="Z97" i="3"/>
  <c r="Y97" i="3"/>
  <c r="X97" i="3"/>
  <c r="Q97" i="3"/>
  <c r="AC672" i="3"/>
  <c r="Z672" i="3"/>
  <c r="Y672" i="3"/>
  <c r="X672" i="3"/>
  <c r="Q672" i="3"/>
  <c r="AC117" i="3"/>
  <c r="Z117" i="3"/>
  <c r="Y117" i="3"/>
  <c r="X117" i="3"/>
  <c r="Q117" i="3"/>
  <c r="AC156" i="3"/>
  <c r="Z156" i="3"/>
  <c r="Y156" i="3"/>
  <c r="X156" i="3"/>
  <c r="Q156" i="3"/>
  <c r="AC671" i="3"/>
  <c r="Z671" i="3"/>
  <c r="Y671" i="3"/>
  <c r="X671" i="3"/>
  <c r="Q671" i="3"/>
  <c r="AC670" i="3"/>
  <c r="Z670" i="3"/>
  <c r="Y670" i="3"/>
  <c r="X670" i="3"/>
  <c r="Q670" i="3"/>
  <c r="AC669" i="3"/>
  <c r="Z669" i="3"/>
  <c r="Y669" i="3"/>
  <c r="X669" i="3"/>
  <c r="Q669" i="3"/>
  <c r="AC668" i="3"/>
  <c r="Z668" i="3"/>
  <c r="Y668" i="3"/>
  <c r="X668" i="3"/>
  <c r="Q668" i="3"/>
  <c r="AC667" i="3"/>
  <c r="Z667" i="3"/>
  <c r="Y667" i="3"/>
  <c r="X667" i="3"/>
  <c r="Q667" i="3"/>
  <c r="AC666" i="3"/>
  <c r="Z666" i="3"/>
  <c r="Y666" i="3"/>
  <c r="X666" i="3"/>
  <c r="Q666" i="3"/>
  <c r="AC665" i="3"/>
  <c r="Z665" i="3"/>
  <c r="Y665" i="3"/>
  <c r="X665" i="3"/>
  <c r="Q665" i="3"/>
  <c r="AC664" i="3"/>
  <c r="Z664" i="3"/>
  <c r="Y664" i="3"/>
  <c r="X664" i="3"/>
  <c r="Q664" i="3"/>
  <c r="AC663" i="3"/>
  <c r="Z663" i="3"/>
  <c r="Y663" i="3"/>
  <c r="X663" i="3"/>
  <c r="Q663" i="3"/>
  <c r="AC662" i="3"/>
  <c r="Z662" i="3"/>
  <c r="Y662" i="3"/>
  <c r="X662" i="3"/>
  <c r="Q662" i="3"/>
  <c r="AC661" i="3"/>
  <c r="Z661" i="3"/>
  <c r="Y661" i="3"/>
  <c r="X661" i="3"/>
  <c r="Q661" i="3"/>
  <c r="AC660" i="3"/>
  <c r="Z660" i="3"/>
  <c r="Y660" i="3"/>
  <c r="X660" i="3"/>
  <c r="Q660" i="3"/>
  <c r="AC96" i="3"/>
  <c r="Z96" i="3"/>
  <c r="Y96" i="3"/>
  <c r="X96" i="3"/>
  <c r="Q96" i="3"/>
  <c r="AC659" i="3"/>
  <c r="Z659" i="3"/>
  <c r="Y659" i="3"/>
  <c r="X659" i="3"/>
  <c r="Q659" i="3"/>
  <c r="AC95" i="3"/>
  <c r="Z95" i="3"/>
  <c r="Y95" i="3"/>
  <c r="X95" i="3"/>
  <c r="Q95" i="3"/>
  <c r="AC658" i="3"/>
  <c r="Z658" i="3"/>
  <c r="Y658" i="3"/>
  <c r="X658" i="3"/>
  <c r="Q658" i="3"/>
  <c r="AC657" i="3"/>
  <c r="Z657" i="3"/>
  <c r="Y657" i="3"/>
  <c r="X657" i="3"/>
  <c r="Q657" i="3"/>
  <c r="AC656" i="3"/>
  <c r="Z656" i="3"/>
  <c r="Y656" i="3"/>
  <c r="X656" i="3"/>
  <c r="Q656" i="3"/>
  <c r="AC655" i="3"/>
  <c r="Z655" i="3"/>
  <c r="Y655" i="3"/>
  <c r="X655" i="3"/>
  <c r="Q655" i="3"/>
  <c r="AC654" i="3"/>
  <c r="Z654" i="3"/>
  <c r="Y654" i="3"/>
  <c r="X654" i="3"/>
  <c r="Q654" i="3"/>
  <c r="AC653" i="3"/>
  <c r="Z653" i="3"/>
  <c r="Y653" i="3"/>
  <c r="X653" i="3"/>
  <c r="Q653" i="3"/>
  <c r="AC652" i="3"/>
  <c r="Z652" i="3"/>
  <c r="Y652" i="3"/>
  <c r="X652" i="3"/>
  <c r="Q652" i="3"/>
  <c r="AC651" i="3"/>
  <c r="Z651" i="3"/>
  <c r="Y651" i="3"/>
  <c r="X651" i="3"/>
  <c r="Q651" i="3"/>
  <c r="AC650" i="3"/>
  <c r="Z650" i="3"/>
  <c r="Y650" i="3"/>
  <c r="X650" i="3"/>
  <c r="Q650" i="3"/>
  <c r="AC41" i="3"/>
  <c r="Z41" i="3"/>
  <c r="Y41" i="3"/>
  <c r="X41" i="3"/>
  <c r="Q41" i="3"/>
  <c r="AC649" i="3"/>
  <c r="Z649" i="3"/>
  <c r="Y649" i="3"/>
  <c r="X649" i="3"/>
  <c r="Q649" i="3"/>
  <c r="AC648" i="3"/>
  <c r="Z648" i="3"/>
  <c r="Y648" i="3"/>
  <c r="X648" i="3"/>
  <c r="Q648" i="3"/>
  <c r="AC647" i="3"/>
  <c r="Z647" i="3"/>
  <c r="Y647" i="3"/>
  <c r="X647" i="3"/>
  <c r="Q647" i="3"/>
  <c r="AC646" i="3"/>
  <c r="Z646" i="3"/>
  <c r="Y646" i="3"/>
  <c r="X646" i="3"/>
  <c r="Q646" i="3"/>
  <c r="AC645" i="3"/>
  <c r="Z645" i="3"/>
  <c r="Y645" i="3"/>
  <c r="X645" i="3"/>
  <c r="Q645" i="3"/>
  <c r="AC139" i="3"/>
  <c r="Z139" i="3"/>
  <c r="Y139" i="3"/>
  <c r="X139" i="3"/>
  <c r="Q139" i="3"/>
  <c r="AC36" i="3"/>
  <c r="Z36" i="3"/>
  <c r="Y36" i="3"/>
  <c r="X36" i="3"/>
  <c r="Q36" i="3"/>
  <c r="AC644" i="3"/>
  <c r="Z644" i="3"/>
  <c r="Y644" i="3"/>
  <c r="X644" i="3"/>
  <c r="Q644" i="3"/>
  <c r="AC643" i="3"/>
  <c r="Z643" i="3"/>
  <c r="Y643" i="3"/>
  <c r="X643" i="3"/>
  <c r="Q643" i="3"/>
  <c r="AC642" i="3"/>
  <c r="Z642" i="3"/>
  <c r="Y642" i="3"/>
  <c r="X642" i="3"/>
  <c r="Q642" i="3"/>
  <c r="AC641" i="3"/>
  <c r="Z641" i="3"/>
  <c r="Y641" i="3"/>
  <c r="X641" i="3"/>
  <c r="Q641" i="3"/>
  <c r="AC12" i="3"/>
  <c r="Z12" i="3"/>
  <c r="Y12" i="3"/>
  <c r="X12" i="3"/>
  <c r="Q12" i="3"/>
  <c r="AC640" i="3"/>
  <c r="Z640" i="3"/>
  <c r="Y640" i="3"/>
  <c r="X640" i="3"/>
  <c r="Q640" i="3"/>
  <c r="AC639" i="3"/>
  <c r="Z639" i="3"/>
  <c r="Y639" i="3"/>
  <c r="X639" i="3"/>
  <c r="Q639" i="3"/>
  <c r="AC77" i="3"/>
  <c r="Z77" i="3"/>
  <c r="Y77" i="3"/>
  <c r="X77" i="3"/>
  <c r="Q77" i="3"/>
  <c r="AC638" i="3"/>
  <c r="Z638" i="3"/>
  <c r="Y638" i="3"/>
  <c r="X638" i="3"/>
  <c r="Q638" i="3"/>
  <c r="AC637" i="3"/>
  <c r="Z637" i="3"/>
  <c r="Y637" i="3"/>
  <c r="X637" i="3"/>
  <c r="Q637" i="3"/>
  <c r="AC636" i="3"/>
  <c r="Z636" i="3"/>
  <c r="Y636" i="3"/>
  <c r="X636" i="3"/>
  <c r="Q636" i="3"/>
  <c r="AC635" i="3"/>
  <c r="Z635" i="3"/>
  <c r="Y635" i="3"/>
  <c r="X635" i="3"/>
  <c r="Q635" i="3"/>
  <c r="AC634" i="3"/>
  <c r="Z634" i="3"/>
  <c r="Y634" i="3"/>
  <c r="X634" i="3"/>
  <c r="Q634" i="3"/>
  <c r="AC633" i="3"/>
  <c r="Z633" i="3"/>
  <c r="Y633" i="3"/>
  <c r="X633" i="3"/>
  <c r="Q633" i="3"/>
  <c r="AC632" i="3"/>
  <c r="Z632" i="3"/>
  <c r="Y632" i="3"/>
  <c r="X632" i="3"/>
  <c r="Q632" i="3"/>
  <c r="AC61" i="3"/>
  <c r="Z61" i="3"/>
  <c r="Y61" i="3"/>
  <c r="X61" i="3"/>
  <c r="Q61" i="3"/>
  <c r="AC17" i="3"/>
  <c r="Z17" i="3"/>
  <c r="Y17" i="3"/>
  <c r="X17" i="3"/>
  <c r="Q17" i="3"/>
  <c r="AC107" i="3"/>
  <c r="Z107" i="3"/>
  <c r="Y107" i="3"/>
  <c r="X107" i="3"/>
  <c r="Q107" i="3"/>
  <c r="AC631" i="3"/>
  <c r="Z631" i="3"/>
  <c r="Y631" i="3"/>
  <c r="X631" i="3"/>
  <c r="Q631" i="3"/>
  <c r="AC60" i="3"/>
  <c r="Z60" i="3"/>
  <c r="Y60" i="3"/>
  <c r="X60" i="3"/>
  <c r="Q60" i="3"/>
  <c r="AC630" i="3"/>
  <c r="Z630" i="3"/>
  <c r="Y630" i="3"/>
  <c r="X630" i="3"/>
  <c r="Q630" i="3"/>
  <c r="AC158" i="3"/>
  <c r="Z158" i="3"/>
  <c r="Y158" i="3"/>
  <c r="X158" i="3"/>
  <c r="Q158" i="3"/>
  <c r="AC143" i="3"/>
  <c r="Z143" i="3"/>
  <c r="Y143" i="3"/>
  <c r="X143" i="3"/>
  <c r="Q143" i="3"/>
  <c r="AC629" i="3"/>
  <c r="Z629" i="3"/>
  <c r="Y629" i="3"/>
  <c r="X629" i="3"/>
  <c r="Q629" i="3"/>
  <c r="AC628" i="3"/>
  <c r="Z628" i="3"/>
  <c r="Y628" i="3"/>
  <c r="X628" i="3"/>
  <c r="Q628" i="3"/>
  <c r="AC55" i="3"/>
  <c r="Z55" i="3"/>
  <c r="Y55" i="3"/>
  <c r="X55" i="3"/>
  <c r="Q55" i="3"/>
  <c r="AC627" i="3"/>
  <c r="Z627" i="3"/>
  <c r="Y627" i="3"/>
  <c r="X627" i="3"/>
  <c r="Q627" i="3"/>
  <c r="AC119" i="3"/>
  <c r="Z119" i="3"/>
  <c r="Y119" i="3"/>
  <c r="X119" i="3"/>
  <c r="Q119" i="3"/>
  <c r="AC626" i="3"/>
  <c r="Z626" i="3"/>
  <c r="Y626" i="3"/>
  <c r="X626" i="3"/>
  <c r="Q626" i="3"/>
  <c r="AC625" i="3"/>
  <c r="Z625" i="3"/>
  <c r="Y625" i="3"/>
  <c r="X625" i="3"/>
  <c r="Q625" i="3"/>
  <c r="AC624" i="3"/>
  <c r="Z624" i="3"/>
  <c r="Y624" i="3"/>
  <c r="X624" i="3"/>
  <c r="Q624" i="3"/>
  <c r="AC623" i="3"/>
  <c r="Z623" i="3"/>
  <c r="Y623" i="3"/>
  <c r="X623" i="3"/>
  <c r="Q623" i="3"/>
  <c r="AC622" i="3"/>
  <c r="Z622" i="3"/>
  <c r="Y622" i="3"/>
  <c r="X622" i="3"/>
  <c r="Q622" i="3"/>
  <c r="AC621" i="3"/>
  <c r="Z621" i="3"/>
  <c r="Y621" i="3"/>
  <c r="X621" i="3"/>
  <c r="Q621" i="3"/>
  <c r="AC138" i="3"/>
  <c r="Z138" i="3"/>
  <c r="Y138" i="3"/>
  <c r="X138" i="3"/>
  <c r="Q138" i="3"/>
  <c r="AC620" i="3"/>
  <c r="Z620" i="3"/>
  <c r="Y620" i="3"/>
  <c r="X620" i="3"/>
  <c r="Q620" i="3"/>
  <c r="AC619" i="3"/>
  <c r="Z619" i="3"/>
  <c r="Y619" i="3"/>
  <c r="X619" i="3"/>
  <c r="Q619" i="3"/>
  <c r="AC618" i="3"/>
  <c r="Z618" i="3"/>
  <c r="Y618" i="3"/>
  <c r="X618" i="3"/>
  <c r="Q618" i="3"/>
  <c r="AC617" i="3"/>
  <c r="Z617" i="3"/>
  <c r="Y617" i="3"/>
  <c r="X617" i="3"/>
  <c r="Q617" i="3"/>
  <c r="AC616" i="3"/>
  <c r="Z616" i="3"/>
  <c r="Y616" i="3"/>
  <c r="X616" i="3"/>
  <c r="Q616" i="3"/>
  <c r="AC615" i="3"/>
  <c r="Z615" i="3"/>
  <c r="Y615" i="3"/>
  <c r="X615" i="3"/>
  <c r="Q615" i="3"/>
  <c r="AC614" i="3"/>
  <c r="Z614" i="3"/>
  <c r="Y614" i="3"/>
  <c r="X614" i="3"/>
  <c r="Q614" i="3"/>
  <c r="AC613" i="3"/>
  <c r="Z613" i="3"/>
  <c r="Y613" i="3"/>
  <c r="X613" i="3"/>
  <c r="Q613" i="3"/>
  <c r="AC612" i="3"/>
  <c r="Z612" i="3"/>
  <c r="Y612" i="3"/>
  <c r="X612" i="3"/>
  <c r="Q612" i="3"/>
  <c r="AC91" i="3"/>
  <c r="Z91" i="3"/>
  <c r="Y91" i="3"/>
  <c r="X91" i="3"/>
  <c r="Q91" i="3"/>
  <c r="AC611" i="3"/>
  <c r="Z611" i="3"/>
  <c r="Y611" i="3"/>
  <c r="X611" i="3"/>
  <c r="Q611" i="3"/>
  <c r="AC610" i="3"/>
  <c r="Z610" i="3"/>
  <c r="Y610" i="3"/>
  <c r="X610" i="3"/>
  <c r="Q610" i="3"/>
  <c r="AC609" i="3"/>
  <c r="Z609" i="3"/>
  <c r="Y609" i="3"/>
  <c r="X609" i="3"/>
  <c r="Q609" i="3"/>
  <c r="AC608" i="3"/>
  <c r="Z608" i="3"/>
  <c r="Y608" i="3"/>
  <c r="X608" i="3"/>
  <c r="Q608" i="3"/>
  <c r="AC607" i="3"/>
  <c r="Z607" i="3"/>
  <c r="Y607" i="3"/>
  <c r="X607" i="3"/>
  <c r="Q607" i="3"/>
  <c r="AC606" i="3"/>
  <c r="Z606" i="3"/>
  <c r="Y606" i="3"/>
  <c r="X606" i="3"/>
  <c r="Q606" i="3"/>
  <c r="AC605" i="3"/>
  <c r="Z605" i="3"/>
  <c r="Y605" i="3"/>
  <c r="X605" i="3"/>
  <c r="Q605" i="3"/>
  <c r="AC604" i="3"/>
  <c r="Z604" i="3"/>
  <c r="Y604" i="3"/>
  <c r="X604" i="3"/>
  <c r="Q604" i="3"/>
  <c r="AC603" i="3"/>
  <c r="Z603" i="3"/>
  <c r="Y603" i="3"/>
  <c r="X603" i="3"/>
  <c r="Q603" i="3"/>
  <c r="AC125" i="3"/>
  <c r="Z125" i="3"/>
  <c r="Y125" i="3"/>
  <c r="X125" i="3"/>
  <c r="Q125" i="3"/>
  <c r="AC602" i="3"/>
  <c r="Z602" i="3"/>
  <c r="Y602" i="3"/>
  <c r="X602" i="3"/>
  <c r="Q602" i="3"/>
  <c r="AC601" i="3"/>
  <c r="Z601" i="3"/>
  <c r="Y601" i="3"/>
  <c r="X601" i="3"/>
  <c r="Q601" i="3"/>
  <c r="AC600" i="3"/>
  <c r="Z600" i="3"/>
  <c r="Y600" i="3"/>
  <c r="X600" i="3"/>
  <c r="Q600" i="3"/>
  <c r="AC599" i="3"/>
  <c r="Z599" i="3"/>
  <c r="Y599" i="3"/>
  <c r="X599" i="3"/>
  <c r="Q599" i="3"/>
  <c r="AC598" i="3"/>
  <c r="Z598" i="3"/>
  <c r="Y598" i="3"/>
  <c r="X598" i="3"/>
  <c r="Q598" i="3"/>
  <c r="AC597" i="3"/>
  <c r="Z597" i="3"/>
  <c r="Y597" i="3"/>
  <c r="X597" i="3"/>
  <c r="Q597" i="3"/>
  <c r="AC596" i="3"/>
  <c r="Z596" i="3"/>
  <c r="Y596" i="3"/>
  <c r="X596" i="3"/>
  <c r="Q596" i="3"/>
  <c r="AC35" i="3"/>
  <c r="Z35" i="3"/>
  <c r="Y35" i="3"/>
  <c r="X35" i="3"/>
  <c r="Q35" i="3"/>
  <c r="AC47" i="3"/>
  <c r="Z47" i="3"/>
  <c r="Y47" i="3"/>
  <c r="X47" i="3"/>
  <c r="Q47" i="3"/>
  <c r="AC595" i="3"/>
  <c r="Z595" i="3"/>
  <c r="Y595" i="3"/>
  <c r="X595" i="3"/>
  <c r="Q595" i="3"/>
  <c r="AC594" i="3"/>
  <c r="Z594" i="3"/>
  <c r="Y594" i="3"/>
  <c r="X594" i="3"/>
  <c r="Q594" i="3"/>
  <c r="AC593" i="3"/>
  <c r="Z593" i="3"/>
  <c r="Y593" i="3"/>
  <c r="X593" i="3"/>
  <c r="Q593" i="3"/>
  <c r="AC592" i="3"/>
  <c r="Z592" i="3"/>
  <c r="Y592" i="3"/>
  <c r="X592" i="3"/>
  <c r="Q592" i="3"/>
  <c r="AC10" i="3"/>
  <c r="Z10" i="3"/>
  <c r="Y10" i="3"/>
  <c r="X10" i="3"/>
  <c r="Q10" i="3"/>
  <c r="AC591" i="3"/>
  <c r="Z591" i="3"/>
  <c r="Y591" i="3"/>
  <c r="X591" i="3"/>
  <c r="Q591" i="3"/>
  <c r="AC5" i="3"/>
  <c r="Z5" i="3"/>
  <c r="Y5" i="3"/>
  <c r="X5" i="3"/>
  <c r="Q5" i="3"/>
  <c r="AC590" i="3"/>
  <c r="Z590" i="3"/>
  <c r="Y590" i="3"/>
  <c r="X590" i="3"/>
  <c r="Q590" i="3"/>
  <c r="AC589" i="3"/>
  <c r="Z589" i="3"/>
  <c r="Y589" i="3"/>
  <c r="X589" i="3"/>
  <c r="Q589" i="3"/>
  <c r="AC588" i="3"/>
  <c r="Z588" i="3"/>
  <c r="Y588" i="3"/>
  <c r="X588" i="3"/>
  <c r="Q588" i="3"/>
  <c r="AC587" i="3"/>
  <c r="Z587" i="3"/>
  <c r="Y587" i="3"/>
  <c r="X587" i="3"/>
  <c r="Q587" i="3"/>
  <c r="AC586" i="3"/>
  <c r="Z586" i="3"/>
  <c r="Y586" i="3"/>
  <c r="X586" i="3"/>
  <c r="Q586" i="3"/>
  <c r="AC130" i="3"/>
  <c r="Z130" i="3"/>
  <c r="Y130" i="3"/>
  <c r="X130" i="3"/>
  <c r="Q130" i="3"/>
  <c r="AC585" i="3"/>
  <c r="Z585" i="3"/>
  <c r="Y585" i="3"/>
  <c r="X585" i="3"/>
  <c r="Q585" i="3"/>
  <c r="AC584" i="3"/>
  <c r="Z584" i="3"/>
  <c r="Y584" i="3"/>
  <c r="X584" i="3"/>
  <c r="Q584" i="3"/>
  <c r="AC583" i="3"/>
  <c r="Z583" i="3"/>
  <c r="Y583" i="3"/>
  <c r="X583" i="3"/>
  <c r="Q583" i="3"/>
  <c r="AC582" i="3"/>
  <c r="Z582" i="3"/>
  <c r="Y582" i="3"/>
  <c r="X582" i="3"/>
  <c r="Q582" i="3"/>
  <c r="AC581" i="3"/>
  <c r="Z581" i="3"/>
  <c r="Y581" i="3"/>
  <c r="X581" i="3"/>
  <c r="Q581" i="3"/>
  <c r="AC580" i="3"/>
  <c r="Z580" i="3"/>
  <c r="Y580" i="3"/>
  <c r="X580" i="3"/>
  <c r="Q580" i="3"/>
  <c r="AC177" i="3"/>
  <c r="Z177" i="3"/>
  <c r="Y177" i="3"/>
  <c r="X177" i="3"/>
  <c r="Q177" i="3"/>
  <c r="AC579" i="3"/>
  <c r="Z579" i="3"/>
  <c r="Y579" i="3"/>
  <c r="X579" i="3"/>
  <c r="Q579" i="3"/>
  <c r="AC578" i="3"/>
  <c r="Z578" i="3"/>
  <c r="Y578" i="3"/>
  <c r="X578" i="3"/>
  <c r="Q578" i="3"/>
  <c r="AC577" i="3"/>
  <c r="Z577" i="3"/>
  <c r="Y577" i="3"/>
  <c r="X577" i="3"/>
  <c r="Q577" i="3"/>
  <c r="AC576" i="3"/>
  <c r="Z576" i="3"/>
  <c r="Y576" i="3"/>
  <c r="X576" i="3"/>
  <c r="Q576" i="3"/>
  <c r="AC575" i="3"/>
  <c r="Z575" i="3"/>
  <c r="Y575" i="3"/>
  <c r="X575" i="3"/>
  <c r="Q575" i="3"/>
  <c r="AC574" i="3"/>
  <c r="Z574" i="3"/>
  <c r="Y574" i="3"/>
  <c r="X574" i="3"/>
  <c r="Q574" i="3"/>
  <c r="AC573" i="3"/>
  <c r="Z573" i="3"/>
  <c r="Y573" i="3"/>
  <c r="X573" i="3"/>
  <c r="Q573" i="3"/>
  <c r="AC572" i="3"/>
  <c r="Z572" i="3"/>
  <c r="Y572" i="3"/>
  <c r="X572" i="3"/>
  <c r="Q572" i="3"/>
  <c r="AC571" i="3"/>
  <c r="Z571" i="3"/>
  <c r="Y571" i="3"/>
  <c r="X571" i="3"/>
  <c r="Q571" i="3"/>
  <c r="AC570" i="3"/>
  <c r="Z570" i="3"/>
  <c r="Y570" i="3"/>
  <c r="X570" i="3"/>
  <c r="Q570" i="3"/>
  <c r="AC569" i="3"/>
  <c r="Z569" i="3"/>
  <c r="Y569" i="3"/>
  <c r="X569" i="3"/>
  <c r="Q569" i="3"/>
  <c r="AC568" i="3"/>
  <c r="Z568" i="3"/>
  <c r="Y568" i="3"/>
  <c r="X568" i="3"/>
  <c r="Q568" i="3"/>
  <c r="AC567" i="3"/>
  <c r="Z567" i="3"/>
  <c r="Y567" i="3"/>
  <c r="X567" i="3"/>
  <c r="Q567" i="3"/>
  <c r="AC566" i="3"/>
  <c r="Z566" i="3"/>
  <c r="Y566" i="3"/>
  <c r="X566" i="3"/>
  <c r="Q566" i="3"/>
  <c r="AC565" i="3"/>
  <c r="Z565" i="3"/>
  <c r="Y565" i="3"/>
  <c r="X565" i="3"/>
  <c r="Q565" i="3"/>
  <c r="AC116" i="3"/>
  <c r="Z116" i="3"/>
  <c r="Y116" i="3"/>
  <c r="X116" i="3"/>
  <c r="Q116" i="3"/>
  <c r="AC106" i="3"/>
  <c r="Z106" i="3"/>
  <c r="Y106" i="3"/>
  <c r="X106" i="3"/>
  <c r="Q106" i="3"/>
  <c r="AC564" i="3"/>
  <c r="Z564" i="3"/>
  <c r="Y564" i="3"/>
  <c r="X564" i="3"/>
  <c r="Q564" i="3"/>
  <c r="AC563" i="3"/>
  <c r="Z563" i="3"/>
  <c r="Y563" i="3"/>
  <c r="X563" i="3"/>
  <c r="Q563" i="3"/>
  <c r="AC562" i="3"/>
  <c r="Z562" i="3"/>
  <c r="Y562" i="3"/>
  <c r="X562" i="3"/>
  <c r="Q562" i="3"/>
  <c r="AC561" i="3"/>
  <c r="Z561" i="3"/>
  <c r="Y561" i="3"/>
  <c r="X561" i="3"/>
  <c r="Q561" i="3"/>
  <c r="AC25" i="3"/>
  <c r="Z25" i="3"/>
  <c r="Y25" i="3"/>
  <c r="X25" i="3"/>
  <c r="Q25" i="3"/>
  <c r="AC560" i="3"/>
  <c r="Z560" i="3"/>
  <c r="Y560" i="3"/>
  <c r="X560" i="3"/>
  <c r="Q560" i="3"/>
  <c r="AC559" i="3"/>
  <c r="Z559" i="3"/>
  <c r="Y559" i="3"/>
  <c r="X559" i="3"/>
  <c r="Q559" i="3"/>
  <c r="AC159" i="3"/>
  <c r="Z159" i="3"/>
  <c r="Y159" i="3"/>
  <c r="X159" i="3"/>
  <c r="Q159" i="3"/>
  <c r="AC558" i="3"/>
  <c r="Z558" i="3"/>
  <c r="Y558" i="3"/>
  <c r="X558" i="3"/>
  <c r="Q558" i="3"/>
  <c r="AC80" i="3"/>
  <c r="Z80" i="3"/>
  <c r="Y80" i="3"/>
  <c r="X80" i="3"/>
  <c r="Q80" i="3"/>
  <c r="AC557" i="3"/>
  <c r="Z557" i="3"/>
  <c r="Y557" i="3"/>
  <c r="X557" i="3"/>
  <c r="Q557" i="3"/>
  <c r="AC556" i="3"/>
  <c r="Z556" i="3"/>
  <c r="Y556" i="3"/>
  <c r="X556" i="3"/>
  <c r="Q556" i="3"/>
  <c r="AC24" i="3"/>
  <c r="Z24" i="3"/>
  <c r="Y24" i="3"/>
  <c r="X24" i="3"/>
  <c r="Q24" i="3"/>
  <c r="AC137" i="3"/>
  <c r="Z137" i="3"/>
  <c r="Y137" i="3"/>
  <c r="X137" i="3"/>
  <c r="Q137" i="3"/>
  <c r="AC555" i="3"/>
  <c r="Z555" i="3"/>
  <c r="Y555" i="3"/>
  <c r="X555" i="3"/>
  <c r="Q555" i="3"/>
  <c r="AC554" i="3"/>
  <c r="Z554" i="3"/>
  <c r="Y554" i="3"/>
  <c r="X554" i="3"/>
  <c r="Q554" i="3"/>
  <c r="AC553" i="3"/>
  <c r="Z553" i="3"/>
  <c r="Y553" i="3"/>
  <c r="X553" i="3"/>
  <c r="Q553" i="3"/>
  <c r="AC552" i="3"/>
  <c r="Z552" i="3"/>
  <c r="Y552" i="3"/>
  <c r="X552" i="3"/>
  <c r="Q552" i="3"/>
  <c r="AC551" i="3"/>
  <c r="Z551" i="3"/>
  <c r="Y551" i="3"/>
  <c r="X551" i="3"/>
  <c r="Q551" i="3"/>
  <c r="AC550" i="3"/>
  <c r="Z550" i="3"/>
  <c r="Y550" i="3"/>
  <c r="X550" i="3"/>
  <c r="Q550" i="3"/>
  <c r="AC549" i="3"/>
  <c r="Z549" i="3"/>
  <c r="Y549" i="3"/>
  <c r="X549" i="3"/>
  <c r="Q549" i="3"/>
  <c r="AC548" i="3"/>
  <c r="Z548" i="3"/>
  <c r="Y548" i="3"/>
  <c r="X548" i="3"/>
  <c r="Q548" i="3"/>
  <c r="AC547" i="3"/>
  <c r="Z547" i="3"/>
  <c r="Y547" i="3"/>
  <c r="X547" i="3"/>
  <c r="Q547" i="3"/>
  <c r="AC546" i="3"/>
  <c r="Z546" i="3"/>
  <c r="Y546" i="3"/>
  <c r="X546" i="3"/>
  <c r="Q546" i="3"/>
  <c r="AC545" i="3"/>
  <c r="Z545" i="3"/>
  <c r="Y545" i="3"/>
  <c r="X545" i="3"/>
  <c r="Q545" i="3"/>
  <c r="AC16" i="3"/>
  <c r="Z16" i="3"/>
  <c r="Y16" i="3"/>
  <c r="X16" i="3"/>
  <c r="Q16" i="3"/>
  <c r="AC544" i="3"/>
  <c r="Z544" i="3"/>
  <c r="Y544" i="3"/>
  <c r="X544" i="3"/>
  <c r="Q544" i="3"/>
  <c r="AC543" i="3"/>
  <c r="Z543" i="3"/>
  <c r="Y543" i="3"/>
  <c r="X543" i="3"/>
  <c r="Q543" i="3"/>
  <c r="AC542" i="3"/>
  <c r="Z542" i="3"/>
  <c r="Y542" i="3"/>
  <c r="X542" i="3"/>
  <c r="Q542" i="3"/>
  <c r="AC541" i="3"/>
  <c r="Z541" i="3"/>
  <c r="Y541" i="3"/>
  <c r="X541" i="3"/>
  <c r="Q541" i="3"/>
  <c r="AC540" i="3"/>
  <c r="Z540" i="3"/>
  <c r="Y540" i="3"/>
  <c r="X540" i="3"/>
  <c r="Q540" i="3"/>
  <c r="AC539" i="3"/>
  <c r="Z539" i="3"/>
  <c r="Y539" i="3"/>
  <c r="X539" i="3"/>
  <c r="Q539" i="3"/>
  <c r="AC538" i="3"/>
  <c r="Z538" i="3"/>
  <c r="Y538" i="3"/>
  <c r="X538" i="3"/>
  <c r="Q538" i="3"/>
  <c r="AC4" i="3"/>
  <c r="Z4" i="3"/>
  <c r="Y4" i="3"/>
  <c r="X4" i="3"/>
  <c r="Q4" i="3"/>
  <c r="AC537" i="3"/>
  <c r="Z537" i="3"/>
  <c r="Y537" i="3"/>
  <c r="X537" i="3"/>
  <c r="Q537" i="3"/>
  <c r="AC536" i="3"/>
  <c r="Z536" i="3"/>
  <c r="Y536" i="3"/>
  <c r="X536" i="3"/>
  <c r="Q536" i="3"/>
  <c r="AC84" i="3"/>
  <c r="Z84" i="3"/>
  <c r="Y84" i="3"/>
  <c r="X84" i="3"/>
  <c r="Q84" i="3"/>
  <c r="AC535" i="3"/>
  <c r="Z535" i="3"/>
  <c r="Y535" i="3"/>
  <c r="X535" i="3"/>
  <c r="Q535" i="3"/>
  <c r="AC534" i="3"/>
  <c r="Z534" i="3"/>
  <c r="Y534" i="3"/>
  <c r="X534" i="3"/>
  <c r="Q534" i="3"/>
  <c r="AC533" i="3"/>
  <c r="Z533" i="3"/>
  <c r="Y533" i="3"/>
  <c r="X533" i="3"/>
  <c r="Q533" i="3"/>
  <c r="AC532" i="3"/>
  <c r="Z532" i="3"/>
  <c r="Y532" i="3"/>
  <c r="X532" i="3"/>
  <c r="Q532" i="3"/>
  <c r="AC531" i="3"/>
  <c r="Z531" i="3"/>
  <c r="Y531" i="3"/>
  <c r="X531" i="3"/>
  <c r="Q531" i="3"/>
  <c r="AC530" i="3"/>
  <c r="Z530" i="3"/>
  <c r="Y530" i="3"/>
  <c r="X530" i="3"/>
  <c r="Q530" i="3"/>
  <c r="AC529" i="3"/>
  <c r="Z529" i="3"/>
  <c r="Y529" i="3"/>
  <c r="X529" i="3"/>
  <c r="Q529" i="3"/>
  <c r="AC528" i="3"/>
  <c r="Z528" i="3"/>
  <c r="Y528" i="3"/>
  <c r="X528" i="3"/>
  <c r="Q528" i="3"/>
  <c r="AC527" i="3"/>
  <c r="Z527" i="3"/>
  <c r="Y527" i="3"/>
  <c r="X527" i="3"/>
  <c r="Q527" i="3"/>
  <c r="AC526" i="3"/>
  <c r="Z526" i="3"/>
  <c r="Y526" i="3"/>
  <c r="X526" i="3"/>
  <c r="Q526" i="3"/>
  <c r="AC525" i="3"/>
  <c r="Z525" i="3"/>
  <c r="Y525" i="3"/>
  <c r="X525" i="3"/>
  <c r="Q525" i="3"/>
  <c r="AC524" i="3"/>
  <c r="Z524" i="3"/>
  <c r="Y524" i="3"/>
  <c r="X524" i="3"/>
  <c r="Q524" i="3"/>
  <c r="AC523" i="3"/>
  <c r="Z523" i="3"/>
  <c r="Y523" i="3"/>
  <c r="X523" i="3"/>
  <c r="Q523" i="3"/>
  <c r="AC522" i="3"/>
  <c r="Z522" i="3"/>
  <c r="Y522" i="3"/>
  <c r="X522" i="3"/>
  <c r="Q522" i="3"/>
  <c r="AC13" i="3"/>
  <c r="Z13" i="3"/>
  <c r="Y13" i="3"/>
  <c r="X13" i="3"/>
  <c r="Q13" i="3"/>
  <c r="AC521" i="3"/>
  <c r="Z521" i="3"/>
  <c r="Y521" i="3"/>
  <c r="X521" i="3"/>
  <c r="Q521" i="3"/>
  <c r="AC520" i="3"/>
  <c r="Z520" i="3"/>
  <c r="Y520" i="3"/>
  <c r="X520" i="3"/>
  <c r="Q520" i="3"/>
  <c r="AC519" i="3"/>
  <c r="Z519" i="3"/>
  <c r="Y519" i="3"/>
  <c r="X519" i="3"/>
  <c r="Q519" i="3"/>
  <c r="AC518" i="3"/>
  <c r="Z518" i="3"/>
  <c r="Y518" i="3"/>
  <c r="X518" i="3"/>
  <c r="Q518" i="3"/>
  <c r="AC517" i="3"/>
  <c r="Z517" i="3"/>
  <c r="Y517" i="3"/>
  <c r="X517" i="3"/>
  <c r="Q517" i="3"/>
  <c r="AC516" i="3"/>
  <c r="Z516" i="3"/>
  <c r="Y516" i="3"/>
  <c r="X516" i="3"/>
  <c r="Q516" i="3"/>
  <c r="AC515" i="3"/>
  <c r="Z515" i="3"/>
  <c r="Y515" i="3"/>
  <c r="X515" i="3"/>
  <c r="Q515" i="3"/>
  <c r="AC514" i="3"/>
  <c r="Z514" i="3"/>
  <c r="Y514" i="3"/>
  <c r="X514" i="3"/>
  <c r="Q514" i="3"/>
  <c r="AC513" i="3"/>
  <c r="Z513" i="3"/>
  <c r="Y513" i="3"/>
  <c r="X513" i="3"/>
  <c r="Q513" i="3"/>
  <c r="AC512" i="3"/>
  <c r="Z512" i="3"/>
  <c r="Y512" i="3"/>
  <c r="X512" i="3"/>
  <c r="Q512" i="3"/>
  <c r="AC511" i="3"/>
  <c r="Z511" i="3"/>
  <c r="Y511" i="3"/>
  <c r="X511" i="3"/>
  <c r="Q511" i="3"/>
  <c r="AC510" i="3"/>
  <c r="Z510" i="3"/>
  <c r="Y510" i="3"/>
  <c r="X510" i="3"/>
  <c r="Q510" i="3"/>
  <c r="AC509" i="3"/>
  <c r="Z509" i="3"/>
  <c r="Y509" i="3"/>
  <c r="X509" i="3"/>
  <c r="Q509" i="3"/>
  <c r="AC71" i="3"/>
  <c r="Z71" i="3"/>
  <c r="Y71" i="3"/>
  <c r="X71" i="3"/>
  <c r="Q71" i="3"/>
  <c r="AC508" i="3"/>
  <c r="Z508" i="3"/>
  <c r="Y508" i="3"/>
  <c r="X508" i="3"/>
  <c r="Q508" i="3"/>
  <c r="AC507" i="3"/>
  <c r="Z507" i="3"/>
  <c r="Y507" i="3"/>
  <c r="X507" i="3"/>
  <c r="Q507" i="3"/>
  <c r="AC20" i="3"/>
  <c r="Z20" i="3"/>
  <c r="Y20" i="3"/>
  <c r="X20" i="3"/>
  <c r="Q20" i="3"/>
  <c r="AC506" i="3"/>
  <c r="Z506" i="3"/>
  <c r="Y506" i="3"/>
  <c r="X506" i="3"/>
  <c r="Q506" i="3"/>
  <c r="AC505" i="3"/>
  <c r="Z505" i="3"/>
  <c r="Y505" i="3"/>
  <c r="X505" i="3"/>
  <c r="Q505" i="3"/>
  <c r="AC81" i="3"/>
  <c r="Z81" i="3"/>
  <c r="Y81" i="3"/>
  <c r="X81" i="3"/>
  <c r="Q81" i="3"/>
  <c r="AC504" i="3"/>
  <c r="Z504" i="3"/>
  <c r="Y504" i="3"/>
  <c r="X504" i="3"/>
  <c r="Q504" i="3"/>
  <c r="AC503" i="3"/>
  <c r="Z503" i="3"/>
  <c r="Y503" i="3"/>
  <c r="X503" i="3"/>
  <c r="Q503" i="3"/>
  <c r="AC502" i="3"/>
  <c r="Z502" i="3"/>
  <c r="Y502" i="3"/>
  <c r="X502" i="3"/>
  <c r="Q502" i="3"/>
  <c r="AC501" i="3"/>
  <c r="Z501" i="3"/>
  <c r="Y501" i="3"/>
  <c r="X501" i="3"/>
  <c r="Q501" i="3"/>
  <c r="AC500" i="3"/>
  <c r="Z500" i="3"/>
  <c r="Y500" i="3"/>
  <c r="X500" i="3"/>
  <c r="Q500" i="3"/>
  <c r="AC499" i="3"/>
  <c r="Z499" i="3"/>
  <c r="Y499" i="3"/>
  <c r="X499" i="3"/>
  <c r="Q499" i="3"/>
  <c r="AC498" i="3"/>
  <c r="Z498" i="3"/>
  <c r="Y498" i="3"/>
  <c r="X498" i="3"/>
  <c r="Q498" i="3"/>
  <c r="AC497" i="3"/>
  <c r="Z497" i="3"/>
  <c r="Y497" i="3"/>
  <c r="X497" i="3"/>
  <c r="Q497" i="3"/>
  <c r="AC496" i="3"/>
  <c r="Z496" i="3"/>
  <c r="Y496" i="3"/>
  <c r="X496" i="3"/>
  <c r="Q496" i="3"/>
  <c r="AC495" i="3"/>
  <c r="Z495" i="3"/>
  <c r="Y495" i="3"/>
  <c r="X495" i="3"/>
  <c r="Q495" i="3"/>
  <c r="AC494" i="3"/>
  <c r="Z494" i="3"/>
  <c r="Y494" i="3"/>
  <c r="X494" i="3"/>
  <c r="Q494" i="3"/>
  <c r="AC493" i="3"/>
  <c r="Z493" i="3"/>
  <c r="Y493" i="3"/>
  <c r="X493" i="3"/>
  <c r="Q493" i="3"/>
  <c r="AC105" i="3"/>
  <c r="Z105" i="3"/>
  <c r="Y105" i="3"/>
  <c r="X105" i="3"/>
  <c r="Q105" i="3"/>
  <c r="AC492" i="3"/>
  <c r="Z492" i="3"/>
  <c r="Y492" i="3"/>
  <c r="X492" i="3"/>
  <c r="Q492" i="3"/>
  <c r="AC136" i="3"/>
  <c r="Z136" i="3"/>
  <c r="Y136" i="3"/>
  <c r="X136" i="3"/>
  <c r="Q136" i="3"/>
  <c r="AC491" i="3"/>
  <c r="Z491" i="3"/>
  <c r="Y491" i="3"/>
  <c r="X491" i="3"/>
  <c r="Q491" i="3"/>
  <c r="AC490" i="3"/>
  <c r="Z490" i="3"/>
  <c r="Y490" i="3"/>
  <c r="X490" i="3"/>
  <c r="Q490" i="3"/>
  <c r="AC489" i="3"/>
  <c r="Z489" i="3"/>
  <c r="Y489" i="3"/>
  <c r="X489" i="3"/>
  <c r="Q489" i="3"/>
  <c r="AC170" i="3"/>
  <c r="Z170" i="3"/>
  <c r="Y170" i="3"/>
  <c r="X170" i="3"/>
  <c r="Q170" i="3"/>
  <c r="AC488" i="3"/>
  <c r="Z488" i="3"/>
  <c r="Y488" i="3"/>
  <c r="X488" i="3"/>
  <c r="Q488" i="3"/>
  <c r="AC129" i="3"/>
  <c r="Z129" i="3"/>
  <c r="Y129" i="3"/>
  <c r="X129" i="3"/>
  <c r="Q129" i="3"/>
  <c r="AC487" i="3"/>
  <c r="Z487" i="3"/>
  <c r="Y487" i="3"/>
  <c r="X487" i="3"/>
  <c r="Q487" i="3"/>
  <c r="AC486" i="3"/>
  <c r="Z486" i="3"/>
  <c r="Y486" i="3"/>
  <c r="X486" i="3"/>
  <c r="Q486" i="3"/>
  <c r="AC485" i="3"/>
  <c r="Z485" i="3"/>
  <c r="Y485" i="3"/>
  <c r="X485" i="3"/>
  <c r="Q485" i="3"/>
  <c r="AC484" i="3"/>
  <c r="Z484" i="3"/>
  <c r="Y484" i="3"/>
  <c r="X484" i="3"/>
  <c r="Q484" i="3"/>
  <c r="AC483" i="3"/>
  <c r="Z483" i="3"/>
  <c r="Y483" i="3"/>
  <c r="X483" i="3"/>
  <c r="Q483" i="3"/>
  <c r="AC482" i="3"/>
  <c r="Z482" i="3"/>
  <c r="Y482" i="3"/>
  <c r="X482" i="3"/>
  <c r="Q482" i="3"/>
  <c r="AC481" i="3"/>
  <c r="Z481" i="3"/>
  <c r="Y481" i="3"/>
  <c r="X481" i="3"/>
  <c r="Q481" i="3"/>
  <c r="AC184" i="3"/>
  <c r="Z184" i="3"/>
  <c r="Y184" i="3"/>
  <c r="X184" i="3"/>
  <c r="Q184" i="3"/>
  <c r="AC480" i="3"/>
  <c r="Z480" i="3"/>
  <c r="Y480" i="3"/>
  <c r="X480" i="3"/>
  <c r="Q480" i="3"/>
  <c r="AC479" i="3"/>
  <c r="Z479" i="3"/>
  <c r="Y479" i="3"/>
  <c r="X479" i="3"/>
  <c r="Q479" i="3"/>
  <c r="AC478" i="3"/>
  <c r="Z478" i="3"/>
  <c r="Y478" i="3"/>
  <c r="X478" i="3"/>
  <c r="Q478" i="3"/>
  <c r="AC477" i="3"/>
  <c r="Z477" i="3"/>
  <c r="Y477" i="3"/>
  <c r="X477" i="3"/>
  <c r="Q477" i="3"/>
  <c r="AC187" i="3"/>
  <c r="Z187" i="3"/>
  <c r="Y187" i="3"/>
  <c r="X187" i="3"/>
  <c r="Q187" i="3"/>
  <c r="AC476" i="3"/>
  <c r="Z476" i="3"/>
  <c r="Y476" i="3"/>
  <c r="X476" i="3"/>
  <c r="Q476" i="3"/>
  <c r="AC475" i="3"/>
  <c r="Z475" i="3"/>
  <c r="Y475" i="3"/>
  <c r="X475" i="3"/>
  <c r="Q475" i="3"/>
  <c r="AC53" i="3"/>
  <c r="Z53" i="3"/>
  <c r="Y53" i="3"/>
  <c r="X53" i="3"/>
  <c r="Q53" i="3"/>
  <c r="AC474" i="3"/>
  <c r="Z474" i="3"/>
  <c r="Y474" i="3"/>
  <c r="X474" i="3"/>
  <c r="Q474" i="3"/>
  <c r="AC473" i="3"/>
  <c r="Z473" i="3"/>
  <c r="Y473" i="3"/>
  <c r="X473" i="3"/>
  <c r="Q473" i="3"/>
  <c r="AC472" i="3"/>
  <c r="Z472" i="3"/>
  <c r="Y472" i="3"/>
  <c r="X472" i="3"/>
  <c r="Q472" i="3"/>
  <c r="AC471" i="3"/>
  <c r="Z471" i="3"/>
  <c r="Y471" i="3"/>
  <c r="X471" i="3"/>
  <c r="Q471" i="3"/>
  <c r="AC191" i="3"/>
  <c r="Z191" i="3"/>
  <c r="Y191" i="3"/>
  <c r="X191" i="3"/>
  <c r="Q191" i="3"/>
  <c r="AC173" i="3"/>
  <c r="Z173" i="3"/>
  <c r="Y173" i="3"/>
  <c r="X173" i="3"/>
  <c r="Q173" i="3"/>
  <c r="AC470" i="3"/>
  <c r="Z470" i="3"/>
  <c r="Y470" i="3"/>
  <c r="X470" i="3"/>
  <c r="Q470" i="3"/>
  <c r="AC469" i="3"/>
  <c r="Z469" i="3"/>
  <c r="Y469" i="3"/>
  <c r="X469" i="3"/>
  <c r="Q469" i="3"/>
  <c r="AC468" i="3"/>
  <c r="Z468" i="3"/>
  <c r="Y468" i="3"/>
  <c r="X468" i="3"/>
  <c r="Q468" i="3"/>
  <c r="AC467" i="3"/>
  <c r="Z467" i="3"/>
  <c r="Y467" i="3"/>
  <c r="X467" i="3"/>
  <c r="Q467" i="3"/>
  <c r="AC466" i="3"/>
  <c r="Z466" i="3"/>
  <c r="Y466" i="3"/>
  <c r="X466" i="3"/>
  <c r="Q466" i="3"/>
  <c r="AC124" i="3"/>
  <c r="Z124" i="3"/>
  <c r="Y124" i="3"/>
  <c r="X124" i="3"/>
  <c r="Q124" i="3"/>
  <c r="AC465" i="3"/>
  <c r="Z465" i="3"/>
  <c r="Y465" i="3"/>
  <c r="X465" i="3"/>
  <c r="Q465" i="3"/>
  <c r="AC464" i="3"/>
  <c r="Z464" i="3"/>
  <c r="Y464" i="3"/>
  <c r="X464" i="3"/>
  <c r="Q464" i="3"/>
  <c r="AC76" i="3"/>
  <c r="Z76" i="3"/>
  <c r="Y76" i="3"/>
  <c r="X76" i="3"/>
  <c r="Q76" i="3"/>
  <c r="AC38" i="3"/>
  <c r="Z38" i="3"/>
  <c r="Y38" i="3"/>
  <c r="X38" i="3"/>
  <c r="Q38" i="3"/>
  <c r="AC463" i="3"/>
  <c r="Z463" i="3"/>
  <c r="Y463" i="3"/>
  <c r="X463" i="3"/>
  <c r="Q463" i="3"/>
  <c r="AC166" i="3"/>
  <c r="Z166" i="3"/>
  <c r="Y166" i="3"/>
  <c r="X166" i="3"/>
  <c r="Q166" i="3"/>
  <c r="AC104" i="3"/>
  <c r="Z104" i="3"/>
  <c r="Y104" i="3"/>
  <c r="X104" i="3"/>
  <c r="Q104" i="3"/>
  <c r="AC462" i="3"/>
  <c r="Z462" i="3"/>
  <c r="Y462" i="3"/>
  <c r="X462" i="3"/>
  <c r="Q462" i="3"/>
  <c r="AC461" i="3"/>
  <c r="Z461" i="3"/>
  <c r="Y461" i="3"/>
  <c r="X461" i="3"/>
  <c r="Q461" i="3"/>
  <c r="AC189" i="3"/>
  <c r="Z189" i="3"/>
  <c r="Y189" i="3"/>
  <c r="X189" i="3"/>
  <c r="Q189" i="3"/>
  <c r="AC460" i="3"/>
  <c r="Z460" i="3"/>
  <c r="Y460" i="3"/>
  <c r="X460" i="3"/>
  <c r="Q460" i="3"/>
  <c r="AC122" i="3"/>
  <c r="Z122" i="3"/>
  <c r="Y122" i="3"/>
  <c r="X122" i="3"/>
  <c r="Q122" i="3"/>
  <c r="AC459" i="3"/>
  <c r="Z459" i="3"/>
  <c r="Y459" i="3"/>
  <c r="X459" i="3"/>
  <c r="Q459" i="3"/>
  <c r="AC458" i="3"/>
  <c r="Z458" i="3"/>
  <c r="Y458" i="3"/>
  <c r="X458" i="3"/>
  <c r="Q458" i="3"/>
  <c r="AC457" i="3"/>
  <c r="Z457" i="3"/>
  <c r="Y457" i="3"/>
  <c r="X457" i="3"/>
  <c r="Q457" i="3"/>
  <c r="AC456" i="3"/>
  <c r="Z456" i="3"/>
  <c r="Y456" i="3"/>
  <c r="X456" i="3"/>
  <c r="Q456" i="3"/>
  <c r="AC455" i="3"/>
  <c r="Z455" i="3"/>
  <c r="Y455" i="3"/>
  <c r="X455" i="3"/>
  <c r="Q455" i="3"/>
  <c r="AC454" i="3"/>
  <c r="Z454" i="3"/>
  <c r="Y454" i="3"/>
  <c r="X454" i="3"/>
  <c r="Q454" i="3"/>
  <c r="AC123" i="3"/>
  <c r="Z123" i="3"/>
  <c r="Y123" i="3"/>
  <c r="X123" i="3"/>
  <c r="Q123" i="3"/>
  <c r="AC453" i="3"/>
  <c r="Z453" i="3"/>
  <c r="Y453" i="3"/>
  <c r="X453" i="3"/>
  <c r="Q453" i="3"/>
  <c r="AC128" i="3"/>
  <c r="Z128" i="3"/>
  <c r="Y128" i="3"/>
  <c r="X128" i="3"/>
  <c r="Q128" i="3"/>
  <c r="AC452" i="3"/>
  <c r="Z452" i="3"/>
  <c r="Y452" i="3"/>
  <c r="X452" i="3"/>
  <c r="Q452" i="3"/>
  <c r="AC451" i="3"/>
  <c r="Z451" i="3"/>
  <c r="Y451" i="3"/>
  <c r="X451" i="3"/>
  <c r="Q451" i="3"/>
  <c r="AC450" i="3"/>
  <c r="Z450" i="3"/>
  <c r="Y450" i="3"/>
  <c r="X450" i="3"/>
  <c r="Q450" i="3"/>
  <c r="AC449" i="3"/>
  <c r="Z449" i="3"/>
  <c r="Y449" i="3"/>
  <c r="X449" i="3"/>
  <c r="Q449" i="3"/>
  <c r="AC448" i="3"/>
  <c r="Z448" i="3"/>
  <c r="Y448" i="3"/>
  <c r="X448" i="3"/>
  <c r="Q448" i="3"/>
  <c r="AC447" i="3"/>
  <c r="Z447" i="3"/>
  <c r="Y447" i="3"/>
  <c r="X447" i="3"/>
  <c r="Q447" i="3"/>
  <c r="AC446" i="3"/>
  <c r="Z446" i="3"/>
  <c r="Y446" i="3"/>
  <c r="X446" i="3"/>
  <c r="Q446" i="3"/>
  <c r="AC445" i="3"/>
  <c r="Z445" i="3"/>
  <c r="Y445" i="3"/>
  <c r="X445" i="3"/>
  <c r="Q445" i="3"/>
  <c r="AC444" i="3"/>
  <c r="Z444" i="3"/>
  <c r="Y444" i="3"/>
  <c r="X444" i="3"/>
  <c r="Q444" i="3"/>
  <c r="AC443" i="3"/>
  <c r="Z443" i="3"/>
  <c r="Y443" i="3"/>
  <c r="X443" i="3"/>
  <c r="Q443" i="3"/>
  <c r="AC442" i="3"/>
  <c r="Z442" i="3"/>
  <c r="Y442" i="3"/>
  <c r="X442" i="3"/>
  <c r="Q442" i="3"/>
  <c r="AC200" i="3"/>
  <c r="Z200" i="3"/>
  <c r="Y200" i="3"/>
  <c r="X200" i="3"/>
  <c r="Q200" i="3"/>
  <c r="AC441" i="3"/>
  <c r="Z441" i="3"/>
  <c r="Y441" i="3"/>
  <c r="X441" i="3"/>
  <c r="Q441" i="3"/>
  <c r="AC440" i="3"/>
  <c r="Z440" i="3"/>
  <c r="Y440" i="3"/>
  <c r="X440" i="3"/>
  <c r="Q440" i="3"/>
  <c r="AC439" i="3"/>
  <c r="Z439" i="3"/>
  <c r="Y439" i="3"/>
  <c r="X439" i="3"/>
  <c r="Q439" i="3"/>
  <c r="AC438" i="3"/>
  <c r="Z438" i="3"/>
  <c r="Y438" i="3"/>
  <c r="X438" i="3"/>
  <c r="Q438" i="3"/>
  <c r="AC437" i="3"/>
  <c r="Z437" i="3"/>
  <c r="Y437" i="3"/>
  <c r="X437" i="3"/>
  <c r="Q437" i="3"/>
  <c r="AC436" i="3"/>
  <c r="Z436" i="3"/>
  <c r="Y436" i="3"/>
  <c r="X436" i="3"/>
  <c r="Q436" i="3"/>
  <c r="AC118" i="3"/>
  <c r="Z118" i="3"/>
  <c r="Y118" i="3"/>
  <c r="X118" i="3"/>
  <c r="Q118" i="3"/>
  <c r="AC435" i="3"/>
  <c r="Z435" i="3"/>
  <c r="Y435" i="3"/>
  <c r="X435" i="3"/>
  <c r="Q435" i="3"/>
  <c r="AC434" i="3"/>
  <c r="Z434" i="3"/>
  <c r="Y434" i="3"/>
  <c r="X434" i="3"/>
  <c r="Q434" i="3"/>
  <c r="AC433" i="3"/>
  <c r="Z433" i="3"/>
  <c r="Y433" i="3"/>
  <c r="X433" i="3"/>
  <c r="Q433" i="3"/>
  <c r="AC432" i="3"/>
  <c r="Z432" i="3"/>
  <c r="Y432" i="3"/>
  <c r="X432" i="3"/>
  <c r="Q432" i="3"/>
  <c r="AC431" i="3"/>
  <c r="Z431" i="3"/>
  <c r="Y431" i="3"/>
  <c r="X431" i="3"/>
  <c r="Q431" i="3"/>
  <c r="AC430" i="3"/>
  <c r="Z430" i="3"/>
  <c r="Y430" i="3"/>
  <c r="X430" i="3"/>
  <c r="Q430" i="3"/>
  <c r="AC429" i="3"/>
  <c r="Z429" i="3"/>
  <c r="Y429" i="3"/>
  <c r="X429" i="3"/>
  <c r="Q429" i="3"/>
  <c r="AC428" i="3"/>
  <c r="Z428" i="3"/>
  <c r="Y428" i="3"/>
  <c r="X428" i="3"/>
  <c r="Q428" i="3"/>
  <c r="AC155" i="3"/>
  <c r="Z155" i="3"/>
  <c r="Y155" i="3"/>
  <c r="X155" i="3"/>
  <c r="Q155" i="3"/>
  <c r="AC427" i="3"/>
  <c r="Z427" i="3"/>
  <c r="Y427" i="3"/>
  <c r="X427" i="3"/>
  <c r="Q427" i="3"/>
  <c r="AC426" i="3"/>
  <c r="Z426" i="3"/>
  <c r="Y426" i="3"/>
  <c r="X426" i="3"/>
  <c r="Q426" i="3"/>
  <c r="AC425" i="3"/>
  <c r="Z425" i="3"/>
  <c r="Y425" i="3"/>
  <c r="X425" i="3"/>
  <c r="Q425" i="3"/>
  <c r="AC424" i="3"/>
  <c r="Z424" i="3"/>
  <c r="Y424" i="3"/>
  <c r="X424" i="3"/>
  <c r="Q424" i="3"/>
  <c r="AC135" i="3"/>
  <c r="Z135" i="3"/>
  <c r="Y135" i="3"/>
  <c r="X135" i="3"/>
  <c r="Q135" i="3"/>
  <c r="AC423" i="3"/>
  <c r="Z423" i="3"/>
  <c r="Y423" i="3"/>
  <c r="X423" i="3"/>
  <c r="Q423" i="3"/>
  <c r="AC422" i="3"/>
  <c r="Z422" i="3"/>
  <c r="Y422" i="3"/>
  <c r="X422" i="3"/>
  <c r="Q422" i="3"/>
  <c r="AC421" i="3"/>
  <c r="Z421" i="3"/>
  <c r="Y421" i="3"/>
  <c r="X421" i="3"/>
  <c r="Q421" i="3"/>
  <c r="AC420" i="3"/>
  <c r="Z420" i="3"/>
  <c r="Y420" i="3"/>
  <c r="X420" i="3"/>
  <c r="Q420" i="3"/>
  <c r="AC419" i="3"/>
  <c r="Z419" i="3"/>
  <c r="Y419" i="3"/>
  <c r="X419" i="3"/>
  <c r="Q419" i="3"/>
  <c r="AC418" i="3"/>
  <c r="Z418" i="3"/>
  <c r="Y418" i="3"/>
  <c r="X418" i="3"/>
  <c r="Q418" i="3"/>
  <c r="AC417" i="3"/>
  <c r="Z417" i="3"/>
  <c r="Y417" i="3"/>
  <c r="X417" i="3"/>
  <c r="Q417" i="3"/>
  <c r="AC416" i="3"/>
  <c r="Z416" i="3"/>
  <c r="Y416" i="3"/>
  <c r="X416" i="3"/>
  <c r="Q416" i="3"/>
  <c r="AC415" i="3"/>
  <c r="Z415" i="3"/>
  <c r="Y415" i="3"/>
  <c r="X415" i="3"/>
  <c r="Q415" i="3"/>
  <c r="AC56" i="3"/>
  <c r="Z56" i="3"/>
  <c r="Y56" i="3"/>
  <c r="X56" i="3"/>
  <c r="Q56" i="3"/>
  <c r="AC414" i="3"/>
  <c r="Z414" i="3"/>
  <c r="Y414" i="3"/>
  <c r="X414" i="3"/>
  <c r="Q414" i="3"/>
  <c r="AC413" i="3"/>
  <c r="Z413" i="3"/>
  <c r="Y413" i="3"/>
  <c r="X413" i="3"/>
  <c r="Q413" i="3"/>
  <c r="AC412" i="3"/>
  <c r="Z412" i="3"/>
  <c r="Y412" i="3"/>
  <c r="X412" i="3"/>
  <c r="Q412" i="3"/>
  <c r="AC411" i="3"/>
  <c r="Z411" i="3"/>
  <c r="Y411" i="3"/>
  <c r="X411" i="3"/>
  <c r="Q411" i="3"/>
  <c r="AC410" i="3"/>
  <c r="Z410" i="3"/>
  <c r="Y410" i="3"/>
  <c r="X410" i="3"/>
  <c r="Q410" i="3"/>
  <c r="AC409" i="3"/>
  <c r="Z409" i="3"/>
  <c r="Y409" i="3"/>
  <c r="X409" i="3"/>
  <c r="Q409" i="3"/>
  <c r="AC127" i="3"/>
  <c r="Z127" i="3"/>
  <c r="Y127" i="3"/>
  <c r="X127" i="3"/>
  <c r="Q127" i="3"/>
  <c r="AC408" i="3"/>
  <c r="Z408" i="3"/>
  <c r="Y408" i="3"/>
  <c r="X408" i="3"/>
  <c r="Q408" i="3"/>
  <c r="AC407" i="3"/>
  <c r="Z407" i="3"/>
  <c r="Y407" i="3"/>
  <c r="X407" i="3"/>
  <c r="Q407" i="3"/>
  <c r="AC406" i="3"/>
  <c r="Z406" i="3"/>
  <c r="Y406" i="3"/>
  <c r="X406" i="3"/>
  <c r="Q406" i="3"/>
  <c r="AC405" i="3"/>
  <c r="Z405" i="3"/>
  <c r="Y405" i="3"/>
  <c r="X405" i="3"/>
  <c r="Q405" i="3"/>
  <c r="AC404" i="3"/>
  <c r="Z404" i="3"/>
  <c r="Y404" i="3"/>
  <c r="X404" i="3"/>
  <c r="Q404" i="3"/>
  <c r="AC403" i="3"/>
  <c r="Z403" i="3"/>
  <c r="Y403" i="3"/>
  <c r="X403" i="3"/>
  <c r="Q403" i="3"/>
  <c r="AC402" i="3"/>
  <c r="Z402" i="3"/>
  <c r="Y402" i="3"/>
  <c r="X402" i="3"/>
  <c r="Q402" i="3"/>
  <c r="AC401" i="3"/>
  <c r="Z401" i="3"/>
  <c r="Y401" i="3"/>
  <c r="X401" i="3"/>
  <c r="Q401" i="3"/>
  <c r="AC400" i="3"/>
  <c r="Z400" i="3"/>
  <c r="Y400" i="3"/>
  <c r="X400" i="3"/>
  <c r="Q400" i="3"/>
  <c r="AC399" i="3"/>
  <c r="Z399" i="3"/>
  <c r="Y399" i="3"/>
  <c r="X399" i="3"/>
  <c r="Q399" i="3"/>
  <c r="AC398" i="3"/>
  <c r="Z398" i="3"/>
  <c r="Y398" i="3"/>
  <c r="X398" i="3"/>
  <c r="Q398" i="3"/>
  <c r="AC397" i="3"/>
  <c r="Z397" i="3"/>
  <c r="Y397" i="3"/>
  <c r="X397" i="3"/>
  <c r="Q397" i="3"/>
  <c r="AC396" i="3"/>
  <c r="Z396" i="3"/>
  <c r="Y396" i="3"/>
  <c r="X396" i="3"/>
  <c r="Q396" i="3"/>
  <c r="AC395" i="3"/>
  <c r="Z395" i="3"/>
  <c r="Y395" i="3"/>
  <c r="X395" i="3"/>
  <c r="Q395" i="3"/>
  <c r="AC394" i="3"/>
  <c r="Z394" i="3"/>
  <c r="Y394" i="3"/>
  <c r="X394" i="3"/>
  <c r="Q394" i="3"/>
  <c r="AC393" i="3"/>
  <c r="Z393" i="3"/>
  <c r="Y393" i="3"/>
  <c r="X393" i="3"/>
  <c r="Q393" i="3"/>
  <c r="AC392" i="3"/>
  <c r="Z392" i="3"/>
  <c r="Y392" i="3"/>
  <c r="X392" i="3"/>
  <c r="Q392" i="3"/>
  <c r="AC391" i="3"/>
  <c r="Z391" i="3"/>
  <c r="Y391" i="3"/>
  <c r="X391" i="3"/>
  <c r="Q391" i="3"/>
  <c r="AC199" i="3"/>
  <c r="Z199" i="3"/>
  <c r="Y199" i="3"/>
  <c r="X199" i="3"/>
  <c r="Q199" i="3"/>
  <c r="AC390" i="3"/>
  <c r="Z390" i="3"/>
  <c r="Y390" i="3"/>
  <c r="X390" i="3"/>
  <c r="Q390" i="3"/>
  <c r="AC389" i="3"/>
  <c r="Z389" i="3"/>
  <c r="Y389" i="3"/>
  <c r="X389" i="3"/>
  <c r="Q389" i="3"/>
  <c r="AC388" i="3"/>
  <c r="Z388" i="3"/>
  <c r="Y388" i="3"/>
  <c r="X388" i="3"/>
  <c r="Q388" i="3"/>
  <c r="AC387" i="3"/>
  <c r="Z387" i="3"/>
  <c r="Y387" i="3"/>
  <c r="X387" i="3"/>
  <c r="Q387" i="3"/>
  <c r="AC386" i="3"/>
  <c r="Z386" i="3"/>
  <c r="Y386" i="3"/>
  <c r="X386" i="3"/>
  <c r="Q386" i="3"/>
  <c r="AC385" i="3"/>
  <c r="Z385" i="3"/>
  <c r="Y385" i="3"/>
  <c r="X385" i="3"/>
  <c r="Q385" i="3"/>
  <c r="AC384" i="3"/>
  <c r="Z384" i="3"/>
  <c r="Y384" i="3"/>
  <c r="X384" i="3"/>
  <c r="Q384" i="3"/>
  <c r="AC383" i="3"/>
  <c r="Z383" i="3"/>
  <c r="Y383" i="3"/>
  <c r="X383" i="3"/>
  <c r="Q383" i="3"/>
  <c r="AC382" i="3"/>
  <c r="Z382" i="3"/>
  <c r="Y382" i="3"/>
  <c r="X382" i="3"/>
  <c r="Q382" i="3"/>
  <c r="AC103" i="3"/>
  <c r="Z103" i="3"/>
  <c r="Y103" i="3"/>
  <c r="X103" i="3"/>
  <c r="Q103" i="3"/>
  <c r="AC381" i="3"/>
  <c r="Z381" i="3"/>
  <c r="Y381" i="3"/>
  <c r="X381" i="3"/>
  <c r="Q381" i="3"/>
  <c r="AC380" i="3"/>
  <c r="Z380" i="3"/>
  <c r="Y380" i="3"/>
  <c r="X380" i="3"/>
  <c r="Q380" i="3"/>
  <c r="AC379" i="3"/>
  <c r="Z379" i="3"/>
  <c r="Y379" i="3"/>
  <c r="X379" i="3"/>
  <c r="Q379" i="3"/>
  <c r="AC378" i="3"/>
  <c r="Z378" i="3"/>
  <c r="Y378" i="3"/>
  <c r="X378" i="3"/>
  <c r="Q378" i="3"/>
  <c r="AC377" i="3"/>
  <c r="Z377" i="3"/>
  <c r="Y377" i="3"/>
  <c r="X377" i="3"/>
  <c r="Q377" i="3"/>
  <c r="AC376" i="3"/>
  <c r="Z376" i="3"/>
  <c r="Y376" i="3"/>
  <c r="X376" i="3"/>
  <c r="Q376" i="3"/>
  <c r="AC375" i="3"/>
  <c r="Z375" i="3"/>
  <c r="Y375" i="3"/>
  <c r="X375" i="3"/>
  <c r="Q375" i="3"/>
  <c r="AC40" i="3"/>
  <c r="Z40" i="3"/>
  <c r="Y40" i="3"/>
  <c r="X40" i="3"/>
  <c r="Q40" i="3"/>
  <c r="AC374" i="3"/>
  <c r="Z374" i="3"/>
  <c r="Y374" i="3"/>
  <c r="X374" i="3"/>
  <c r="Q374" i="3"/>
  <c r="AC373" i="3"/>
  <c r="Z373" i="3"/>
  <c r="Y373" i="3"/>
  <c r="X373" i="3"/>
  <c r="Q373" i="3"/>
  <c r="AC372" i="3"/>
  <c r="Z372" i="3"/>
  <c r="Y372" i="3"/>
  <c r="X372" i="3"/>
  <c r="Q372" i="3"/>
  <c r="AC371" i="3"/>
  <c r="Z371" i="3"/>
  <c r="Y371" i="3"/>
  <c r="X371" i="3"/>
  <c r="Q371" i="3"/>
  <c r="AC370" i="3"/>
  <c r="Z370" i="3"/>
  <c r="Y370" i="3"/>
  <c r="X370" i="3"/>
  <c r="Q370" i="3"/>
  <c r="AC369" i="3"/>
  <c r="Z369" i="3"/>
  <c r="Y369" i="3"/>
  <c r="X369" i="3"/>
  <c r="Q369" i="3"/>
  <c r="AC368" i="3"/>
  <c r="Z368" i="3"/>
  <c r="Y368" i="3"/>
  <c r="X368" i="3"/>
  <c r="Q368" i="3"/>
  <c r="AC367" i="3"/>
  <c r="Z367" i="3"/>
  <c r="Y367" i="3"/>
  <c r="X367" i="3"/>
  <c r="Q367" i="3"/>
  <c r="AC366" i="3"/>
  <c r="Z366" i="3"/>
  <c r="Y366" i="3"/>
  <c r="X366" i="3"/>
  <c r="Q366" i="3"/>
  <c r="AC365" i="3"/>
  <c r="Z365" i="3"/>
  <c r="Y365" i="3"/>
  <c r="X365" i="3"/>
  <c r="Q365" i="3"/>
  <c r="AC364" i="3"/>
  <c r="Z364" i="3"/>
  <c r="Y364" i="3"/>
  <c r="X364" i="3"/>
  <c r="Q364" i="3"/>
  <c r="AC102" i="3"/>
  <c r="Z102" i="3"/>
  <c r="Y102" i="3"/>
  <c r="X102" i="3"/>
  <c r="Q102" i="3"/>
  <c r="AC363" i="3"/>
  <c r="Z363" i="3"/>
  <c r="Y363" i="3"/>
  <c r="X363" i="3"/>
  <c r="Q363" i="3"/>
  <c r="AC362" i="3"/>
  <c r="Z362" i="3"/>
  <c r="Y362" i="3"/>
  <c r="X362" i="3"/>
  <c r="Q362" i="3"/>
  <c r="AC361" i="3"/>
  <c r="Z361" i="3"/>
  <c r="Y361" i="3"/>
  <c r="X361" i="3"/>
  <c r="Q361" i="3"/>
  <c r="AC360" i="3"/>
  <c r="Z360" i="3"/>
  <c r="Y360" i="3"/>
  <c r="X360" i="3"/>
  <c r="Q360" i="3"/>
  <c r="AC359" i="3"/>
  <c r="Z359" i="3"/>
  <c r="Y359" i="3"/>
  <c r="X359" i="3"/>
  <c r="Q359" i="3"/>
  <c r="AC358" i="3"/>
  <c r="Z358" i="3"/>
  <c r="Y358" i="3"/>
  <c r="X358" i="3"/>
  <c r="Q358" i="3"/>
  <c r="AC357" i="3"/>
  <c r="Z357" i="3"/>
  <c r="Y357" i="3"/>
  <c r="X357" i="3"/>
  <c r="Q357" i="3"/>
  <c r="AC356" i="3"/>
  <c r="Z356" i="3"/>
  <c r="Y356" i="3"/>
  <c r="X356" i="3"/>
  <c r="Q356" i="3"/>
  <c r="AC355" i="3"/>
  <c r="Z355" i="3"/>
  <c r="Y355" i="3"/>
  <c r="X355" i="3"/>
  <c r="Q355" i="3"/>
  <c r="AC354" i="3"/>
  <c r="Z354" i="3"/>
  <c r="Y354" i="3"/>
  <c r="X354" i="3"/>
  <c r="Q354" i="3"/>
  <c r="AC353" i="3"/>
  <c r="Z353" i="3"/>
  <c r="Y353" i="3"/>
  <c r="X353" i="3"/>
  <c r="Q353" i="3"/>
  <c r="AC15" i="3"/>
  <c r="Z15" i="3"/>
  <c r="Y15" i="3"/>
  <c r="X15" i="3"/>
  <c r="Q15" i="3"/>
  <c r="AC352" i="3"/>
  <c r="Z352" i="3"/>
  <c r="Y352" i="3"/>
  <c r="X352" i="3"/>
  <c r="Q352" i="3"/>
  <c r="AC351" i="3"/>
  <c r="Z351" i="3"/>
  <c r="Y351" i="3"/>
  <c r="X351" i="3"/>
  <c r="Q351" i="3"/>
  <c r="AC350" i="3"/>
  <c r="Z350" i="3"/>
  <c r="Y350" i="3"/>
  <c r="X350" i="3"/>
  <c r="Q350" i="3"/>
  <c r="AC349" i="3"/>
  <c r="Z349" i="3"/>
  <c r="Y349" i="3"/>
  <c r="X349" i="3"/>
  <c r="Q349" i="3"/>
  <c r="AC72" i="3"/>
  <c r="Z72" i="3"/>
  <c r="Y72" i="3"/>
  <c r="X72" i="3"/>
  <c r="Q72" i="3"/>
  <c r="AC348" i="3"/>
  <c r="Z348" i="3"/>
  <c r="Y348" i="3"/>
  <c r="X348" i="3"/>
  <c r="Q348" i="3"/>
  <c r="AC347" i="3"/>
  <c r="Z347" i="3"/>
  <c r="Y347" i="3"/>
  <c r="X347" i="3"/>
  <c r="Q347" i="3"/>
  <c r="AC346" i="3"/>
  <c r="Z346" i="3"/>
  <c r="Y346" i="3"/>
  <c r="X346" i="3"/>
  <c r="Q346" i="3"/>
  <c r="AC345" i="3"/>
  <c r="Z345" i="3"/>
  <c r="Y345" i="3"/>
  <c r="X345" i="3"/>
  <c r="Q345" i="3"/>
  <c r="AC344" i="3"/>
  <c r="Z344" i="3"/>
  <c r="Y344" i="3"/>
  <c r="X344" i="3"/>
  <c r="Q344" i="3"/>
  <c r="AC58" i="3"/>
  <c r="Z58" i="3"/>
  <c r="Y58" i="3"/>
  <c r="X58" i="3"/>
  <c r="Q58" i="3"/>
  <c r="AC343" i="3"/>
  <c r="Z343" i="3"/>
  <c r="Y343" i="3"/>
  <c r="X343" i="3"/>
  <c r="Q343" i="3"/>
  <c r="AC66" i="3"/>
  <c r="Z66" i="3"/>
  <c r="Y66" i="3"/>
  <c r="X66" i="3"/>
  <c r="Q66" i="3"/>
  <c r="AC342" i="3"/>
  <c r="Z342" i="3"/>
  <c r="Y342" i="3"/>
  <c r="X342" i="3"/>
  <c r="Q342" i="3"/>
  <c r="AC341" i="3"/>
  <c r="Z341" i="3"/>
  <c r="Y341" i="3"/>
  <c r="X341" i="3"/>
  <c r="Q341" i="3"/>
  <c r="AC340" i="3"/>
  <c r="Z340" i="3"/>
  <c r="Y340" i="3"/>
  <c r="X340" i="3"/>
  <c r="Q340" i="3"/>
  <c r="AC147" i="3"/>
  <c r="Z147" i="3"/>
  <c r="Y147" i="3"/>
  <c r="X147" i="3"/>
  <c r="Q147" i="3"/>
  <c r="AC339" i="3"/>
  <c r="Z339" i="3"/>
  <c r="Y339" i="3"/>
  <c r="X339" i="3"/>
  <c r="Q339" i="3"/>
  <c r="AC338" i="3"/>
  <c r="Z338" i="3"/>
  <c r="Y338" i="3"/>
  <c r="X338" i="3"/>
  <c r="Q338" i="3"/>
  <c r="AC337" i="3"/>
  <c r="Z337" i="3"/>
  <c r="Y337" i="3"/>
  <c r="X337" i="3"/>
  <c r="Q337" i="3"/>
  <c r="AC336" i="3"/>
  <c r="Z336" i="3"/>
  <c r="Y336" i="3"/>
  <c r="X336" i="3"/>
  <c r="Q336" i="3"/>
  <c r="AC335" i="3"/>
  <c r="Z335" i="3"/>
  <c r="Y335" i="3"/>
  <c r="X335" i="3"/>
  <c r="Q335" i="3"/>
  <c r="AC334" i="3"/>
  <c r="Z334" i="3"/>
  <c r="Y334" i="3"/>
  <c r="X334" i="3"/>
  <c r="Q334" i="3"/>
  <c r="AC333" i="3"/>
  <c r="Z333" i="3"/>
  <c r="Y333" i="3"/>
  <c r="X333" i="3"/>
  <c r="Q333" i="3"/>
  <c r="AC332" i="3"/>
  <c r="Z332" i="3"/>
  <c r="Y332" i="3"/>
  <c r="X332" i="3"/>
  <c r="Q332" i="3"/>
  <c r="AC331" i="3"/>
  <c r="Z331" i="3"/>
  <c r="Y331" i="3"/>
  <c r="X331" i="3"/>
  <c r="Q331" i="3"/>
  <c r="AC330" i="3"/>
  <c r="Z330" i="3"/>
  <c r="Y330" i="3"/>
  <c r="X330" i="3"/>
  <c r="Q330" i="3"/>
  <c r="AC329" i="3"/>
  <c r="Z329" i="3"/>
  <c r="Y329" i="3"/>
  <c r="X329" i="3"/>
  <c r="Q329" i="3"/>
  <c r="AC328" i="3"/>
  <c r="Z328" i="3"/>
  <c r="Y328" i="3"/>
  <c r="X328" i="3"/>
  <c r="Q328" i="3"/>
  <c r="AC327" i="3"/>
  <c r="Z327" i="3"/>
  <c r="Y327" i="3"/>
  <c r="X327" i="3"/>
  <c r="Q327" i="3"/>
  <c r="AC326" i="3"/>
  <c r="Z326" i="3"/>
  <c r="Y326" i="3"/>
  <c r="X326" i="3"/>
  <c r="Q326" i="3"/>
  <c r="AC325" i="3"/>
  <c r="Z325" i="3"/>
  <c r="Y325" i="3"/>
  <c r="X325" i="3"/>
  <c r="Q325" i="3"/>
  <c r="AC324" i="3"/>
  <c r="Z324" i="3"/>
  <c r="Y324" i="3"/>
  <c r="X324" i="3"/>
  <c r="Q324" i="3"/>
  <c r="AC323" i="3"/>
  <c r="Z323" i="3"/>
  <c r="Y323" i="3"/>
  <c r="X323" i="3"/>
  <c r="Q323" i="3"/>
  <c r="AC322" i="3"/>
  <c r="Z322" i="3"/>
  <c r="Y322" i="3"/>
  <c r="X322" i="3"/>
  <c r="Q322" i="3"/>
  <c r="AC321" i="3"/>
  <c r="Z321" i="3"/>
  <c r="Y321" i="3"/>
  <c r="X321" i="3"/>
  <c r="Q321" i="3"/>
  <c r="AC320" i="3"/>
  <c r="Z320" i="3"/>
  <c r="Y320" i="3"/>
  <c r="X320" i="3"/>
  <c r="Q320" i="3"/>
  <c r="AC319" i="3"/>
  <c r="Z319" i="3"/>
  <c r="Y319" i="3"/>
  <c r="X319" i="3"/>
  <c r="Q319" i="3"/>
  <c r="AC318" i="3"/>
  <c r="Z318" i="3"/>
  <c r="Y318" i="3"/>
  <c r="X318" i="3"/>
  <c r="Q318" i="3"/>
  <c r="AC317" i="3"/>
  <c r="Z317" i="3"/>
  <c r="Y317" i="3"/>
  <c r="X317" i="3"/>
  <c r="Q317" i="3"/>
  <c r="AC316" i="3"/>
  <c r="Z316" i="3"/>
  <c r="Y316" i="3"/>
  <c r="X316" i="3"/>
  <c r="Q316" i="3"/>
  <c r="AC315" i="3"/>
  <c r="Z315" i="3"/>
  <c r="Y315" i="3"/>
  <c r="X315" i="3"/>
  <c r="Q315" i="3"/>
  <c r="AC314" i="3"/>
  <c r="Z314" i="3"/>
  <c r="Y314" i="3"/>
  <c r="X314" i="3"/>
  <c r="Q314" i="3"/>
  <c r="AC313" i="3"/>
  <c r="Z313" i="3"/>
  <c r="Y313" i="3"/>
  <c r="X313" i="3"/>
  <c r="Q313" i="3"/>
  <c r="AC312" i="3"/>
  <c r="Z312" i="3"/>
  <c r="Y312" i="3"/>
  <c r="X312" i="3"/>
  <c r="Q312" i="3"/>
  <c r="AC311" i="3"/>
  <c r="Z311" i="3"/>
  <c r="Y311" i="3"/>
  <c r="X311" i="3"/>
  <c r="Q311" i="3"/>
  <c r="AC310" i="3"/>
  <c r="Z310" i="3"/>
  <c r="Y310" i="3"/>
  <c r="X310" i="3"/>
  <c r="Q310" i="3"/>
  <c r="AC309" i="3"/>
  <c r="Z309" i="3"/>
  <c r="Y309" i="3"/>
  <c r="X309" i="3"/>
  <c r="Q309" i="3"/>
  <c r="AC308" i="3"/>
  <c r="Z308" i="3"/>
  <c r="Y308" i="3"/>
  <c r="X308" i="3"/>
  <c r="Q308" i="3"/>
  <c r="AC307" i="3"/>
  <c r="Z307" i="3"/>
  <c r="Y307" i="3"/>
  <c r="X307" i="3"/>
  <c r="Q307" i="3"/>
  <c r="AC306" i="3"/>
  <c r="Z306" i="3"/>
  <c r="Y306" i="3"/>
  <c r="X306" i="3"/>
  <c r="Q306" i="3"/>
  <c r="AC305" i="3"/>
  <c r="Z305" i="3"/>
  <c r="Y305" i="3"/>
  <c r="X305" i="3"/>
  <c r="Q305" i="3"/>
  <c r="AC94" i="3"/>
  <c r="Z94" i="3"/>
  <c r="Y94" i="3"/>
  <c r="X94" i="3"/>
  <c r="Q94" i="3"/>
  <c r="AC304" i="3"/>
  <c r="Z304" i="3"/>
  <c r="Y304" i="3"/>
  <c r="X304" i="3"/>
  <c r="Q304" i="3"/>
  <c r="AC303" i="3"/>
  <c r="Z303" i="3"/>
  <c r="Y303" i="3"/>
  <c r="X303" i="3"/>
  <c r="Q303" i="3"/>
  <c r="AC302" i="3"/>
  <c r="Z302" i="3"/>
  <c r="Y302" i="3"/>
  <c r="X302" i="3"/>
  <c r="Q302" i="3"/>
  <c r="AC301" i="3"/>
  <c r="Z301" i="3"/>
  <c r="Y301" i="3"/>
  <c r="X301" i="3"/>
  <c r="Q301" i="3"/>
  <c r="AC300" i="3"/>
  <c r="Z300" i="3"/>
  <c r="Y300" i="3"/>
  <c r="X300" i="3"/>
  <c r="Q300" i="3"/>
  <c r="AC299" i="3"/>
  <c r="Z299" i="3"/>
  <c r="Y299" i="3"/>
  <c r="X299" i="3"/>
  <c r="Q299" i="3"/>
  <c r="AC298" i="3"/>
  <c r="Z298" i="3"/>
  <c r="Y298" i="3"/>
  <c r="X298" i="3"/>
  <c r="Q298" i="3"/>
  <c r="AC297" i="3"/>
  <c r="Z297" i="3"/>
  <c r="Y297" i="3"/>
  <c r="X297" i="3"/>
  <c r="Q297" i="3"/>
  <c r="AC296" i="3"/>
  <c r="Z296" i="3"/>
  <c r="Y296" i="3"/>
  <c r="X296" i="3"/>
  <c r="Q296" i="3"/>
  <c r="AC295" i="3"/>
  <c r="Z295" i="3"/>
  <c r="Y295" i="3"/>
  <c r="X295" i="3"/>
  <c r="Q295" i="3"/>
  <c r="AC294" i="3"/>
  <c r="Z294" i="3"/>
  <c r="Y294" i="3"/>
  <c r="X294" i="3"/>
  <c r="Q294" i="3"/>
  <c r="AC293" i="3"/>
  <c r="Z293" i="3"/>
  <c r="Y293" i="3"/>
  <c r="X293" i="3"/>
  <c r="Q293" i="3"/>
  <c r="AC292" i="3"/>
  <c r="Z292" i="3"/>
  <c r="Y292" i="3"/>
  <c r="X292" i="3"/>
  <c r="Q292" i="3"/>
  <c r="AC291" i="3"/>
  <c r="Z291" i="3"/>
  <c r="Y291" i="3"/>
  <c r="X291" i="3"/>
  <c r="Q291" i="3"/>
  <c r="AC290" i="3"/>
  <c r="Z290" i="3"/>
  <c r="Y290" i="3"/>
  <c r="X290" i="3"/>
  <c r="Q290" i="3"/>
  <c r="AC289" i="3"/>
  <c r="Z289" i="3"/>
  <c r="Y289" i="3"/>
  <c r="X289" i="3"/>
  <c r="Q289" i="3"/>
  <c r="AC288" i="3"/>
  <c r="Z288" i="3"/>
  <c r="Y288" i="3"/>
  <c r="X288" i="3"/>
  <c r="Q288" i="3"/>
  <c r="AC287" i="3"/>
  <c r="Z287" i="3"/>
  <c r="Y287" i="3"/>
  <c r="X287" i="3"/>
  <c r="Q287" i="3"/>
  <c r="AC286" i="3"/>
  <c r="Z286" i="3"/>
  <c r="Y286" i="3"/>
  <c r="X286" i="3"/>
  <c r="Q286" i="3"/>
  <c r="AC285" i="3"/>
  <c r="Z285" i="3"/>
  <c r="Y285" i="3"/>
  <c r="X285" i="3"/>
  <c r="Q285" i="3"/>
  <c r="AC65" i="3"/>
  <c r="Z65" i="3"/>
  <c r="Y65" i="3"/>
  <c r="X65" i="3"/>
  <c r="Q65" i="3"/>
  <c r="AC284" i="3"/>
  <c r="Z284" i="3"/>
  <c r="Y284" i="3"/>
  <c r="X284" i="3"/>
  <c r="Q284" i="3"/>
  <c r="AC283" i="3"/>
  <c r="Z283" i="3"/>
  <c r="Y283" i="3"/>
  <c r="X283" i="3"/>
  <c r="Q283" i="3"/>
  <c r="AC282" i="3"/>
  <c r="Z282" i="3"/>
  <c r="Y282" i="3"/>
  <c r="X282" i="3"/>
  <c r="Q282" i="3"/>
  <c r="AC281" i="3"/>
  <c r="Z281" i="3"/>
  <c r="Y281" i="3"/>
  <c r="X281" i="3"/>
  <c r="Q281" i="3"/>
  <c r="AC280" i="3"/>
  <c r="Z280" i="3"/>
  <c r="Y280" i="3"/>
  <c r="X280" i="3"/>
  <c r="Q280" i="3"/>
  <c r="AC279" i="3"/>
  <c r="Z279" i="3"/>
  <c r="Y279" i="3"/>
  <c r="X279" i="3"/>
  <c r="Q279" i="3"/>
  <c r="AC278" i="3"/>
  <c r="Z278" i="3"/>
  <c r="Y278" i="3"/>
  <c r="X278" i="3"/>
  <c r="Q278" i="3"/>
  <c r="AC277" i="3"/>
  <c r="Z277" i="3"/>
  <c r="Y277" i="3"/>
  <c r="X277" i="3"/>
  <c r="Q277" i="3"/>
  <c r="AC276" i="3"/>
  <c r="Z276" i="3"/>
  <c r="Y276" i="3"/>
  <c r="X276" i="3"/>
  <c r="Q276" i="3"/>
  <c r="AC275" i="3"/>
  <c r="Z275" i="3"/>
  <c r="Y275" i="3"/>
  <c r="X275" i="3"/>
  <c r="Q275" i="3"/>
  <c r="AC274" i="3"/>
  <c r="Z274" i="3"/>
  <c r="Y274" i="3"/>
  <c r="X274" i="3"/>
  <c r="Q274" i="3"/>
  <c r="AC273" i="3"/>
  <c r="Z273" i="3"/>
  <c r="Y273" i="3"/>
  <c r="X273" i="3"/>
  <c r="Q273" i="3"/>
  <c r="AC14" i="3"/>
  <c r="Z14" i="3"/>
  <c r="Y14" i="3"/>
  <c r="X14" i="3"/>
  <c r="Q14" i="3"/>
  <c r="AC272" i="3"/>
  <c r="Z272" i="3"/>
  <c r="Y272" i="3"/>
  <c r="X272" i="3"/>
  <c r="Q272" i="3"/>
  <c r="AC271" i="3"/>
  <c r="Z271" i="3"/>
  <c r="Y271" i="3"/>
  <c r="X271" i="3"/>
  <c r="Q271" i="3"/>
  <c r="AC270" i="3"/>
  <c r="Z270" i="3"/>
  <c r="Y270" i="3"/>
  <c r="X270" i="3"/>
  <c r="Q270" i="3"/>
  <c r="AC269" i="3"/>
  <c r="Z269" i="3"/>
  <c r="Y269" i="3"/>
  <c r="X269" i="3"/>
  <c r="Q269" i="3"/>
  <c r="AC268" i="3"/>
  <c r="Z268" i="3"/>
  <c r="Y268" i="3"/>
  <c r="X268" i="3"/>
  <c r="Q268" i="3"/>
  <c r="AC267" i="3"/>
  <c r="Z267" i="3"/>
  <c r="Y267" i="3"/>
  <c r="X267" i="3"/>
  <c r="Q267" i="3"/>
  <c r="AC266" i="3"/>
  <c r="Z266" i="3"/>
  <c r="Y266" i="3"/>
  <c r="X266" i="3"/>
  <c r="Q266" i="3"/>
  <c r="AC265" i="3"/>
  <c r="Z265" i="3"/>
  <c r="Y265" i="3"/>
  <c r="X265" i="3"/>
  <c r="Q265" i="3"/>
  <c r="AC264" i="3"/>
  <c r="Z264" i="3"/>
  <c r="Y264" i="3"/>
  <c r="X264" i="3"/>
  <c r="Q264" i="3"/>
  <c r="AC263" i="3"/>
  <c r="Z263" i="3"/>
  <c r="Y263" i="3"/>
  <c r="X263" i="3"/>
  <c r="Q263" i="3"/>
  <c r="AC262" i="3"/>
  <c r="Z262" i="3"/>
  <c r="Y262" i="3"/>
  <c r="X262" i="3"/>
  <c r="Q262" i="3"/>
  <c r="AC261" i="3"/>
  <c r="Z261" i="3"/>
  <c r="Y261" i="3"/>
  <c r="X261" i="3"/>
  <c r="Q261" i="3"/>
  <c r="AC260" i="3"/>
  <c r="Z260" i="3"/>
  <c r="Y260" i="3"/>
  <c r="X260" i="3"/>
  <c r="Q260" i="3"/>
  <c r="AC259" i="3"/>
  <c r="Z259" i="3"/>
  <c r="Y259" i="3"/>
  <c r="X259" i="3"/>
  <c r="Q259" i="3"/>
  <c r="AC258" i="3"/>
  <c r="Z258" i="3"/>
  <c r="Y258" i="3"/>
  <c r="X258" i="3"/>
  <c r="Q258" i="3"/>
  <c r="AC257" i="3"/>
  <c r="Z257" i="3"/>
  <c r="Y257" i="3"/>
  <c r="X257" i="3"/>
  <c r="Q257" i="3"/>
  <c r="AC256" i="3"/>
  <c r="Z256" i="3"/>
  <c r="Y256" i="3"/>
  <c r="X256" i="3"/>
  <c r="Q256" i="3"/>
  <c r="AC255" i="3"/>
  <c r="Z255" i="3"/>
  <c r="Y255" i="3"/>
  <c r="X255" i="3"/>
  <c r="Q255" i="3"/>
  <c r="AC254" i="3"/>
  <c r="Z254" i="3"/>
  <c r="Y254" i="3"/>
  <c r="X254" i="3"/>
  <c r="Q254" i="3"/>
  <c r="AC253" i="3"/>
  <c r="Z253" i="3"/>
  <c r="Y253" i="3"/>
  <c r="X253" i="3"/>
  <c r="Q253" i="3"/>
  <c r="AC252" i="3"/>
  <c r="Z252" i="3"/>
  <c r="Y252" i="3"/>
  <c r="X252" i="3"/>
  <c r="Q252" i="3"/>
  <c r="AC251" i="3"/>
  <c r="Z251" i="3"/>
  <c r="Y251" i="3"/>
  <c r="X251" i="3"/>
  <c r="Q251" i="3"/>
  <c r="AC134" i="3"/>
  <c r="Z134" i="3"/>
  <c r="Y134" i="3"/>
  <c r="X134" i="3"/>
  <c r="Q134" i="3"/>
  <c r="AC250" i="3"/>
  <c r="Z250" i="3"/>
  <c r="Y250" i="3"/>
  <c r="X250" i="3"/>
  <c r="Q250" i="3"/>
  <c r="AC249" i="3"/>
  <c r="Z249" i="3"/>
  <c r="Y249" i="3"/>
  <c r="X249" i="3"/>
  <c r="Q249" i="3"/>
  <c r="AC248" i="3"/>
  <c r="Z248" i="3"/>
  <c r="Y248" i="3"/>
  <c r="X248" i="3"/>
  <c r="Q248" i="3"/>
  <c r="AC247" i="3"/>
  <c r="Z247" i="3"/>
  <c r="Y247" i="3"/>
  <c r="X247" i="3"/>
  <c r="Q247" i="3"/>
  <c r="AC246" i="3"/>
  <c r="Z246" i="3"/>
  <c r="Y246" i="3"/>
  <c r="X246" i="3"/>
  <c r="Q246" i="3"/>
  <c r="AC245" i="3"/>
  <c r="Z245" i="3"/>
  <c r="Y245" i="3"/>
  <c r="X245" i="3"/>
  <c r="Q245" i="3"/>
  <c r="AC176" i="3"/>
  <c r="Z176" i="3"/>
  <c r="Y176" i="3"/>
  <c r="X176" i="3"/>
  <c r="Q176" i="3"/>
  <c r="AC244" i="3"/>
  <c r="Z244" i="3"/>
  <c r="Y244" i="3"/>
  <c r="X244" i="3"/>
  <c r="Q244" i="3"/>
  <c r="AC243" i="3"/>
  <c r="Z243" i="3"/>
  <c r="Y243" i="3"/>
  <c r="X243" i="3"/>
  <c r="Q243" i="3"/>
  <c r="AC242" i="3"/>
  <c r="Z242" i="3"/>
  <c r="Y242" i="3"/>
  <c r="X242" i="3"/>
  <c r="Q242" i="3"/>
  <c r="AC241" i="3"/>
  <c r="Z241" i="3"/>
  <c r="Y241" i="3"/>
  <c r="X241" i="3"/>
  <c r="Q241" i="3"/>
  <c r="AC240" i="3"/>
  <c r="Z240" i="3"/>
  <c r="Y240" i="3"/>
  <c r="X240" i="3"/>
  <c r="Q240" i="3"/>
  <c r="AC239" i="3"/>
  <c r="Z239" i="3"/>
  <c r="Y239" i="3"/>
  <c r="X239" i="3"/>
  <c r="Q239" i="3"/>
  <c r="AC238" i="3"/>
  <c r="Z238" i="3"/>
  <c r="Y238" i="3"/>
  <c r="X238" i="3"/>
  <c r="Q238" i="3"/>
  <c r="AC237" i="3"/>
  <c r="Z237" i="3"/>
  <c r="Y237" i="3"/>
  <c r="X237" i="3"/>
  <c r="Q237" i="3"/>
  <c r="AC236" i="3"/>
  <c r="Z236" i="3"/>
  <c r="Y236" i="3"/>
  <c r="X236" i="3"/>
  <c r="Q236" i="3"/>
  <c r="AC235" i="3"/>
  <c r="Z235" i="3"/>
  <c r="Y235" i="3"/>
  <c r="X235" i="3"/>
  <c r="Q235" i="3"/>
  <c r="AC234" i="3"/>
  <c r="Z234" i="3"/>
  <c r="Y234" i="3"/>
  <c r="X234" i="3"/>
  <c r="Q234" i="3"/>
  <c r="AC233" i="3"/>
  <c r="Z233" i="3"/>
  <c r="Y233" i="3"/>
  <c r="X233" i="3"/>
  <c r="Q233" i="3"/>
  <c r="AC232" i="3"/>
  <c r="Z232" i="3"/>
  <c r="Y232" i="3"/>
  <c r="X232" i="3"/>
  <c r="Q232" i="3"/>
  <c r="AC231" i="3"/>
  <c r="Z231" i="3"/>
  <c r="Y231" i="3"/>
  <c r="X231" i="3"/>
  <c r="Q231" i="3"/>
  <c r="AC230" i="3"/>
  <c r="Z230" i="3"/>
  <c r="Y230" i="3"/>
  <c r="X230" i="3"/>
  <c r="Q230" i="3"/>
  <c r="AC229" i="3"/>
  <c r="Z229" i="3"/>
  <c r="Y229" i="3"/>
  <c r="X229" i="3"/>
  <c r="Q229" i="3"/>
  <c r="AC228" i="3"/>
  <c r="Z228" i="3"/>
  <c r="Y228" i="3"/>
  <c r="X228" i="3"/>
  <c r="Q228" i="3"/>
  <c r="AC227" i="3"/>
  <c r="Z227" i="3"/>
  <c r="Y227" i="3"/>
  <c r="X227" i="3"/>
  <c r="Q227" i="3"/>
  <c r="AC226" i="3"/>
  <c r="Z226" i="3"/>
  <c r="Y226" i="3"/>
  <c r="X226" i="3"/>
  <c r="Q226" i="3"/>
  <c r="AC225" i="3"/>
  <c r="Z225" i="3"/>
  <c r="Y225" i="3"/>
  <c r="X225" i="3"/>
  <c r="Q225" i="3"/>
  <c r="AC224" i="3"/>
  <c r="Z224" i="3"/>
  <c r="Y224" i="3"/>
  <c r="X224" i="3"/>
  <c r="Q224" i="3"/>
  <c r="AC223" i="3"/>
  <c r="Z223" i="3"/>
  <c r="Y223" i="3"/>
  <c r="X223" i="3"/>
  <c r="Q223" i="3"/>
  <c r="AC222" i="3"/>
  <c r="Z222" i="3"/>
  <c r="Y222" i="3"/>
  <c r="X222" i="3"/>
  <c r="Q222" i="3"/>
  <c r="AC221" i="3"/>
  <c r="Z221" i="3"/>
  <c r="Y221" i="3"/>
  <c r="X221" i="3"/>
  <c r="Q221" i="3"/>
  <c r="AC220" i="3"/>
  <c r="Z220" i="3"/>
  <c r="Y220" i="3"/>
  <c r="X220" i="3"/>
  <c r="Q220" i="3"/>
  <c r="AC219" i="3"/>
  <c r="Z219" i="3"/>
  <c r="Y219" i="3"/>
  <c r="X219" i="3"/>
  <c r="Q219" i="3"/>
  <c r="AC218" i="3"/>
  <c r="Z218" i="3"/>
  <c r="Y218" i="3"/>
  <c r="X218" i="3"/>
  <c r="Q218" i="3"/>
  <c r="AC217" i="3"/>
  <c r="Z217" i="3"/>
  <c r="Y217" i="3"/>
  <c r="X217" i="3"/>
  <c r="Q217" i="3"/>
  <c r="AC216" i="3"/>
  <c r="Z216" i="3"/>
  <c r="Y216" i="3"/>
  <c r="X216" i="3"/>
  <c r="Q216" i="3"/>
  <c r="AC215" i="3"/>
  <c r="Z215" i="3"/>
  <c r="Y215" i="3"/>
  <c r="X215" i="3"/>
  <c r="Q215" i="3"/>
  <c r="AC214" i="3"/>
  <c r="Z214" i="3"/>
  <c r="Y214" i="3"/>
  <c r="X214" i="3"/>
  <c r="Q214" i="3"/>
  <c r="AC213" i="3"/>
  <c r="Z213" i="3"/>
  <c r="Y213" i="3"/>
  <c r="X213" i="3"/>
  <c r="Q213" i="3"/>
  <c r="AC212" i="3"/>
  <c r="Z212" i="3"/>
  <c r="Y212" i="3"/>
  <c r="X212" i="3"/>
  <c r="Q212" i="3"/>
  <c r="AC211" i="3"/>
  <c r="Z211" i="3"/>
  <c r="Y211" i="3"/>
  <c r="X211" i="3"/>
  <c r="Q211" i="3"/>
  <c r="AC210" i="3"/>
  <c r="Z210" i="3"/>
  <c r="Y210" i="3"/>
  <c r="X210" i="3"/>
  <c r="Q210" i="3"/>
  <c r="AC209" i="3"/>
  <c r="Z209" i="3"/>
  <c r="Y209" i="3"/>
  <c r="X209" i="3"/>
  <c r="Q209" i="3"/>
  <c r="AC208" i="3"/>
  <c r="Z208" i="3"/>
  <c r="Y208" i="3"/>
  <c r="X208" i="3"/>
  <c r="Q208" i="3"/>
  <c r="AC207" i="3"/>
  <c r="Z207" i="3"/>
  <c r="Y207" i="3"/>
  <c r="X207" i="3"/>
  <c r="Q207" i="3"/>
  <c r="AC206" i="3"/>
  <c r="Z206" i="3"/>
  <c r="Y206" i="3"/>
  <c r="X206" i="3"/>
  <c r="Q206" i="3"/>
  <c r="AA205" i="3"/>
  <c r="AA3" i="3" s="1"/>
  <c r="W205" i="3"/>
  <c r="W3" i="3" s="1"/>
  <c r="V205" i="3"/>
  <c r="V3" i="3" s="1"/>
  <c r="U205" i="3"/>
  <c r="U3" i="3" s="1"/>
  <c r="T205" i="3"/>
  <c r="T3" i="3" s="1"/>
  <c r="S205" i="3"/>
  <c r="S3" i="3" s="1"/>
  <c r="R205" i="3"/>
  <c r="R3" i="3" s="1"/>
  <c r="P205" i="3"/>
  <c r="P3" i="3" s="1"/>
  <c r="O205" i="3"/>
  <c r="O3" i="3" s="1"/>
  <c r="N205" i="3"/>
  <c r="N3" i="3" s="1"/>
  <c r="M205" i="3"/>
  <c r="M3" i="3" s="1"/>
  <c r="G205" i="3"/>
  <c r="O680" i="1"/>
  <c r="Z205" i="3" l="1"/>
  <c r="Z3" i="3" s="1"/>
  <c r="Q205" i="3"/>
  <c r="Q3" i="3" s="1"/>
  <c r="Y205" i="3"/>
  <c r="Y3" i="3" s="1"/>
  <c r="Q761" i="3"/>
  <c r="X205" i="3"/>
  <c r="X3" i="3" s="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14" i="1"/>
  <c r="R12" i="1"/>
  <c r="AC888" i="1"/>
  <c r="AC887" i="1"/>
  <c r="AC886" i="1"/>
  <c r="AC875" i="1"/>
  <c r="AC874" i="1"/>
  <c r="AC863" i="1"/>
  <c r="AC862" i="1"/>
  <c r="AC851" i="1"/>
  <c r="AC850" i="1"/>
  <c r="AC842" i="1"/>
  <c r="AC839" i="1"/>
  <c r="AC838" i="1"/>
  <c r="AC827" i="1"/>
  <c r="AC826" i="1"/>
  <c r="AC822" i="1"/>
  <c r="AC814" i="1"/>
  <c r="AC801" i="1"/>
  <c r="AC791" i="1"/>
  <c r="AC789" i="1"/>
  <c r="AC776" i="1"/>
  <c r="AC745" i="1"/>
  <c r="AC732" i="1"/>
  <c r="AC725" i="1"/>
  <c r="AC719" i="1"/>
  <c r="AC717"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09" i="1"/>
  <c r="AC659" i="1"/>
  <c r="AC716" i="1"/>
  <c r="AC718" i="1"/>
  <c r="AC720" i="1"/>
  <c r="AC721" i="1"/>
  <c r="AC722" i="1"/>
  <c r="AC723" i="1"/>
  <c r="AC724" i="1"/>
  <c r="AC726" i="1"/>
  <c r="AC727" i="1"/>
  <c r="AC728" i="1"/>
  <c r="AC729" i="1"/>
  <c r="AC730" i="1"/>
  <c r="AC731" i="1"/>
  <c r="AC733" i="1"/>
  <c r="AC734" i="1"/>
  <c r="AC735" i="1"/>
  <c r="AC736" i="1"/>
  <c r="AC737" i="1"/>
  <c r="AC738" i="1"/>
  <c r="AC739" i="1"/>
  <c r="AC740" i="1"/>
  <c r="AC741" i="1"/>
  <c r="AC742" i="1"/>
  <c r="AC743" i="1"/>
  <c r="AC744"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7" i="1"/>
  <c r="AC778" i="1"/>
  <c r="AC779" i="1"/>
  <c r="AC780" i="1"/>
  <c r="AC781" i="1"/>
  <c r="AC782" i="1"/>
  <c r="AC783" i="1"/>
  <c r="AC784" i="1"/>
  <c r="AC785" i="1"/>
  <c r="AC786" i="1"/>
  <c r="AC787" i="1"/>
  <c r="AC788" i="1"/>
  <c r="AC790" i="1"/>
  <c r="AC792" i="1"/>
  <c r="AC793" i="1"/>
  <c r="AC794" i="1"/>
  <c r="AC795" i="1"/>
  <c r="AC796" i="1"/>
  <c r="AC797" i="1"/>
  <c r="AC798" i="1"/>
  <c r="AC799" i="1"/>
  <c r="AC800" i="1"/>
  <c r="AC802" i="1"/>
  <c r="AC803" i="1"/>
  <c r="AC804" i="1"/>
  <c r="AC805" i="1"/>
  <c r="AC806" i="1"/>
  <c r="AC807" i="1"/>
  <c r="AC808" i="1"/>
  <c r="AC809" i="1"/>
  <c r="AC810" i="1"/>
  <c r="AC811" i="1"/>
  <c r="AC812" i="1"/>
  <c r="AC813" i="1"/>
  <c r="AC815" i="1"/>
  <c r="AC816" i="1"/>
  <c r="AC817" i="1"/>
  <c r="AC818" i="1"/>
  <c r="AC819" i="1"/>
  <c r="AC820" i="1"/>
  <c r="AC821" i="1"/>
  <c r="AC823" i="1"/>
  <c r="AC824" i="1"/>
  <c r="AC825" i="1"/>
  <c r="AC828" i="1"/>
  <c r="AC829" i="1"/>
  <c r="AC830" i="1"/>
  <c r="AC831" i="1"/>
  <c r="AC832" i="1"/>
  <c r="AC833" i="1"/>
  <c r="AC834" i="1"/>
  <c r="AC835" i="1"/>
  <c r="AC836" i="1"/>
  <c r="AC837" i="1"/>
  <c r="AC840" i="1"/>
  <c r="AC841" i="1"/>
  <c r="AC843" i="1"/>
  <c r="AC844" i="1"/>
  <c r="AC845" i="1"/>
  <c r="AC846" i="1"/>
  <c r="AC847" i="1"/>
  <c r="AC848" i="1"/>
  <c r="AC849" i="1"/>
  <c r="AC852" i="1"/>
  <c r="AC853" i="1"/>
  <c r="AC854" i="1"/>
  <c r="AC855" i="1"/>
  <c r="AC856" i="1"/>
  <c r="AC857" i="1"/>
  <c r="AC858" i="1"/>
  <c r="AC859" i="1"/>
  <c r="AC860" i="1"/>
  <c r="AC861" i="1"/>
  <c r="AC864" i="1"/>
  <c r="AC865" i="1"/>
  <c r="AC866" i="1"/>
  <c r="AC867" i="1"/>
  <c r="AC868" i="1"/>
  <c r="AC869" i="1"/>
  <c r="AC870" i="1"/>
  <c r="AC871" i="1"/>
  <c r="AC872" i="1"/>
  <c r="AC873" i="1"/>
  <c r="AC876" i="1"/>
  <c r="AC877" i="1"/>
  <c r="AC878" i="1"/>
  <c r="AC879" i="1"/>
  <c r="AC880" i="1"/>
  <c r="AC881" i="1"/>
  <c r="AC882" i="1"/>
  <c r="AC883" i="1"/>
  <c r="AC884" i="1"/>
  <c r="AC885" i="1"/>
  <c r="AC889" i="1"/>
  <c r="AC890" i="1"/>
  <c r="AC891" i="1"/>
  <c r="AC892" i="1"/>
  <c r="AC893" i="1"/>
  <c r="AC894" i="1"/>
  <c r="AC895" i="1"/>
  <c r="AC896" i="1"/>
  <c r="AC897" i="1"/>
  <c r="Q12" i="1" l="1"/>
  <c r="Z286" i="2"/>
  <c r="Z753" i="2"/>
  <c r="Z738" i="2"/>
  <c r="Z781" i="2"/>
  <c r="Z638" i="2"/>
  <c r="Z847" i="2"/>
  <c r="Z789" i="2"/>
  <c r="Y789" i="2"/>
  <c r="X789" i="2"/>
  <c r="Q789" i="2"/>
  <c r="Z755" i="2"/>
  <c r="Y755" i="2"/>
  <c r="X755" i="2"/>
  <c r="Q755" i="2"/>
  <c r="Z783" i="2"/>
  <c r="Y783" i="2"/>
  <c r="X783" i="2"/>
  <c r="Q783" i="2"/>
  <c r="Z590" i="2"/>
  <c r="Y590" i="2"/>
  <c r="X590" i="2"/>
  <c r="Q590" i="2"/>
  <c r="Z514" i="2"/>
  <c r="Y514" i="2"/>
  <c r="X514" i="2"/>
  <c r="Q514" i="2"/>
  <c r="Z894" i="2"/>
  <c r="Z898" i="2"/>
  <c r="Z834" i="2"/>
  <c r="Z815" i="2" l="1"/>
  <c r="Z796" i="2"/>
  <c r="Z791" i="2"/>
  <c r="Z777" i="2"/>
  <c r="Z776" i="2"/>
  <c r="Z727" i="2"/>
  <c r="Z564" i="2"/>
  <c r="Z404" i="2"/>
  <c r="Z403" i="2"/>
  <c r="Z301" i="2"/>
  <c r="Z296" i="2"/>
  <c r="Z254" i="2"/>
  <c r="AB13" i="2"/>
  <c r="Z54" i="2"/>
  <c r="Z684" i="2"/>
  <c r="Z926" i="2"/>
  <c r="Y926" i="2"/>
  <c r="X926" i="2"/>
  <c r="Q926" i="2"/>
  <c r="Z925" i="2"/>
  <c r="Y925" i="2"/>
  <c r="X925" i="2"/>
  <c r="Q925" i="2"/>
  <c r="Z924" i="2"/>
  <c r="Y924" i="2"/>
  <c r="X924" i="2"/>
  <c r="Q924" i="2"/>
  <c r="Z923" i="2"/>
  <c r="Y923" i="2"/>
  <c r="X923" i="2"/>
  <c r="Q923" i="2"/>
  <c r="Z922" i="2"/>
  <c r="Y922" i="2"/>
  <c r="X922" i="2"/>
  <c r="Q922" i="2"/>
  <c r="Z921" i="2"/>
  <c r="Y921" i="2"/>
  <c r="X921" i="2"/>
  <c r="Q921" i="2"/>
  <c r="Z920" i="2"/>
  <c r="Y920" i="2"/>
  <c r="X920" i="2"/>
  <c r="Q920" i="2"/>
  <c r="Z919" i="2"/>
  <c r="Y919" i="2"/>
  <c r="X919" i="2"/>
  <c r="Q919" i="2"/>
  <c r="Z918" i="2"/>
  <c r="Y918" i="2"/>
  <c r="X918" i="2"/>
  <c r="Q918" i="2"/>
  <c r="Z917" i="2"/>
  <c r="Y917" i="2"/>
  <c r="X917" i="2"/>
  <c r="Q917" i="2"/>
  <c r="Z916" i="2"/>
  <c r="Y916" i="2"/>
  <c r="X916" i="2"/>
  <c r="Q916" i="2"/>
  <c r="Z915" i="2"/>
  <c r="Y915" i="2"/>
  <c r="X915" i="2"/>
  <c r="Q915" i="2"/>
  <c r="Z914" i="2"/>
  <c r="Y914" i="2"/>
  <c r="X914" i="2"/>
  <c r="Q914" i="2"/>
  <c r="Z913" i="2"/>
  <c r="Y913" i="2"/>
  <c r="X913" i="2"/>
  <c r="Q913" i="2"/>
  <c r="Z912" i="2"/>
  <c r="Y912" i="2"/>
  <c r="X912" i="2"/>
  <c r="Q912" i="2"/>
  <c r="Z911" i="2"/>
  <c r="Y911" i="2"/>
  <c r="X911" i="2"/>
  <c r="Q911" i="2"/>
  <c r="Z910" i="2"/>
  <c r="Y910" i="2"/>
  <c r="X910" i="2"/>
  <c r="Q910" i="2"/>
  <c r="Z909" i="2"/>
  <c r="Y909" i="2"/>
  <c r="X909" i="2"/>
  <c r="Q909" i="2"/>
  <c r="Z908" i="2"/>
  <c r="Y908" i="2"/>
  <c r="X908" i="2"/>
  <c r="Q908" i="2"/>
  <c r="Z907" i="2"/>
  <c r="Y907" i="2"/>
  <c r="X907" i="2"/>
  <c r="Q907" i="2"/>
  <c r="Z906" i="2"/>
  <c r="Y906" i="2"/>
  <c r="X906" i="2"/>
  <c r="Q906" i="2"/>
  <c r="Z905" i="2"/>
  <c r="Y905" i="2"/>
  <c r="X905" i="2"/>
  <c r="Q905" i="2"/>
  <c r="Z904" i="2"/>
  <c r="Y904" i="2"/>
  <c r="X904" i="2"/>
  <c r="Q904" i="2"/>
  <c r="Z903" i="2"/>
  <c r="Y903" i="2"/>
  <c r="X903" i="2"/>
  <c r="Q903" i="2"/>
  <c r="Z902" i="2"/>
  <c r="Y902" i="2"/>
  <c r="X902" i="2"/>
  <c r="Q902" i="2"/>
  <c r="Z901" i="2"/>
  <c r="Y901" i="2"/>
  <c r="X901" i="2"/>
  <c r="Q901" i="2"/>
  <c r="Z900" i="2"/>
  <c r="Y900" i="2"/>
  <c r="X900" i="2"/>
  <c r="Q900" i="2"/>
  <c r="Z899" i="2"/>
  <c r="Y899" i="2"/>
  <c r="X899" i="2"/>
  <c r="Q899" i="2"/>
  <c r="Z897" i="2"/>
  <c r="Y897" i="2"/>
  <c r="X897" i="2"/>
  <c r="Q897" i="2"/>
  <c r="Z896" i="2"/>
  <c r="Y896" i="2"/>
  <c r="X896" i="2"/>
  <c r="Q896" i="2"/>
  <c r="Z895" i="2"/>
  <c r="Y895" i="2"/>
  <c r="X895" i="2"/>
  <c r="Q895" i="2"/>
  <c r="Z893" i="2"/>
  <c r="Y893" i="2"/>
  <c r="X893" i="2"/>
  <c r="Q893" i="2"/>
  <c r="Z892" i="2"/>
  <c r="Y892" i="2"/>
  <c r="X892" i="2"/>
  <c r="Q892" i="2"/>
  <c r="Z891" i="2"/>
  <c r="Y891" i="2"/>
  <c r="X891" i="2"/>
  <c r="Q891" i="2"/>
  <c r="Z890" i="2"/>
  <c r="Y890" i="2"/>
  <c r="X890" i="2"/>
  <c r="Q890" i="2"/>
  <c r="Z889" i="2"/>
  <c r="Y889" i="2"/>
  <c r="X889" i="2"/>
  <c r="Q889" i="2"/>
  <c r="Z888" i="2"/>
  <c r="Y888" i="2"/>
  <c r="X888" i="2"/>
  <c r="Q888" i="2"/>
  <c r="Z887" i="2"/>
  <c r="Y887" i="2"/>
  <c r="X887" i="2"/>
  <c r="Q887" i="2"/>
  <c r="Z886" i="2"/>
  <c r="Y886" i="2"/>
  <c r="X886" i="2"/>
  <c r="Q886" i="2"/>
  <c r="Z885" i="2"/>
  <c r="Y885" i="2"/>
  <c r="X885" i="2"/>
  <c r="Q885" i="2"/>
  <c r="Z884" i="2"/>
  <c r="Y884" i="2"/>
  <c r="X884" i="2"/>
  <c r="Q884" i="2"/>
  <c r="Z883" i="2"/>
  <c r="Y883" i="2"/>
  <c r="X883" i="2"/>
  <c r="Q883" i="2"/>
  <c r="Z882" i="2"/>
  <c r="Y882" i="2"/>
  <c r="X882" i="2"/>
  <c r="Q882" i="2"/>
  <c r="Z881" i="2"/>
  <c r="Y881" i="2"/>
  <c r="X881" i="2"/>
  <c r="Q881" i="2"/>
  <c r="Z880" i="2"/>
  <c r="Y880" i="2"/>
  <c r="X880" i="2"/>
  <c r="Q880" i="2"/>
  <c r="Z879" i="2"/>
  <c r="Y879" i="2"/>
  <c r="X879" i="2"/>
  <c r="Q879" i="2"/>
  <c r="Z878" i="2"/>
  <c r="Y878" i="2"/>
  <c r="X878" i="2"/>
  <c r="Q878" i="2"/>
  <c r="Z877" i="2"/>
  <c r="Y877" i="2"/>
  <c r="X877" i="2"/>
  <c r="Q877" i="2"/>
  <c r="Z876" i="2"/>
  <c r="Y876" i="2"/>
  <c r="X876" i="2"/>
  <c r="Q876" i="2"/>
  <c r="Z875" i="2"/>
  <c r="Y875" i="2"/>
  <c r="X875" i="2"/>
  <c r="Q875" i="2"/>
  <c r="Z874" i="2"/>
  <c r="Y874" i="2"/>
  <c r="X874" i="2"/>
  <c r="Q874" i="2"/>
  <c r="Z873" i="2"/>
  <c r="Y873" i="2"/>
  <c r="X873" i="2"/>
  <c r="Q873" i="2"/>
  <c r="Z872" i="2"/>
  <c r="Y872" i="2"/>
  <c r="X872" i="2"/>
  <c r="Q872" i="2"/>
  <c r="Z871" i="2"/>
  <c r="Y871" i="2"/>
  <c r="X871" i="2"/>
  <c r="Q871" i="2"/>
  <c r="Z870" i="2"/>
  <c r="Y870" i="2"/>
  <c r="X870" i="2"/>
  <c r="Q870" i="2"/>
  <c r="Z869" i="2"/>
  <c r="Y869" i="2"/>
  <c r="X869" i="2"/>
  <c r="Q869" i="2"/>
  <c r="Z868" i="2"/>
  <c r="Y868" i="2"/>
  <c r="X868" i="2"/>
  <c r="Q868" i="2"/>
  <c r="Z867" i="2"/>
  <c r="Y867" i="2"/>
  <c r="X867" i="2"/>
  <c r="Q867" i="2"/>
  <c r="Z866" i="2"/>
  <c r="Y866" i="2"/>
  <c r="X866" i="2"/>
  <c r="Q866" i="2"/>
  <c r="Z865" i="2"/>
  <c r="Y865" i="2"/>
  <c r="X865" i="2"/>
  <c r="Q865" i="2"/>
  <c r="Z864" i="2"/>
  <c r="Y864" i="2"/>
  <c r="X864" i="2"/>
  <c r="Q864" i="2"/>
  <c r="Z863" i="2"/>
  <c r="Y863" i="2"/>
  <c r="X863" i="2"/>
  <c r="Q863" i="2"/>
  <c r="Z862" i="2"/>
  <c r="Y862" i="2"/>
  <c r="X862" i="2"/>
  <c r="Q862" i="2"/>
  <c r="Z861" i="2"/>
  <c r="Y861" i="2"/>
  <c r="X861" i="2"/>
  <c r="Q861" i="2"/>
  <c r="Z860" i="2"/>
  <c r="Y860" i="2"/>
  <c r="X860" i="2"/>
  <c r="Q860" i="2"/>
  <c r="Z859" i="2"/>
  <c r="Y859" i="2"/>
  <c r="X859" i="2"/>
  <c r="Q859" i="2"/>
  <c r="Z858" i="2"/>
  <c r="Y858" i="2"/>
  <c r="X858" i="2"/>
  <c r="Q858" i="2"/>
  <c r="Z857" i="2"/>
  <c r="Y857" i="2"/>
  <c r="X857" i="2"/>
  <c r="Q857" i="2"/>
  <c r="Z856" i="2"/>
  <c r="Y856" i="2"/>
  <c r="X856" i="2"/>
  <c r="Q856" i="2"/>
  <c r="Z855" i="2"/>
  <c r="Y855" i="2"/>
  <c r="X855" i="2"/>
  <c r="Q855" i="2"/>
  <c r="Z854" i="2"/>
  <c r="Y854" i="2"/>
  <c r="X854" i="2"/>
  <c r="Q854" i="2"/>
  <c r="Z853" i="2"/>
  <c r="Y853" i="2"/>
  <c r="X853" i="2"/>
  <c r="Q853" i="2"/>
  <c r="Z852" i="2"/>
  <c r="Y852" i="2"/>
  <c r="X852" i="2"/>
  <c r="Q852" i="2"/>
  <c r="Z851" i="2"/>
  <c r="Y851" i="2"/>
  <c r="X851" i="2"/>
  <c r="Q851" i="2"/>
  <c r="Z850" i="2"/>
  <c r="Y850" i="2"/>
  <c r="X850" i="2"/>
  <c r="Q850" i="2"/>
  <c r="Z849" i="2"/>
  <c r="Y849" i="2"/>
  <c r="X849" i="2"/>
  <c r="Q849" i="2"/>
  <c r="Z848" i="2"/>
  <c r="Y848" i="2"/>
  <c r="X848" i="2"/>
  <c r="Q848" i="2"/>
  <c r="Z846" i="2"/>
  <c r="Y846" i="2"/>
  <c r="X846" i="2"/>
  <c r="Q846" i="2"/>
  <c r="Z845" i="2"/>
  <c r="Y845" i="2"/>
  <c r="X845" i="2"/>
  <c r="Q845" i="2"/>
  <c r="Z844" i="2"/>
  <c r="Y844" i="2"/>
  <c r="X844" i="2"/>
  <c r="Q844" i="2"/>
  <c r="Z843" i="2"/>
  <c r="Y843" i="2"/>
  <c r="X843" i="2"/>
  <c r="Q843" i="2"/>
  <c r="Z842" i="2"/>
  <c r="Y842" i="2"/>
  <c r="X842" i="2"/>
  <c r="Q842" i="2"/>
  <c r="Z841" i="2"/>
  <c r="Y841" i="2"/>
  <c r="X841" i="2"/>
  <c r="Q841" i="2"/>
  <c r="Z840" i="2"/>
  <c r="Y840" i="2"/>
  <c r="X840" i="2"/>
  <c r="Q840" i="2"/>
  <c r="Z839" i="2"/>
  <c r="Y839" i="2"/>
  <c r="X839" i="2"/>
  <c r="Q839" i="2"/>
  <c r="Z838" i="2"/>
  <c r="Y838" i="2"/>
  <c r="X838" i="2"/>
  <c r="Q838" i="2"/>
  <c r="Z837" i="2"/>
  <c r="Y837" i="2"/>
  <c r="X837" i="2"/>
  <c r="Q837" i="2"/>
  <c r="Z836" i="2"/>
  <c r="Y836" i="2"/>
  <c r="X836" i="2"/>
  <c r="Q836" i="2"/>
  <c r="Z835" i="2"/>
  <c r="Y835" i="2"/>
  <c r="X835" i="2"/>
  <c r="Q835" i="2"/>
  <c r="Z833" i="2"/>
  <c r="Y833" i="2"/>
  <c r="X833" i="2"/>
  <c r="Q833" i="2"/>
  <c r="Z832" i="2"/>
  <c r="Y832" i="2"/>
  <c r="X832" i="2"/>
  <c r="Q832" i="2"/>
  <c r="Z831" i="2"/>
  <c r="Y831" i="2"/>
  <c r="X831" i="2"/>
  <c r="Q831" i="2"/>
  <c r="Z830" i="2"/>
  <c r="Y830" i="2"/>
  <c r="X830" i="2"/>
  <c r="Q830" i="2"/>
  <c r="Z829" i="2"/>
  <c r="Y829" i="2"/>
  <c r="X829" i="2"/>
  <c r="Q829" i="2"/>
  <c r="Z828" i="2"/>
  <c r="Y828" i="2"/>
  <c r="X828" i="2"/>
  <c r="Q828" i="2"/>
  <c r="Z827" i="2"/>
  <c r="Y827" i="2"/>
  <c r="X827" i="2"/>
  <c r="Q827" i="2"/>
  <c r="Z826" i="2"/>
  <c r="Y826" i="2"/>
  <c r="X826" i="2"/>
  <c r="Q826" i="2"/>
  <c r="Z825" i="2"/>
  <c r="Y825" i="2"/>
  <c r="X825" i="2"/>
  <c r="Q825" i="2"/>
  <c r="Z824" i="2"/>
  <c r="Y824" i="2"/>
  <c r="X824" i="2"/>
  <c r="Q824" i="2"/>
  <c r="Z823" i="2"/>
  <c r="Y823" i="2"/>
  <c r="X823" i="2"/>
  <c r="Q823" i="2"/>
  <c r="Z822" i="2"/>
  <c r="Y822" i="2"/>
  <c r="X822" i="2"/>
  <c r="Q822" i="2"/>
  <c r="Z821" i="2"/>
  <c r="Y821" i="2"/>
  <c r="X821" i="2"/>
  <c r="Q821" i="2"/>
  <c r="Z820" i="2"/>
  <c r="Y820" i="2"/>
  <c r="X820" i="2"/>
  <c r="Q820" i="2"/>
  <c r="Z819" i="2"/>
  <c r="Y819" i="2"/>
  <c r="X819" i="2"/>
  <c r="Q819" i="2"/>
  <c r="Z818" i="2"/>
  <c r="Y818" i="2"/>
  <c r="X818" i="2"/>
  <c r="Q818" i="2"/>
  <c r="Z817" i="2"/>
  <c r="Y817" i="2"/>
  <c r="X817" i="2"/>
  <c r="Q817" i="2"/>
  <c r="Z816" i="2"/>
  <c r="Y816" i="2"/>
  <c r="X816" i="2"/>
  <c r="Q816" i="2"/>
  <c r="Z814" i="2"/>
  <c r="Y814" i="2"/>
  <c r="X814" i="2"/>
  <c r="Q814" i="2"/>
  <c r="Z813" i="2"/>
  <c r="Y813" i="2"/>
  <c r="X813" i="2"/>
  <c r="Q813" i="2"/>
  <c r="Z812" i="2"/>
  <c r="Y812" i="2"/>
  <c r="X812" i="2"/>
  <c r="Q812" i="2"/>
  <c r="Z811" i="2"/>
  <c r="Y811" i="2"/>
  <c r="X811" i="2"/>
  <c r="Q811" i="2"/>
  <c r="Z810" i="2"/>
  <c r="Y810" i="2"/>
  <c r="X810" i="2"/>
  <c r="Q810" i="2"/>
  <c r="Z809" i="2"/>
  <c r="Y809" i="2"/>
  <c r="X809" i="2"/>
  <c r="Q809" i="2"/>
  <c r="Z808" i="2"/>
  <c r="Y808" i="2"/>
  <c r="X808" i="2"/>
  <c r="Q808" i="2"/>
  <c r="Z807" i="2"/>
  <c r="Y807" i="2"/>
  <c r="X807" i="2"/>
  <c r="Q807" i="2"/>
  <c r="Z806" i="2"/>
  <c r="Y806" i="2"/>
  <c r="X806" i="2"/>
  <c r="Q806" i="2"/>
  <c r="Z805" i="2"/>
  <c r="Y805" i="2"/>
  <c r="X805" i="2"/>
  <c r="Q805" i="2"/>
  <c r="Z804" i="2"/>
  <c r="Y804" i="2"/>
  <c r="X804" i="2"/>
  <c r="Q804" i="2"/>
  <c r="Z803" i="2"/>
  <c r="Y803" i="2"/>
  <c r="X803" i="2"/>
  <c r="Q803" i="2"/>
  <c r="Z802" i="2"/>
  <c r="Y802" i="2"/>
  <c r="X802" i="2"/>
  <c r="Q802" i="2"/>
  <c r="Z801" i="2"/>
  <c r="Y801" i="2"/>
  <c r="X801" i="2"/>
  <c r="Q801" i="2"/>
  <c r="Z800" i="2"/>
  <c r="Y800" i="2"/>
  <c r="X800" i="2"/>
  <c r="Q800" i="2"/>
  <c r="Z799" i="2"/>
  <c r="Y799" i="2"/>
  <c r="X799" i="2"/>
  <c r="Q799" i="2"/>
  <c r="Z798" i="2"/>
  <c r="Y798" i="2"/>
  <c r="X798" i="2"/>
  <c r="Q798" i="2"/>
  <c r="Z797" i="2"/>
  <c r="Y797" i="2"/>
  <c r="X797" i="2"/>
  <c r="Q797" i="2"/>
  <c r="Z795" i="2"/>
  <c r="Y795" i="2"/>
  <c r="X795" i="2"/>
  <c r="Q795" i="2"/>
  <c r="Z794" i="2"/>
  <c r="Y794" i="2"/>
  <c r="X794" i="2"/>
  <c r="Q794" i="2"/>
  <c r="Z793" i="2"/>
  <c r="Y793" i="2"/>
  <c r="X793" i="2"/>
  <c r="Q793" i="2"/>
  <c r="Z792" i="2"/>
  <c r="Y792" i="2"/>
  <c r="X792" i="2"/>
  <c r="Q792" i="2"/>
  <c r="Z790" i="2"/>
  <c r="Y790" i="2"/>
  <c r="X790" i="2"/>
  <c r="Q790" i="2"/>
  <c r="Z788" i="2"/>
  <c r="Y788" i="2"/>
  <c r="X788" i="2"/>
  <c r="Q788" i="2"/>
  <c r="Z787" i="2"/>
  <c r="Y787" i="2"/>
  <c r="X787" i="2"/>
  <c r="Q787" i="2"/>
  <c r="Z786" i="2"/>
  <c r="Y786" i="2"/>
  <c r="X786" i="2"/>
  <c r="Q786" i="2"/>
  <c r="Z785" i="2"/>
  <c r="Y785" i="2"/>
  <c r="X785" i="2"/>
  <c r="Q785" i="2"/>
  <c r="Z784" i="2"/>
  <c r="Y784" i="2"/>
  <c r="X784" i="2"/>
  <c r="Q784" i="2"/>
  <c r="Z782" i="2"/>
  <c r="Y782" i="2"/>
  <c r="X782" i="2"/>
  <c r="Q782" i="2"/>
  <c r="Z780" i="2"/>
  <c r="Y780" i="2"/>
  <c r="X780" i="2"/>
  <c r="Q780" i="2"/>
  <c r="Z779" i="2"/>
  <c r="Y779" i="2"/>
  <c r="X779" i="2"/>
  <c r="Q779" i="2"/>
  <c r="Z778" i="2"/>
  <c r="Y778" i="2"/>
  <c r="X778" i="2"/>
  <c r="Q778" i="2"/>
  <c r="Z775" i="2"/>
  <c r="Y775" i="2"/>
  <c r="X775" i="2"/>
  <c r="Q775" i="2"/>
  <c r="Z774" i="2"/>
  <c r="Y774" i="2"/>
  <c r="X774" i="2"/>
  <c r="Q774" i="2"/>
  <c r="Z773" i="2"/>
  <c r="Y773" i="2"/>
  <c r="X773" i="2"/>
  <c r="Q773" i="2"/>
  <c r="Z772" i="2"/>
  <c r="Y772" i="2"/>
  <c r="X772" i="2"/>
  <c r="Q772" i="2"/>
  <c r="Z771" i="2"/>
  <c r="Y771" i="2"/>
  <c r="X771" i="2"/>
  <c r="Q771" i="2"/>
  <c r="Z770" i="2"/>
  <c r="Y770" i="2"/>
  <c r="X770" i="2"/>
  <c r="Q770" i="2"/>
  <c r="Z769" i="2"/>
  <c r="Y769" i="2"/>
  <c r="X769" i="2"/>
  <c r="Q769" i="2"/>
  <c r="Z768" i="2"/>
  <c r="Y768" i="2"/>
  <c r="X768" i="2"/>
  <c r="Q768" i="2"/>
  <c r="Z767" i="2"/>
  <c r="Y767" i="2"/>
  <c r="X767" i="2"/>
  <c r="Q767" i="2"/>
  <c r="Z766" i="2"/>
  <c r="Y766" i="2"/>
  <c r="X766" i="2"/>
  <c r="Q766" i="2"/>
  <c r="Z765" i="2"/>
  <c r="Y765" i="2"/>
  <c r="X765" i="2"/>
  <c r="Q765" i="2"/>
  <c r="Z764" i="2"/>
  <c r="Y764" i="2"/>
  <c r="X764" i="2"/>
  <c r="Q764" i="2"/>
  <c r="Z763" i="2"/>
  <c r="Y763" i="2"/>
  <c r="X763" i="2"/>
  <c r="Q763" i="2"/>
  <c r="Z762" i="2"/>
  <c r="Y762" i="2"/>
  <c r="X762" i="2"/>
  <c r="Q762" i="2"/>
  <c r="Z761" i="2"/>
  <c r="Y761" i="2"/>
  <c r="X761" i="2"/>
  <c r="Q761" i="2"/>
  <c r="Z760" i="2"/>
  <c r="Y760" i="2"/>
  <c r="X760" i="2"/>
  <c r="Q760" i="2"/>
  <c r="Z759" i="2"/>
  <c r="Y759" i="2"/>
  <c r="X759" i="2"/>
  <c r="Q759" i="2"/>
  <c r="Z758" i="2"/>
  <c r="Y758" i="2"/>
  <c r="X758" i="2"/>
  <c r="Q758" i="2"/>
  <c r="Z757" i="2"/>
  <c r="Y757" i="2"/>
  <c r="X757" i="2"/>
  <c r="Q757" i="2"/>
  <c r="Z756" i="2"/>
  <c r="Y756" i="2"/>
  <c r="X756" i="2"/>
  <c r="Q756" i="2"/>
  <c r="Z754" i="2"/>
  <c r="Y754" i="2"/>
  <c r="X754" i="2"/>
  <c r="Q754" i="2"/>
  <c r="Z752" i="2"/>
  <c r="Y752" i="2"/>
  <c r="X752" i="2"/>
  <c r="Q752" i="2"/>
  <c r="Z751" i="2"/>
  <c r="Y751" i="2"/>
  <c r="X751" i="2"/>
  <c r="Q751" i="2"/>
  <c r="Z750" i="2"/>
  <c r="Y750" i="2"/>
  <c r="X750" i="2"/>
  <c r="Q750" i="2"/>
  <c r="Z749" i="2"/>
  <c r="Y749" i="2"/>
  <c r="X749" i="2"/>
  <c r="Q749" i="2"/>
  <c r="Z748" i="2"/>
  <c r="Y748" i="2"/>
  <c r="X748" i="2"/>
  <c r="Q748" i="2"/>
  <c r="Z747" i="2"/>
  <c r="Y747" i="2"/>
  <c r="X747" i="2"/>
  <c r="Q747" i="2"/>
  <c r="Z746" i="2"/>
  <c r="Y746" i="2"/>
  <c r="X746" i="2"/>
  <c r="Q746" i="2"/>
  <c r="Z745" i="2"/>
  <c r="Y745" i="2"/>
  <c r="X745" i="2"/>
  <c r="Q745" i="2"/>
  <c r="Z744" i="2"/>
  <c r="Y744" i="2"/>
  <c r="X744" i="2"/>
  <c r="Q744" i="2"/>
  <c r="Z743" i="2"/>
  <c r="Y743" i="2"/>
  <c r="X743" i="2"/>
  <c r="Q743" i="2"/>
  <c r="Z742" i="2"/>
  <c r="Y742" i="2"/>
  <c r="X742" i="2"/>
  <c r="Q742" i="2"/>
  <c r="Z741" i="2"/>
  <c r="Y741" i="2"/>
  <c r="X741" i="2"/>
  <c r="Q741" i="2"/>
  <c r="Z740" i="2"/>
  <c r="Y740" i="2"/>
  <c r="X740" i="2"/>
  <c r="Q740" i="2"/>
  <c r="Z739" i="2"/>
  <c r="Y739" i="2"/>
  <c r="X739" i="2"/>
  <c r="Q739" i="2"/>
  <c r="Z737" i="2"/>
  <c r="Y737" i="2"/>
  <c r="X737" i="2"/>
  <c r="Q737" i="2"/>
  <c r="Z736" i="2"/>
  <c r="Y736" i="2"/>
  <c r="X736" i="2"/>
  <c r="Q736" i="2"/>
  <c r="Z735" i="2"/>
  <c r="Y735" i="2"/>
  <c r="X735" i="2"/>
  <c r="Q735" i="2"/>
  <c r="Z734" i="2"/>
  <c r="Y734" i="2"/>
  <c r="X734" i="2"/>
  <c r="Q734" i="2"/>
  <c r="Z733" i="2"/>
  <c r="Y733" i="2"/>
  <c r="X733" i="2"/>
  <c r="Q733" i="2"/>
  <c r="Z732" i="2"/>
  <c r="Y732" i="2"/>
  <c r="X732" i="2"/>
  <c r="Q732" i="2"/>
  <c r="Z731" i="2"/>
  <c r="Y731" i="2"/>
  <c r="X731" i="2"/>
  <c r="Q731" i="2"/>
  <c r="Z730" i="2"/>
  <c r="Y730" i="2"/>
  <c r="X730" i="2"/>
  <c r="Q730" i="2"/>
  <c r="Z729" i="2"/>
  <c r="Y729" i="2"/>
  <c r="X729" i="2"/>
  <c r="Q729" i="2"/>
  <c r="Z728" i="2"/>
  <c r="Y728" i="2"/>
  <c r="X728" i="2"/>
  <c r="Q728" i="2"/>
  <c r="Z726" i="2"/>
  <c r="Y726" i="2"/>
  <c r="X726" i="2"/>
  <c r="Q726" i="2"/>
  <c r="Z725" i="2"/>
  <c r="Y725" i="2"/>
  <c r="X725" i="2"/>
  <c r="Q725" i="2"/>
  <c r="Z724" i="2"/>
  <c r="Y724" i="2"/>
  <c r="X724" i="2"/>
  <c r="Q724" i="2"/>
  <c r="Z723" i="2"/>
  <c r="Y723" i="2"/>
  <c r="X723" i="2"/>
  <c r="Q723" i="2"/>
  <c r="Z722" i="2"/>
  <c r="Y722" i="2"/>
  <c r="X722" i="2"/>
  <c r="Q722" i="2"/>
  <c r="Z721" i="2"/>
  <c r="Y721" i="2"/>
  <c r="X721" i="2"/>
  <c r="Q721" i="2"/>
  <c r="Z720" i="2"/>
  <c r="Y720" i="2"/>
  <c r="X720" i="2"/>
  <c r="Q720" i="2"/>
  <c r="Z719" i="2"/>
  <c r="Y719" i="2"/>
  <c r="X719" i="2"/>
  <c r="Q719" i="2"/>
  <c r="Z718" i="2"/>
  <c r="Y718" i="2"/>
  <c r="X718" i="2"/>
  <c r="Q718" i="2"/>
  <c r="Z717" i="2"/>
  <c r="Y717" i="2"/>
  <c r="X717" i="2"/>
  <c r="Q717" i="2"/>
  <c r="Z716" i="2"/>
  <c r="Y716" i="2"/>
  <c r="X716" i="2"/>
  <c r="Q716" i="2"/>
  <c r="Z715" i="2"/>
  <c r="Y715" i="2"/>
  <c r="X715" i="2"/>
  <c r="Q715" i="2"/>
  <c r="Z714" i="2"/>
  <c r="Y714" i="2"/>
  <c r="X714" i="2"/>
  <c r="Q714" i="2"/>
  <c r="Z713" i="2"/>
  <c r="Y713" i="2"/>
  <c r="X713" i="2"/>
  <c r="Q713" i="2"/>
  <c r="Z712" i="2"/>
  <c r="Y712" i="2"/>
  <c r="X712" i="2"/>
  <c r="Q712" i="2"/>
  <c r="Z711" i="2"/>
  <c r="Y711" i="2"/>
  <c r="X711" i="2"/>
  <c r="Q711" i="2"/>
  <c r="Z710" i="2"/>
  <c r="Y710" i="2"/>
  <c r="X710" i="2"/>
  <c r="Q710" i="2"/>
  <c r="Z709" i="2"/>
  <c r="Y709" i="2"/>
  <c r="X709" i="2"/>
  <c r="Q709" i="2"/>
  <c r="Z708" i="2"/>
  <c r="Y708" i="2"/>
  <c r="X708" i="2"/>
  <c r="Q708" i="2"/>
  <c r="Z707" i="2"/>
  <c r="Y707" i="2"/>
  <c r="X707" i="2"/>
  <c r="Q707" i="2"/>
  <c r="Z706" i="2"/>
  <c r="Y706" i="2"/>
  <c r="X706" i="2"/>
  <c r="Q706" i="2"/>
  <c r="Z705" i="2"/>
  <c r="Y705" i="2"/>
  <c r="X705" i="2"/>
  <c r="Q705" i="2"/>
  <c r="Z704" i="2"/>
  <c r="Y704" i="2"/>
  <c r="X704" i="2"/>
  <c r="Q704" i="2"/>
  <c r="Z703" i="2"/>
  <c r="Y703" i="2"/>
  <c r="X703" i="2"/>
  <c r="Q703" i="2"/>
  <c r="Z702" i="2"/>
  <c r="Y702" i="2"/>
  <c r="X702" i="2"/>
  <c r="Q702" i="2"/>
  <c r="Z701" i="2"/>
  <c r="Y701" i="2"/>
  <c r="X701" i="2"/>
  <c r="Q701" i="2"/>
  <c r="Z700" i="2"/>
  <c r="Y700" i="2"/>
  <c r="X700" i="2"/>
  <c r="Q700" i="2"/>
  <c r="Z699" i="2"/>
  <c r="Y699" i="2"/>
  <c r="X699" i="2"/>
  <c r="Q699" i="2"/>
  <c r="Z698" i="2"/>
  <c r="Y698" i="2"/>
  <c r="X698" i="2"/>
  <c r="Q698" i="2"/>
  <c r="Z697" i="2"/>
  <c r="Y697" i="2"/>
  <c r="X697" i="2"/>
  <c r="Q697" i="2"/>
  <c r="Z696" i="2"/>
  <c r="Y696" i="2"/>
  <c r="X696" i="2"/>
  <c r="Q696" i="2"/>
  <c r="Z695" i="2"/>
  <c r="Y695" i="2"/>
  <c r="X695" i="2"/>
  <c r="Q695" i="2"/>
  <c r="Z694" i="2"/>
  <c r="Y694" i="2"/>
  <c r="X694" i="2"/>
  <c r="Q694" i="2"/>
  <c r="Z693" i="2"/>
  <c r="Y693" i="2"/>
  <c r="Q693" i="2"/>
  <c r="Z692" i="2"/>
  <c r="Y692" i="2"/>
  <c r="X692" i="2"/>
  <c r="Q692" i="2"/>
  <c r="Z691" i="2"/>
  <c r="Y691" i="2"/>
  <c r="X691" i="2"/>
  <c r="Q691" i="2"/>
  <c r="Z690" i="2"/>
  <c r="Y690" i="2"/>
  <c r="X690" i="2"/>
  <c r="Q690" i="2"/>
  <c r="Z689" i="2"/>
  <c r="Y689" i="2"/>
  <c r="X689" i="2"/>
  <c r="Q689" i="2"/>
  <c r="Z688" i="2"/>
  <c r="Y688" i="2"/>
  <c r="X688" i="2"/>
  <c r="Q688" i="2"/>
  <c r="Z687" i="2"/>
  <c r="Y687" i="2"/>
  <c r="X687" i="2"/>
  <c r="Q687" i="2"/>
  <c r="Z686" i="2"/>
  <c r="Y686" i="2"/>
  <c r="X686" i="2"/>
  <c r="Q686" i="2"/>
  <c r="Z685" i="2"/>
  <c r="Y685" i="2"/>
  <c r="X685" i="2"/>
  <c r="Q685" i="2"/>
  <c r="Z683" i="2"/>
  <c r="Y683" i="2"/>
  <c r="X683" i="2"/>
  <c r="Q683" i="2"/>
  <c r="Z682" i="2"/>
  <c r="Y682" i="2"/>
  <c r="X682" i="2"/>
  <c r="Q682" i="2"/>
  <c r="Z681" i="2"/>
  <c r="Y681" i="2"/>
  <c r="X681" i="2"/>
  <c r="Q681" i="2"/>
  <c r="Z680" i="2"/>
  <c r="Y680" i="2"/>
  <c r="X680" i="2"/>
  <c r="Q680" i="2"/>
  <c r="Z679" i="2"/>
  <c r="Y679" i="2"/>
  <c r="X679" i="2"/>
  <c r="Q679" i="2"/>
  <c r="Z678" i="2"/>
  <c r="Y678" i="2"/>
  <c r="X678" i="2"/>
  <c r="Q678" i="2"/>
  <c r="Z677" i="2"/>
  <c r="Y677" i="2"/>
  <c r="X677" i="2"/>
  <c r="Q677" i="2"/>
  <c r="Z676" i="2"/>
  <c r="Y676" i="2"/>
  <c r="X676" i="2"/>
  <c r="Q676" i="2"/>
  <c r="Z675" i="2"/>
  <c r="Y675" i="2"/>
  <c r="X675" i="2"/>
  <c r="Q675" i="2"/>
  <c r="Z674" i="2"/>
  <c r="Y674" i="2"/>
  <c r="X674" i="2"/>
  <c r="Q674" i="2"/>
  <c r="Z673" i="2"/>
  <c r="Y673" i="2"/>
  <c r="X673" i="2"/>
  <c r="Q673" i="2"/>
  <c r="Z672" i="2"/>
  <c r="Y672" i="2"/>
  <c r="X672" i="2"/>
  <c r="Q672" i="2"/>
  <c r="Z671" i="2"/>
  <c r="Y671" i="2"/>
  <c r="X671" i="2"/>
  <c r="Q671" i="2"/>
  <c r="Z670" i="2"/>
  <c r="Y670" i="2"/>
  <c r="X670" i="2"/>
  <c r="Q670" i="2"/>
  <c r="Z669" i="2"/>
  <c r="Y669" i="2"/>
  <c r="X669" i="2"/>
  <c r="Q669" i="2"/>
  <c r="Z668" i="2"/>
  <c r="Y668" i="2"/>
  <c r="X668" i="2"/>
  <c r="Q668" i="2"/>
  <c r="Z667" i="2"/>
  <c r="Y667" i="2"/>
  <c r="X667" i="2"/>
  <c r="Q667" i="2"/>
  <c r="Z666" i="2"/>
  <c r="Y666" i="2"/>
  <c r="X666" i="2"/>
  <c r="Q666" i="2"/>
  <c r="Z665" i="2"/>
  <c r="Y665" i="2"/>
  <c r="X665" i="2"/>
  <c r="Q665" i="2"/>
  <c r="Z664" i="2"/>
  <c r="Y664" i="2"/>
  <c r="X664" i="2"/>
  <c r="Q664" i="2"/>
  <c r="Z663" i="2"/>
  <c r="Y663" i="2"/>
  <c r="X663" i="2"/>
  <c r="Q663" i="2"/>
  <c r="Z662" i="2"/>
  <c r="Y662" i="2"/>
  <c r="X662" i="2"/>
  <c r="Q662" i="2"/>
  <c r="Z661" i="2"/>
  <c r="Y661" i="2"/>
  <c r="X661" i="2"/>
  <c r="Q661" i="2"/>
  <c r="Z660" i="2"/>
  <c r="Y660" i="2"/>
  <c r="X660" i="2"/>
  <c r="Q660" i="2"/>
  <c r="Z659" i="2"/>
  <c r="Y659" i="2"/>
  <c r="X659" i="2"/>
  <c r="Q659" i="2"/>
  <c r="Z658" i="2"/>
  <c r="Y658" i="2"/>
  <c r="X658" i="2"/>
  <c r="Q658" i="2"/>
  <c r="Z657" i="2"/>
  <c r="Y657" i="2"/>
  <c r="X657" i="2"/>
  <c r="Q657" i="2"/>
  <c r="Z656" i="2"/>
  <c r="Y656" i="2"/>
  <c r="X656" i="2"/>
  <c r="Q656" i="2"/>
  <c r="Z655" i="2"/>
  <c r="Y655" i="2"/>
  <c r="X655" i="2"/>
  <c r="Q655" i="2"/>
  <c r="Z654" i="2"/>
  <c r="Y654" i="2"/>
  <c r="X654" i="2"/>
  <c r="Q654" i="2"/>
  <c r="Z653" i="2"/>
  <c r="Y653" i="2"/>
  <c r="X653" i="2"/>
  <c r="Q653" i="2"/>
  <c r="Z652" i="2"/>
  <c r="Y652" i="2"/>
  <c r="X652" i="2"/>
  <c r="Q652" i="2"/>
  <c r="Z651" i="2"/>
  <c r="Y651" i="2"/>
  <c r="X651" i="2"/>
  <c r="Q651" i="2"/>
  <c r="Z650" i="2"/>
  <c r="Y650" i="2"/>
  <c r="X650" i="2"/>
  <c r="Q650" i="2"/>
  <c r="Z649" i="2"/>
  <c r="Y649" i="2"/>
  <c r="X649" i="2"/>
  <c r="Q649" i="2"/>
  <c r="Z648" i="2"/>
  <c r="Y648" i="2"/>
  <c r="X648" i="2"/>
  <c r="Q648" i="2"/>
  <c r="Z647" i="2"/>
  <c r="Y647" i="2"/>
  <c r="X647" i="2"/>
  <c r="Q647" i="2"/>
  <c r="Z646" i="2"/>
  <c r="Y646" i="2"/>
  <c r="X646" i="2"/>
  <c r="Q646" i="2"/>
  <c r="Z645" i="2"/>
  <c r="Y645" i="2"/>
  <c r="X645" i="2"/>
  <c r="Q645" i="2"/>
  <c r="Z644" i="2"/>
  <c r="Y644" i="2"/>
  <c r="X644" i="2"/>
  <c r="Q644" i="2"/>
  <c r="Z643" i="2"/>
  <c r="Y643" i="2"/>
  <c r="X643" i="2"/>
  <c r="Q643" i="2"/>
  <c r="Z642" i="2"/>
  <c r="Y642" i="2"/>
  <c r="X642" i="2"/>
  <c r="Q642" i="2"/>
  <c r="Z641" i="2"/>
  <c r="Y641" i="2"/>
  <c r="X641" i="2"/>
  <c r="Q641" i="2"/>
  <c r="Z640" i="2"/>
  <c r="Y640" i="2"/>
  <c r="X640" i="2"/>
  <c r="Q640" i="2"/>
  <c r="Z639" i="2"/>
  <c r="Y639" i="2"/>
  <c r="X639" i="2"/>
  <c r="Q639" i="2"/>
  <c r="Z637" i="2"/>
  <c r="Y637" i="2"/>
  <c r="X637" i="2"/>
  <c r="Q637" i="2"/>
  <c r="Z636" i="2"/>
  <c r="Y636" i="2"/>
  <c r="X636" i="2"/>
  <c r="Q636" i="2"/>
  <c r="Z635" i="2"/>
  <c r="Y635" i="2"/>
  <c r="X635" i="2"/>
  <c r="Q635" i="2"/>
  <c r="Z634" i="2"/>
  <c r="Y634" i="2"/>
  <c r="X634" i="2"/>
  <c r="Q634" i="2"/>
  <c r="Z633" i="2"/>
  <c r="Y633" i="2"/>
  <c r="X633" i="2"/>
  <c r="Q633" i="2"/>
  <c r="Z632" i="2"/>
  <c r="Y632" i="2"/>
  <c r="X632" i="2"/>
  <c r="Q632" i="2"/>
  <c r="Z631" i="2"/>
  <c r="Y631" i="2"/>
  <c r="X631" i="2"/>
  <c r="Q631" i="2"/>
  <c r="Z630" i="2"/>
  <c r="Y630" i="2"/>
  <c r="X630" i="2"/>
  <c r="Q630" i="2"/>
  <c r="Z629" i="2"/>
  <c r="Y629" i="2"/>
  <c r="X629" i="2"/>
  <c r="Q629" i="2"/>
  <c r="Z628" i="2"/>
  <c r="Y628" i="2"/>
  <c r="X628" i="2"/>
  <c r="Q628" i="2"/>
  <c r="Z627" i="2"/>
  <c r="Y627" i="2"/>
  <c r="X627" i="2"/>
  <c r="Q627" i="2"/>
  <c r="Z626" i="2"/>
  <c r="Y626" i="2"/>
  <c r="X626" i="2"/>
  <c r="Q626" i="2"/>
  <c r="Z625" i="2"/>
  <c r="Y625" i="2"/>
  <c r="X625" i="2"/>
  <c r="Q625" i="2"/>
  <c r="Z624" i="2"/>
  <c r="Y624" i="2"/>
  <c r="X624" i="2"/>
  <c r="Q624" i="2"/>
  <c r="Z623" i="2"/>
  <c r="Y623" i="2"/>
  <c r="X623" i="2"/>
  <c r="Q623" i="2"/>
  <c r="Z622" i="2"/>
  <c r="Y622" i="2"/>
  <c r="X622" i="2"/>
  <c r="Q622" i="2"/>
  <c r="Z621" i="2"/>
  <c r="Y621" i="2"/>
  <c r="X621" i="2"/>
  <c r="Q621" i="2"/>
  <c r="Z620" i="2"/>
  <c r="Y620" i="2"/>
  <c r="X620" i="2"/>
  <c r="Q620" i="2"/>
  <c r="Z619" i="2"/>
  <c r="Y619" i="2"/>
  <c r="X619" i="2"/>
  <c r="Q619" i="2"/>
  <c r="Z618" i="2"/>
  <c r="Y618" i="2"/>
  <c r="X618" i="2"/>
  <c r="Q618" i="2"/>
  <c r="Z617" i="2"/>
  <c r="Y617" i="2"/>
  <c r="X617" i="2"/>
  <c r="Q617" i="2"/>
  <c r="Z616" i="2"/>
  <c r="Y616" i="2"/>
  <c r="X616" i="2"/>
  <c r="Q616" i="2"/>
  <c r="Z615" i="2"/>
  <c r="Y615" i="2"/>
  <c r="X615" i="2"/>
  <c r="Q615" i="2"/>
  <c r="Z614" i="2"/>
  <c r="Y614" i="2"/>
  <c r="X614" i="2"/>
  <c r="Q614" i="2"/>
  <c r="Z613" i="2"/>
  <c r="Y613" i="2"/>
  <c r="X613" i="2"/>
  <c r="Q613" i="2"/>
  <c r="Z612" i="2"/>
  <c r="Y612" i="2"/>
  <c r="X612" i="2"/>
  <c r="Q612" i="2"/>
  <c r="Z611" i="2"/>
  <c r="Y611" i="2"/>
  <c r="X611" i="2"/>
  <c r="Q611" i="2"/>
  <c r="Z610" i="2"/>
  <c r="Y610" i="2"/>
  <c r="X610" i="2"/>
  <c r="Q610" i="2"/>
  <c r="Z609" i="2"/>
  <c r="Y609" i="2"/>
  <c r="X609" i="2"/>
  <c r="Q609" i="2"/>
  <c r="Z608" i="2"/>
  <c r="Y608" i="2"/>
  <c r="X608" i="2"/>
  <c r="Q608" i="2"/>
  <c r="Z607" i="2"/>
  <c r="Y607" i="2"/>
  <c r="X607" i="2"/>
  <c r="Q607" i="2"/>
  <c r="Z606" i="2"/>
  <c r="Y606" i="2"/>
  <c r="X606" i="2"/>
  <c r="Q606" i="2"/>
  <c r="Z605" i="2"/>
  <c r="Y605" i="2"/>
  <c r="X605" i="2"/>
  <c r="Q605" i="2"/>
  <c r="Z604" i="2"/>
  <c r="Y604" i="2"/>
  <c r="X604" i="2"/>
  <c r="Q604" i="2"/>
  <c r="Z603" i="2"/>
  <c r="Y603" i="2"/>
  <c r="X603" i="2"/>
  <c r="Q603" i="2"/>
  <c r="Z602" i="2"/>
  <c r="Y602" i="2"/>
  <c r="X602" i="2"/>
  <c r="Q602" i="2"/>
  <c r="Z601" i="2"/>
  <c r="Y601" i="2"/>
  <c r="X601" i="2"/>
  <c r="Q601" i="2"/>
  <c r="Z600" i="2"/>
  <c r="Y600" i="2"/>
  <c r="X600" i="2"/>
  <c r="Q600" i="2"/>
  <c r="Z599" i="2"/>
  <c r="Y599" i="2"/>
  <c r="X599" i="2"/>
  <c r="Q599" i="2"/>
  <c r="Z598" i="2"/>
  <c r="Y598" i="2"/>
  <c r="X598" i="2"/>
  <c r="Q598" i="2"/>
  <c r="Z597" i="2"/>
  <c r="Y597" i="2"/>
  <c r="X597" i="2"/>
  <c r="Q597" i="2"/>
  <c r="Z596" i="2"/>
  <c r="Y596" i="2"/>
  <c r="X596" i="2"/>
  <c r="Q596" i="2"/>
  <c r="Z595" i="2"/>
  <c r="Y595" i="2"/>
  <c r="X595" i="2"/>
  <c r="Q595" i="2"/>
  <c r="Z594" i="2"/>
  <c r="Y594" i="2"/>
  <c r="X594" i="2"/>
  <c r="Q594" i="2"/>
  <c r="Z593" i="2"/>
  <c r="Y593" i="2"/>
  <c r="X593" i="2"/>
  <c r="Q593" i="2"/>
  <c r="Z592" i="2"/>
  <c r="Y592" i="2"/>
  <c r="X592" i="2"/>
  <c r="Q592" i="2"/>
  <c r="Z591" i="2"/>
  <c r="Y591" i="2"/>
  <c r="X591" i="2"/>
  <c r="Q591" i="2"/>
  <c r="Z589" i="2"/>
  <c r="Y589" i="2"/>
  <c r="X589" i="2"/>
  <c r="Q589" i="2"/>
  <c r="Z588" i="2"/>
  <c r="Y588" i="2"/>
  <c r="X588" i="2"/>
  <c r="Q588" i="2"/>
  <c r="Z587" i="2"/>
  <c r="Y587" i="2"/>
  <c r="X587" i="2"/>
  <c r="Q587" i="2"/>
  <c r="Z586" i="2"/>
  <c r="Y586" i="2"/>
  <c r="X586" i="2"/>
  <c r="Q586" i="2"/>
  <c r="Z585" i="2"/>
  <c r="Y585" i="2"/>
  <c r="X585" i="2"/>
  <c r="Q585" i="2"/>
  <c r="Z584" i="2"/>
  <c r="Y584" i="2"/>
  <c r="X584" i="2"/>
  <c r="Q584" i="2"/>
  <c r="Z583" i="2"/>
  <c r="Y583" i="2"/>
  <c r="X583" i="2"/>
  <c r="Q583" i="2"/>
  <c r="Z582" i="2"/>
  <c r="Y582" i="2"/>
  <c r="X582" i="2"/>
  <c r="Q582" i="2"/>
  <c r="Z581" i="2"/>
  <c r="Y581" i="2"/>
  <c r="X581" i="2"/>
  <c r="Q581" i="2"/>
  <c r="Z580" i="2"/>
  <c r="Y580" i="2"/>
  <c r="X580" i="2"/>
  <c r="Q580" i="2"/>
  <c r="Z579" i="2"/>
  <c r="Y579" i="2"/>
  <c r="X579" i="2"/>
  <c r="Q579" i="2"/>
  <c r="Z578" i="2"/>
  <c r="Y578" i="2"/>
  <c r="X578" i="2"/>
  <c r="Q578" i="2"/>
  <c r="Z577" i="2"/>
  <c r="Y577" i="2"/>
  <c r="X577" i="2"/>
  <c r="Q577" i="2"/>
  <c r="Z576" i="2"/>
  <c r="Y576" i="2"/>
  <c r="X576" i="2"/>
  <c r="Q576" i="2"/>
  <c r="Z575" i="2"/>
  <c r="Y575" i="2"/>
  <c r="X575" i="2"/>
  <c r="Q575" i="2"/>
  <c r="Z574" i="2"/>
  <c r="Y574" i="2"/>
  <c r="X574" i="2"/>
  <c r="Q574" i="2"/>
  <c r="Z573" i="2"/>
  <c r="Y573" i="2"/>
  <c r="X573" i="2"/>
  <c r="Q573" i="2"/>
  <c r="Z572" i="2"/>
  <c r="Y572" i="2"/>
  <c r="X572" i="2"/>
  <c r="Q572" i="2"/>
  <c r="Z571" i="2"/>
  <c r="Y571" i="2"/>
  <c r="X571" i="2"/>
  <c r="Q571" i="2"/>
  <c r="Z570" i="2"/>
  <c r="Y570" i="2"/>
  <c r="X570" i="2"/>
  <c r="Q570" i="2"/>
  <c r="Z569" i="2"/>
  <c r="Y569" i="2"/>
  <c r="X569" i="2"/>
  <c r="Q569" i="2"/>
  <c r="Z568" i="2"/>
  <c r="Y568" i="2"/>
  <c r="X568" i="2"/>
  <c r="Q568" i="2"/>
  <c r="Z567" i="2"/>
  <c r="Y567" i="2"/>
  <c r="X567" i="2"/>
  <c r="Q567" i="2"/>
  <c r="Z566" i="2"/>
  <c r="Y566" i="2"/>
  <c r="X566" i="2"/>
  <c r="Q566" i="2"/>
  <c r="Z565" i="2"/>
  <c r="Y565" i="2"/>
  <c r="X565" i="2"/>
  <c r="Q565" i="2"/>
  <c r="Z563" i="2"/>
  <c r="Y563" i="2"/>
  <c r="X563" i="2"/>
  <c r="Q563" i="2"/>
  <c r="Z562" i="2"/>
  <c r="Y562" i="2"/>
  <c r="X562" i="2"/>
  <c r="Q562" i="2"/>
  <c r="Z561" i="2"/>
  <c r="Y561" i="2"/>
  <c r="X561" i="2"/>
  <c r="Q561" i="2"/>
  <c r="Z560" i="2"/>
  <c r="Y560" i="2"/>
  <c r="X560" i="2"/>
  <c r="Q560" i="2"/>
  <c r="Z559" i="2"/>
  <c r="Y559" i="2"/>
  <c r="X559" i="2"/>
  <c r="Q559" i="2"/>
  <c r="Z558" i="2"/>
  <c r="Y558" i="2"/>
  <c r="X558" i="2"/>
  <c r="Q558" i="2"/>
  <c r="Z557" i="2"/>
  <c r="Y557" i="2"/>
  <c r="X557" i="2"/>
  <c r="Q557" i="2"/>
  <c r="Z556" i="2"/>
  <c r="Y556" i="2"/>
  <c r="X556" i="2"/>
  <c r="Q556" i="2"/>
  <c r="Z555" i="2"/>
  <c r="Y555" i="2"/>
  <c r="X555" i="2"/>
  <c r="Q555" i="2"/>
  <c r="Z554" i="2"/>
  <c r="Y554" i="2"/>
  <c r="X554" i="2"/>
  <c r="Q554" i="2"/>
  <c r="Z553" i="2"/>
  <c r="Y553" i="2"/>
  <c r="X553" i="2"/>
  <c r="Q553" i="2"/>
  <c r="Z552" i="2"/>
  <c r="Y552" i="2"/>
  <c r="X552" i="2"/>
  <c r="Q552" i="2"/>
  <c r="Z551" i="2"/>
  <c r="Y551" i="2"/>
  <c r="X551" i="2"/>
  <c r="Q551" i="2"/>
  <c r="Z550" i="2"/>
  <c r="Y550" i="2"/>
  <c r="X550" i="2"/>
  <c r="Q550" i="2"/>
  <c r="Z549" i="2"/>
  <c r="Y549" i="2"/>
  <c r="X549" i="2"/>
  <c r="Q549" i="2"/>
  <c r="Z548" i="2"/>
  <c r="Y548" i="2"/>
  <c r="X548" i="2"/>
  <c r="Q548" i="2"/>
  <c r="Z547" i="2"/>
  <c r="Y547" i="2"/>
  <c r="X547" i="2"/>
  <c r="Q547" i="2"/>
  <c r="Z546" i="2"/>
  <c r="Y546" i="2"/>
  <c r="X546" i="2"/>
  <c r="Q546" i="2"/>
  <c r="Z545" i="2"/>
  <c r="Y545" i="2"/>
  <c r="X545" i="2"/>
  <c r="Q545" i="2"/>
  <c r="Z544" i="2"/>
  <c r="Y544" i="2"/>
  <c r="X544" i="2"/>
  <c r="Q544" i="2"/>
  <c r="Z543" i="2"/>
  <c r="Y543" i="2"/>
  <c r="X543" i="2"/>
  <c r="Q543" i="2"/>
  <c r="Z542" i="2"/>
  <c r="Y542" i="2"/>
  <c r="X542" i="2"/>
  <c r="Q542" i="2"/>
  <c r="Z541" i="2"/>
  <c r="Y541" i="2"/>
  <c r="X541" i="2"/>
  <c r="Q541" i="2"/>
  <c r="Z540" i="2"/>
  <c r="Y540" i="2"/>
  <c r="X540" i="2"/>
  <c r="Q540" i="2"/>
  <c r="Z539" i="2"/>
  <c r="Y539" i="2"/>
  <c r="X539" i="2"/>
  <c r="Q539" i="2"/>
  <c r="Z538" i="2"/>
  <c r="Y538" i="2"/>
  <c r="X538" i="2"/>
  <c r="Q538" i="2"/>
  <c r="Z537" i="2"/>
  <c r="Y537" i="2"/>
  <c r="X537" i="2"/>
  <c r="Q537" i="2"/>
  <c r="Z536" i="2"/>
  <c r="Y536" i="2"/>
  <c r="X536" i="2"/>
  <c r="Q536" i="2"/>
  <c r="Z535" i="2"/>
  <c r="Y535" i="2"/>
  <c r="X535" i="2"/>
  <c r="Q535" i="2"/>
  <c r="Z534" i="2"/>
  <c r="Y534" i="2"/>
  <c r="X534" i="2"/>
  <c r="Q534" i="2"/>
  <c r="Z533" i="2"/>
  <c r="Y533" i="2"/>
  <c r="X533" i="2"/>
  <c r="Q533" i="2"/>
  <c r="Z532" i="2"/>
  <c r="Y532" i="2"/>
  <c r="X532" i="2"/>
  <c r="Q532" i="2"/>
  <c r="Z531" i="2"/>
  <c r="Y531" i="2"/>
  <c r="X531" i="2"/>
  <c r="Q531" i="2"/>
  <c r="Z530" i="2"/>
  <c r="Y530" i="2"/>
  <c r="X530" i="2"/>
  <c r="Q530" i="2"/>
  <c r="Z529" i="2"/>
  <c r="Y529" i="2"/>
  <c r="X529" i="2"/>
  <c r="Q529" i="2"/>
  <c r="Z528" i="2"/>
  <c r="Y528" i="2"/>
  <c r="X528" i="2"/>
  <c r="Q528" i="2"/>
  <c r="Z527" i="2"/>
  <c r="Y527" i="2"/>
  <c r="X527" i="2"/>
  <c r="Q527" i="2"/>
  <c r="Z526" i="2"/>
  <c r="Y526" i="2"/>
  <c r="X526" i="2"/>
  <c r="Q526" i="2"/>
  <c r="Z525" i="2"/>
  <c r="Y525" i="2"/>
  <c r="X525" i="2"/>
  <c r="Q525" i="2"/>
  <c r="Z524" i="2"/>
  <c r="Y524" i="2"/>
  <c r="X524" i="2"/>
  <c r="Q524" i="2"/>
  <c r="Z523" i="2"/>
  <c r="Y523" i="2"/>
  <c r="X523" i="2"/>
  <c r="Q523" i="2"/>
  <c r="Z522" i="2"/>
  <c r="Y522" i="2"/>
  <c r="X522" i="2"/>
  <c r="Q522" i="2"/>
  <c r="Z521" i="2"/>
  <c r="Y521" i="2"/>
  <c r="X521" i="2"/>
  <c r="Q521" i="2"/>
  <c r="Z520" i="2"/>
  <c r="Y520" i="2"/>
  <c r="X520" i="2"/>
  <c r="Q520" i="2"/>
  <c r="Z519" i="2"/>
  <c r="Y519" i="2"/>
  <c r="X519" i="2"/>
  <c r="Q519" i="2"/>
  <c r="Z518" i="2"/>
  <c r="Y518" i="2"/>
  <c r="X518" i="2"/>
  <c r="Q518" i="2"/>
  <c r="Z517" i="2"/>
  <c r="Y517" i="2"/>
  <c r="X517" i="2"/>
  <c r="Q517" i="2"/>
  <c r="Z516" i="2"/>
  <c r="Y516" i="2"/>
  <c r="X516" i="2"/>
  <c r="Q516" i="2"/>
  <c r="Z515" i="2"/>
  <c r="Y515" i="2"/>
  <c r="X515" i="2"/>
  <c r="Q515" i="2"/>
  <c r="Z513" i="2"/>
  <c r="Y513" i="2"/>
  <c r="X513" i="2"/>
  <c r="Q513" i="2"/>
  <c r="Z512" i="2"/>
  <c r="Y512" i="2"/>
  <c r="X512" i="2"/>
  <c r="Q512" i="2"/>
  <c r="Z511" i="2"/>
  <c r="Y511" i="2"/>
  <c r="X511" i="2"/>
  <c r="Q511" i="2"/>
  <c r="Z510" i="2"/>
  <c r="Y510" i="2"/>
  <c r="X510" i="2"/>
  <c r="Q510" i="2"/>
  <c r="Z509" i="2"/>
  <c r="Y509" i="2"/>
  <c r="X509" i="2"/>
  <c r="Q509" i="2"/>
  <c r="Z508" i="2"/>
  <c r="Y508" i="2"/>
  <c r="X508" i="2"/>
  <c r="Q508" i="2"/>
  <c r="Z507" i="2"/>
  <c r="Y507" i="2"/>
  <c r="X507" i="2"/>
  <c r="Q507" i="2"/>
  <c r="Z506" i="2"/>
  <c r="Y506" i="2"/>
  <c r="X506" i="2"/>
  <c r="Q506" i="2"/>
  <c r="Z505" i="2"/>
  <c r="Y505" i="2"/>
  <c r="X505" i="2"/>
  <c r="Q505" i="2"/>
  <c r="Z504" i="2"/>
  <c r="Y504" i="2"/>
  <c r="X504" i="2"/>
  <c r="Q504" i="2"/>
  <c r="Z503" i="2"/>
  <c r="Y503" i="2"/>
  <c r="X503" i="2"/>
  <c r="Q503" i="2"/>
  <c r="Z502" i="2"/>
  <c r="Y502" i="2"/>
  <c r="X502" i="2"/>
  <c r="Q502" i="2"/>
  <c r="Z501" i="2"/>
  <c r="Y501" i="2"/>
  <c r="X501" i="2"/>
  <c r="Q501" i="2"/>
  <c r="Z500" i="2"/>
  <c r="Y500" i="2"/>
  <c r="X500" i="2"/>
  <c r="Q500" i="2"/>
  <c r="Z499" i="2"/>
  <c r="Y499" i="2"/>
  <c r="X499" i="2"/>
  <c r="Q499" i="2"/>
  <c r="Z498" i="2"/>
  <c r="Y498" i="2"/>
  <c r="X498" i="2"/>
  <c r="Q498" i="2"/>
  <c r="Z497" i="2"/>
  <c r="Y497" i="2"/>
  <c r="X497" i="2"/>
  <c r="Q497" i="2"/>
  <c r="Z496" i="2"/>
  <c r="Y496" i="2"/>
  <c r="X496" i="2"/>
  <c r="Q496" i="2"/>
  <c r="Z495" i="2"/>
  <c r="Y495" i="2"/>
  <c r="X495" i="2"/>
  <c r="Q495" i="2"/>
  <c r="Z494" i="2"/>
  <c r="Y494" i="2"/>
  <c r="X494" i="2"/>
  <c r="Q494" i="2"/>
  <c r="Z493" i="2"/>
  <c r="Y493" i="2"/>
  <c r="X493" i="2"/>
  <c r="Q493" i="2"/>
  <c r="Z492" i="2"/>
  <c r="Y492" i="2"/>
  <c r="X492" i="2"/>
  <c r="Q492" i="2"/>
  <c r="Z491" i="2"/>
  <c r="Y491" i="2"/>
  <c r="X491" i="2"/>
  <c r="Q491" i="2"/>
  <c r="Z490" i="2"/>
  <c r="Y490" i="2"/>
  <c r="X490" i="2"/>
  <c r="Q490" i="2"/>
  <c r="Z489" i="2"/>
  <c r="Y489" i="2"/>
  <c r="X489" i="2"/>
  <c r="Q489" i="2"/>
  <c r="Z488" i="2"/>
  <c r="Y488" i="2"/>
  <c r="X488" i="2"/>
  <c r="Q488" i="2"/>
  <c r="Z487" i="2"/>
  <c r="Y487" i="2"/>
  <c r="X487" i="2"/>
  <c r="Q487" i="2"/>
  <c r="Z486" i="2"/>
  <c r="Y486" i="2"/>
  <c r="X486" i="2"/>
  <c r="Q486" i="2"/>
  <c r="Z485" i="2"/>
  <c r="Y485" i="2"/>
  <c r="X485" i="2"/>
  <c r="Q485" i="2"/>
  <c r="Z484" i="2"/>
  <c r="Y484" i="2"/>
  <c r="X484" i="2"/>
  <c r="Q484" i="2"/>
  <c r="Z483" i="2"/>
  <c r="Y483" i="2"/>
  <c r="X483" i="2"/>
  <c r="Q483" i="2"/>
  <c r="Z482" i="2"/>
  <c r="Y482" i="2"/>
  <c r="X482" i="2"/>
  <c r="Q482" i="2"/>
  <c r="Z481" i="2"/>
  <c r="Y481" i="2"/>
  <c r="X481" i="2"/>
  <c r="Q481" i="2"/>
  <c r="Z480" i="2"/>
  <c r="Y480" i="2"/>
  <c r="X480" i="2"/>
  <c r="Q480" i="2"/>
  <c r="Z479" i="2"/>
  <c r="Y479" i="2"/>
  <c r="X479" i="2"/>
  <c r="Q479" i="2"/>
  <c r="Z478" i="2"/>
  <c r="Y478" i="2"/>
  <c r="X478" i="2"/>
  <c r="Q478" i="2"/>
  <c r="Z477" i="2"/>
  <c r="Y477" i="2"/>
  <c r="X477" i="2"/>
  <c r="Q477" i="2"/>
  <c r="Z476" i="2"/>
  <c r="Y476" i="2"/>
  <c r="X476" i="2"/>
  <c r="Q476" i="2"/>
  <c r="Z475" i="2"/>
  <c r="Y475" i="2"/>
  <c r="X475" i="2"/>
  <c r="Q475" i="2"/>
  <c r="Z474" i="2"/>
  <c r="Y474" i="2"/>
  <c r="X474" i="2"/>
  <c r="Q474" i="2"/>
  <c r="Z473" i="2"/>
  <c r="Y473" i="2"/>
  <c r="X473" i="2"/>
  <c r="Q473" i="2"/>
  <c r="Z472" i="2"/>
  <c r="Y472" i="2"/>
  <c r="X472" i="2"/>
  <c r="Q472" i="2"/>
  <c r="Z471" i="2"/>
  <c r="Y471" i="2"/>
  <c r="X471" i="2"/>
  <c r="Q471" i="2"/>
  <c r="Z470" i="2"/>
  <c r="Y470" i="2"/>
  <c r="X470" i="2"/>
  <c r="Q470" i="2"/>
  <c r="Z469" i="2"/>
  <c r="Y469" i="2"/>
  <c r="X469" i="2"/>
  <c r="Q469" i="2"/>
  <c r="Z468" i="2"/>
  <c r="Y468" i="2"/>
  <c r="X468" i="2"/>
  <c r="Q468" i="2"/>
  <c r="Z467" i="2"/>
  <c r="Y467" i="2"/>
  <c r="X467" i="2"/>
  <c r="Q467" i="2"/>
  <c r="Z466" i="2"/>
  <c r="Y466" i="2"/>
  <c r="X466" i="2"/>
  <c r="Q466" i="2"/>
  <c r="Z465" i="2"/>
  <c r="Y465" i="2"/>
  <c r="X465" i="2"/>
  <c r="Q465" i="2"/>
  <c r="Z464" i="2"/>
  <c r="Y464" i="2"/>
  <c r="X464" i="2"/>
  <c r="Q464" i="2"/>
  <c r="Z463" i="2"/>
  <c r="Y463" i="2"/>
  <c r="X463" i="2"/>
  <c r="Q463" i="2"/>
  <c r="Z462" i="2"/>
  <c r="Y462" i="2"/>
  <c r="X462" i="2"/>
  <c r="Q462" i="2"/>
  <c r="Z461" i="2"/>
  <c r="Y461" i="2"/>
  <c r="X461" i="2"/>
  <c r="Q461" i="2"/>
  <c r="Z460" i="2"/>
  <c r="Y460" i="2"/>
  <c r="X460" i="2"/>
  <c r="Q460" i="2"/>
  <c r="Z459" i="2"/>
  <c r="Y459" i="2"/>
  <c r="X459" i="2"/>
  <c r="Q459" i="2"/>
  <c r="Z458" i="2"/>
  <c r="Y458" i="2"/>
  <c r="X458" i="2"/>
  <c r="Q458" i="2"/>
  <c r="Z457" i="2"/>
  <c r="Y457" i="2"/>
  <c r="X457" i="2"/>
  <c r="Q457" i="2"/>
  <c r="Z456" i="2"/>
  <c r="Y456" i="2"/>
  <c r="X456" i="2"/>
  <c r="Q456" i="2"/>
  <c r="Z455" i="2"/>
  <c r="Y455" i="2"/>
  <c r="X455" i="2"/>
  <c r="Q455" i="2"/>
  <c r="Z454" i="2"/>
  <c r="Y454" i="2"/>
  <c r="X454" i="2"/>
  <c r="Q454" i="2"/>
  <c r="Z453" i="2"/>
  <c r="Y453" i="2"/>
  <c r="X453" i="2"/>
  <c r="Q453" i="2"/>
  <c r="Z452" i="2"/>
  <c r="Y452" i="2"/>
  <c r="X452" i="2"/>
  <c r="Q452" i="2"/>
  <c r="Z451" i="2"/>
  <c r="Y451" i="2"/>
  <c r="X451" i="2"/>
  <c r="Q451" i="2"/>
  <c r="Z450" i="2"/>
  <c r="Y450" i="2"/>
  <c r="X450" i="2"/>
  <c r="Q450" i="2"/>
  <c r="Z449" i="2"/>
  <c r="Y449" i="2"/>
  <c r="X449" i="2"/>
  <c r="Q449" i="2"/>
  <c r="Z448" i="2"/>
  <c r="Y448" i="2"/>
  <c r="X448" i="2"/>
  <c r="Q448" i="2"/>
  <c r="Z447" i="2"/>
  <c r="Y447" i="2"/>
  <c r="X447" i="2"/>
  <c r="Q447" i="2"/>
  <c r="Z446" i="2"/>
  <c r="Y446" i="2"/>
  <c r="X446" i="2"/>
  <c r="Q446" i="2"/>
  <c r="Z445" i="2"/>
  <c r="Y445" i="2"/>
  <c r="X445" i="2"/>
  <c r="Q445" i="2"/>
  <c r="Z444" i="2"/>
  <c r="Y444" i="2"/>
  <c r="X444" i="2"/>
  <c r="Q444" i="2"/>
  <c r="Z443" i="2"/>
  <c r="Y443" i="2"/>
  <c r="X443" i="2"/>
  <c r="Q443" i="2"/>
  <c r="Z442" i="2"/>
  <c r="Y442" i="2"/>
  <c r="X442" i="2"/>
  <c r="Q442" i="2"/>
  <c r="Z441" i="2"/>
  <c r="Y441" i="2"/>
  <c r="X441" i="2"/>
  <c r="Q441" i="2"/>
  <c r="Z440" i="2"/>
  <c r="Y440" i="2"/>
  <c r="X440" i="2"/>
  <c r="Q440" i="2"/>
  <c r="Z439" i="2"/>
  <c r="Y439" i="2"/>
  <c r="X439" i="2"/>
  <c r="Q439" i="2"/>
  <c r="Z438" i="2"/>
  <c r="Y438" i="2"/>
  <c r="X438" i="2"/>
  <c r="Q438" i="2"/>
  <c r="Z437" i="2"/>
  <c r="Y437" i="2"/>
  <c r="X437" i="2"/>
  <c r="Q437" i="2"/>
  <c r="Z436" i="2"/>
  <c r="Y436" i="2"/>
  <c r="X436" i="2"/>
  <c r="Q436" i="2"/>
  <c r="Z435" i="2"/>
  <c r="Y435" i="2"/>
  <c r="X435" i="2"/>
  <c r="Q435" i="2"/>
  <c r="Z434" i="2"/>
  <c r="Y434" i="2"/>
  <c r="X434" i="2"/>
  <c r="Q434" i="2"/>
  <c r="Z433" i="2"/>
  <c r="Y433" i="2"/>
  <c r="X433" i="2"/>
  <c r="Q433" i="2"/>
  <c r="Z432" i="2"/>
  <c r="Y432" i="2"/>
  <c r="X432" i="2"/>
  <c r="Q432" i="2"/>
  <c r="Z431" i="2"/>
  <c r="Y431" i="2"/>
  <c r="X431" i="2"/>
  <c r="Q431" i="2"/>
  <c r="Z430" i="2"/>
  <c r="Y430" i="2"/>
  <c r="X430" i="2"/>
  <c r="Q430" i="2"/>
  <c r="Z429" i="2"/>
  <c r="Y429" i="2"/>
  <c r="X429" i="2"/>
  <c r="Q429" i="2"/>
  <c r="Z428" i="2"/>
  <c r="Y428" i="2"/>
  <c r="X428" i="2"/>
  <c r="Q428" i="2"/>
  <c r="Z427" i="2"/>
  <c r="Y427" i="2"/>
  <c r="X427" i="2"/>
  <c r="Q427" i="2"/>
  <c r="Z426" i="2"/>
  <c r="Y426" i="2"/>
  <c r="X426" i="2"/>
  <c r="Q426" i="2"/>
  <c r="Z425" i="2"/>
  <c r="Y425" i="2"/>
  <c r="X425" i="2"/>
  <c r="Q425" i="2"/>
  <c r="Z424" i="2"/>
  <c r="Y424" i="2"/>
  <c r="X424" i="2"/>
  <c r="Q424" i="2"/>
  <c r="Z423" i="2"/>
  <c r="Y423" i="2"/>
  <c r="X423" i="2"/>
  <c r="Q423" i="2"/>
  <c r="Z422" i="2"/>
  <c r="Y422" i="2"/>
  <c r="X422" i="2"/>
  <c r="Q422" i="2"/>
  <c r="Z421" i="2"/>
  <c r="Y421" i="2"/>
  <c r="X421" i="2"/>
  <c r="Q421" i="2"/>
  <c r="Z420" i="2"/>
  <c r="Y420" i="2"/>
  <c r="X420" i="2"/>
  <c r="Q420" i="2"/>
  <c r="Z419" i="2"/>
  <c r="Y419" i="2"/>
  <c r="X419" i="2"/>
  <c r="Q419" i="2"/>
  <c r="Z418" i="2"/>
  <c r="Y418" i="2"/>
  <c r="X418" i="2"/>
  <c r="Q418" i="2"/>
  <c r="Z417" i="2"/>
  <c r="Y417" i="2"/>
  <c r="X417" i="2"/>
  <c r="Q417" i="2"/>
  <c r="Z416" i="2"/>
  <c r="Y416" i="2"/>
  <c r="X416" i="2"/>
  <c r="Q416" i="2"/>
  <c r="Z415" i="2"/>
  <c r="Y415" i="2"/>
  <c r="X415" i="2"/>
  <c r="Q415" i="2"/>
  <c r="Z414" i="2"/>
  <c r="Y414" i="2"/>
  <c r="X414" i="2"/>
  <c r="Q414" i="2"/>
  <c r="Z413" i="2"/>
  <c r="Y413" i="2"/>
  <c r="X413" i="2"/>
  <c r="Q413" i="2"/>
  <c r="Z412" i="2"/>
  <c r="Y412" i="2"/>
  <c r="X412" i="2"/>
  <c r="Q412" i="2"/>
  <c r="Z411" i="2"/>
  <c r="Y411" i="2"/>
  <c r="X411" i="2"/>
  <c r="Q411" i="2"/>
  <c r="Z410" i="2"/>
  <c r="Y410" i="2"/>
  <c r="X410" i="2"/>
  <c r="Q410" i="2"/>
  <c r="Z409" i="2"/>
  <c r="Y409" i="2"/>
  <c r="X409" i="2"/>
  <c r="Q409" i="2"/>
  <c r="Z408" i="2"/>
  <c r="Y408" i="2"/>
  <c r="X408" i="2"/>
  <c r="Q408" i="2"/>
  <c r="Z407" i="2"/>
  <c r="Y407" i="2"/>
  <c r="X407" i="2"/>
  <c r="Q407" i="2"/>
  <c r="Z406" i="2"/>
  <c r="Y406" i="2"/>
  <c r="X406" i="2"/>
  <c r="Q406" i="2"/>
  <c r="Z405" i="2"/>
  <c r="Y405" i="2"/>
  <c r="X405" i="2"/>
  <c r="Q405" i="2"/>
  <c r="Y404" i="2"/>
  <c r="X404" i="2"/>
  <c r="Q404" i="2"/>
  <c r="Z402" i="2"/>
  <c r="Y402" i="2"/>
  <c r="X402" i="2"/>
  <c r="Q402" i="2"/>
  <c r="Z401" i="2"/>
  <c r="Y401" i="2"/>
  <c r="X401" i="2"/>
  <c r="Q401" i="2"/>
  <c r="Z400" i="2"/>
  <c r="Y400" i="2"/>
  <c r="X400" i="2"/>
  <c r="Q400" i="2"/>
  <c r="Z399" i="2"/>
  <c r="Y399" i="2"/>
  <c r="X399" i="2"/>
  <c r="Q399" i="2"/>
  <c r="Z398" i="2"/>
  <c r="Y398" i="2"/>
  <c r="X398" i="2"/>
  <c r="Q398" i="2"/>
  <c r="Z397" i="2"/>
  <c r="Y397" i="2"/>
  <c r="X397" i="2"/>
  <c r="Q397" i="2"/>
  <c r="Z396" i="2"/>
  <c r="Y396" i="2"/>
  <c r="X396" i="2"/>
  <c r="Q396" i="2"/>
  <c r="Z395" i="2"/>
  <c r="Y395" i="2"/>
  <c r="X395" i="2"/>
  <c r="Q395" i="2"/>
  <c r="Z394" i="2"/>
  <c r="Y394" i="2"/>
  <c r="X394" i="2"/>
  <c r="Q394" i="2"/>
  <c r="Z393" i="2"/>
  <c r="Y393" i="2"/>
  <c r="X393" i="2"/>
  <c r="Q393" i="2"/>
  <c r="Z392" i="2"/>
  <c r="Y392" i="2"/>
  <c r="X392" i="2"/>
  <c r="Q392" i="2"/>
  <c r="Z391" i="2"/>
  <c r="Y391" i="2"/>
  <c r="X391" i="2"/>
  <c r="Q391" i="2"/>
  <c r="Z390" i="2"/>
  <c r="Y390" i="2"/>
  <c r="X390" i="2"/>
  <c r="Q390" i="2"/>
  <c r="Z389" i="2"/>
  <c r="Y389" i="2"/>
  <c r="X389" i="2"/>
  <c r="Q389" i="2"/>
  <c r="Z388" i="2"/>
  <c r="Y388" i="2"/>
  <c r="X388" i="2"/>
  <c r="Q388" i="2"/>
  <c r="Z387" i="2"/>
  <c r="Y387" i="2"/>
  <c r="X387" i="2"/>
  <c r="Q387" i="2"/>
  <c r="Z386" i="2"/>
  <c r="Y386" i="2"/>
  <c r="X386" i="2"/>
  <c r="Q386" i="2"/>
  <c r="Z385" i="2"/>
  <c r="Y385" i="2"/>
  <c r="X385" i="2"/>
  <c r="Q385" i="2"/>
  <c r="Z384" i="2"/>
  <c r="Y384" i="2"/>
  <c r="X384" i="2"/>
  <c r="Q384" i="2"/>
  <c r="Z383" i="2"/>
  <c r="Y383" i="2"/>
  <c r="X383" i="2"/>
  <c r="Q383" i="2"/>
  <c r="Z382" i="2"/>
  <c r="Y382" i="2"/>
  <c r="X382" i="2"/>
  <c r="Q382" i="2"/>
  <c r="Z381" i="2"/>
  <c r="Y381" i="2"/>
  <c r="X381" i="2"/>
  <c r="Q381" i="2"/>
  <c r="Z380" i="2"/>
  <c r="Y380" i="2"/>
  <c r="X380" i="2"/>
  <c r="Q380" i="2"/>
  <c r="Z379" i="2"/>
  <c r="Y379" i="2"/>
  <c r="X379" i="2"/>
  <c r="Q379" i="2"/>
  <c r="Z378" i="2"/>
  <c r="Y378" i="2"/>
  <c r="X378" i="2"/>
  <c r="Q378" i="2"/>
  <c r="Z377" i="2"/>
  <c r="Y377" i="2"/>
  <c r="X377" i="2"/>
  <c r="Q377" i="2"/>
  <c r="Z376" i="2"/>
  <c r="Y376" i="2"/>
  <c r="X376" i="2"/>
  <c r="Q376" i="2"/>
  <c r="Z375" i="2"/>
  <c r="Y375" i="2"/>
  <c r="X375" i="2"/>
  <c r="Q375" i="2"/>
  <c r="Z374" i="2"/>
  <c r="Y374" i="2"/>
  <c r="X374" i="2"/>
  <c r="Q374" i="2"/>
  <c r="Z373" i="2"/>
  <c r="Y373" i="2"/>
  <c r="X373" i="2"/>
  <c r="Q373" i="2"/>
  <c r="Z372" i="2"/>
  <c r="Y372" i="2"/>
  <c r="X372" i="2"/>
  <c r="Q372" i="2"/>
  <c r="Z371" i="2"/>
  <c r="Y371" i="2"/>
  <c r="X371" i="2"/>
  <c r="Q371" i="2"/>
  <c r="Z370" i="2"/>
  <c r="Y370" i="2"/>
  <c r="X370" i="2"/>
  <c r="Q370" i="2"/>
  <c r="Z369" i="2"/>
  <c r="Y369" i="2"/>
  <c r="X369" i="2"/>
  <c r="Q369" i="2"/>
  <c r="Z368" i="2"/>
  <c r="Y368" i="2"/>
  <c r="X368" i="2"/>
  <c r="Q368" i="2"/>
  <c r="Z367" i="2"/>
  <c r="Y367" i="2"/>
  <c r="X367" i="2"/>
  <c r="Q367" i="2"/>
  <c r="Z366" i="2"/>
  <c r="Y366" i="2"/>
  <c r="X366" i="2"/>
  <c r="Q366" i="2"/>
  <c r="Z365" i="2"/>
  <c r="Y365" i="2"/>
  <c r="X365" i="2"/>
  <c r="Q365" i="2"/>
  <c r="Z364" i="2"/>
  <c r="Y364" i="2"/>
  <c r="X364" i="2"/>
  <c r="Q364" i="2"/>
  <c r="Z363" i="2"/>
  <c r="Y363" i="2"/>
  <c r="X363" i="2"/>
  <c r="Q363" i="2"/>
  <c r="Z362" i="2"/>
  <c r="Y362" i="2"/>
  <c r="X362" i="2"/>
  <c r="Q362" i="2"/>
  <c r="Z361" i="2"/>
  <c r="Y361" i="2"/>
  <c r="X361" i="2"/>
  <c r="Q361" i="2"/>
  <c r="Z360" i="2"/>
  <c r="Y360" i="2"/>
  <c r="X360" i="2"/>
  <c r="Q360" i="2"/>
  <c r="Z359" i="2"/>
  <c r="Y359" i="2"/>
  <c r="X359" i="2"/>
  <c r="Q359" i="2"/>
  <c r="Z358" i="2"/>
  <c r="Y358" i="2"/>
  <c r="X358" i="2"/>
  <c r="Q358" i="2"/>
  <c r="Z357" i="2"/>
  <c r="Y357" i="2"/>
  <c r="X357" i="2"/>
  <c r="Q357" i="2"/>
  <c r="Z356" i="2"/>
  <c r="Y356" i="2"/>
  <c r="X356" i="2"/>
  <c r="Q356" i="2"/>
  <c r="Z355" i="2"/>
  <c r="Y355" i="2"/>
  <c r="X355" i="2"/>
  <c r="Q355" i="2"/>
  <c r="Z354" i="2"/>
  <c r="Y354" i="2"/>
  <c r="X354" i="2"/>
  <c r="Q354" i="2"/>
  <c r="Z353" i="2"/>
  <c r="Y353" i="2"/>
  <c r="X353" i="2"/>
  <c r="Q353" i="2"/>
  <c r="Z352" i="2"/>
  <c r="Y352" i="2"/>
  <c r="X352" i="2"/>
  <c r="Q352" i="2"/>
  <c r="Z351" i="2"/>
  <c r="Y351" i="2"/>
  <c r="X351" i="2"/>
  <c r="Q351" i="2"/>
  <c r="Z350" i="2"/>
  <c r="Y350" i="2"/>
  <c r="X350" i="2"/>
  <c r="Q350" i="2"/>
  <c r="Z349" i="2"/>
  <c r="Y349" i="2"/>
  <c r="X349" i="2"/>
  <c r="Q349" i="2"/>
  <c r="Z348" i="2"/>
  <c r="Y348" i="2"/>
  <c r="X348" i="2"/>
  <c r="Q348" i="2"/>
  <c r="Z347" i="2"/>
  <c r="Y347" i="2"/>
  <c r="X347" i="2"/>
  <c r="Q347" i="2"/>
  <c r="Z346" i="2"/>
  <c r="Y346" i="2"/>
  <c r="X346" i="2"/>
  <c r="Q346" i="2"/>
  <c r="Z345" i="2"/>
  <c r="Y345" i="2"/>
  <c r="X345" i="2"/>
  <c r="Q345" i="2"/>
  <c r="Z344" i="2"/>
  <c r="Y344" i="2"/>
  <c r="X344" i="2"/>
  <c r="Q344" i="2"/>
  <c r="Z343" i="2"/>
  <c r="Y343" i="2"/>
  <c r="X343" i="2"/>
  <c r="Q343" i="2"/>
  <c r="Z342" i="2"/>
  <c r="Y342" i="2"/>
  <c r="X342" i="2"/>
  <c r="Q342" i="2"/>
  <c r="Z341" i="2"/>
  <c r="Y341" i="2"/>
  <c r="X341" i="2"/>
  <c r="Q341" i="2"/>
  <c r="Z340" i="2"/>
  <c r="Y340" i="2"/>
  <c r="X340" i="2"/>
  <c r="Q340" i="2"/>
  <c r="Z339" i="2"/>
  <c r="Y339" i="2"/>
  <c r="X339" i="2"/>
  <c r="Q339" i="2"/>
  <c r="Z338" i="2"/>
  <c r="Y338" i="2"/>
  <c r="X338" i="2"/>
  <c r="Q338" i="2"/>
  <c r="Z337" i="2"/>
  <c r="Y337" i="2"/>
  <c r="X337" i="2"/>
  <c r="Q337" i="2"/>
  <c r="Z336" i="2"/>
  <c r="Y336" i="2"/>
  <c r="X336" i="2"/>
  <c r="Q336" i="2"/>
  <c r="Z335" i="2"/>
  <c r="Y335" i="2"/>
  <c r="X335" i="2"/>
  <c r="Q335" i="2"/>
  <c r="Z334" i="2"/>
  <c r="Y334" i="2"/>
  <c r="X334" i="2"/>
  <c r="Q334" i="2"/>
  <c r="Z333" i="2"/>
  <c r="Y333" i="2"/>
  <c r="X333" i="2"/>
  <c r="Q333" i="2"/>
  <c r="Z332" i="2"/>
  <c r="Y332" i="2"/>
  <c r="X332" i="2"/>
  <c r="Q332" i="2"/>
  <c r="Z331" i="2"/>
  <c r="Y331" i="2"/>
  <c r="X331" i="2"/>
  <c r="Q331" i="2"/>
  <c r="Z330" i="2"/>
  <c r="Y330" i="2"/>
  <c r="X330" i="2"/>
  <c r="Q330" i="2"/>
  <c r="Z329" i="2"/>
  <c r="Y329" i="2"/>
  <c r="X329" i="2"/>
  <c r="Q329" i="2"/>
  <c r="Z328" i="2"/>
  <c r="Y328" i="2"/>
  <c r="X328" i="2"/>
  <c r="Q328" i="2"/>
  <c r="Z327" i="2"/>
  <c r="Y327" i="2"/>
  <c r="X327" i="2"/>
  <c r="Q327" i="2"/>
  <c r="Z326" i="2"/>
  <c r="Y326" i="2"/>
  <c r="X326" i="2"/>
  <c r="Q326" i="2"/>
  <c r="Z325" i="2"/>
  <c r="Y325" i="2"/>
  <c r="X325" i="2"/>
  <c r="Q325" i="2"/>
  <c r="Z324" i="2"/>
  <c r="Y324" i="2"/>
  <c r="X324" i="2"/>
  <c r="Q324" i="2"/>
  <c r="Z323" i="2"/>
  <c r="Y323" i="2"/>
  <c r="X323" i="2"/>
  <c r="Q323" i="2"/>
  <c r="Z322" i="2"/>
  <c r="Y322" i="2"/>
  <c r="X322" i="2"/>
  <c r="Q322" i="2"/>
  <c r="Z321" i="2"/>
  <c r="Y321" i="2"/>
  <c r="X321" i="2"/>
  <c r="Q321" i="2"/>
  <c r="Z320" i="2"/>
  <c r="Y320" i="2"/>
  <c r="X320" i="2"/>
  <c r="Q320" i="2"/>
  <c r="Z319" i="2"/>
  <c r="Y319" i="2"/>
  <c r="X319" i="2"/>
  <c r="Q319" i="2"/>
  <c r="Z318" i="2"/>
  <c r="Y318" i="2"/>
  <c r="X318" i="2"/>
  <c r="Q318" i="2"/>
  <c r="Z317" i="2"/>
  <c r="Y317" i="2"/>
  <c r="X317" i="2"/>
  <c r="Q317" i="2"/>
  <c r="Z316" i="2"/>
  <c r="Y316" i="2"/>
  <c r="X316" i="2"/>
  <c r="Q316" i="2"/>
  <c r="Z315" i="2"/>
  <c r="Y315" i="2"/>
  <c r="X315" i="2"/>
  <c r="Q315" i="2"/>
  <c r="Z314" i="2"/>
  <c r="Y314" i="2"/>
  <c r="X314" i="2"/>
  <c r="Q314" i="2"/>
  <c r="Z313" i="2"/>
  <c r="Y313" i="2"/>
  <c r="X313" i="2"/>
  <c r="Q313" i="2"/>
  <c r="Z312" i="2"/>
  <c r="Y312" i="2"/>
  <c r="X312" i="2"/>
  <c r="Q312" i="2"/>
  <c r="Z311" i="2"/>
  <c r="Y311" i="2"/>
  <c r="X311" i="2"/>
  <c r="Q311" i="2"/>
  <c r="Z310" i="2"/>
  <c r="Y310" i="2"/>
  <c r="X310" i="2"/>
  <c r="Q310" i="2"/>
  <c r="Z309" i="2"/>
  <c r="Y309" i="2"/>
  <c r="X309" i="2"/>
  <c r="Q309" i="2"/>
  <c r="Z308" i="2"/>
  <c r="Y308" i="2"/>
  <c r="X308" i="2"/>
  <c r="Q308" i="2"/>
  <c r="Z307" i="2"/>
  <c r="Y307" i="2"/>
  <c r="X307" i="2"/>
  <c r="Q307" i="2"/>
  <c r="Z306" i="2"/>
  <c r="Y306" i="2"/>
  <c r="X306" i="2"/>
  <c r="Q306" i="2"/>
  <c r="Z305" i="2"/>
  <c r="Y305" i="2"/>
  <c r="X305" i="2"/>
  <c r="Q305" i="2"/>
  <c r="Z304" i="2"/>
  <c r="Y304" i="2"/>
  <c r="X304" i="2"/>
  <c r="Q304" i="2"/>
  <c r="Z303" i="2"/>
  <c r="Y303" i="2"/>
  <c r="X303" i="2"/>
  <c r="Q303" i="2"/>
  <c r="Z302" i="2"/>
  <c r="Y302" i="2"/>
  <c r="X302" i="2"/>
  <c r="Q302" i="2"/>
  <c r="Z300" i="2"/>
  <c r="Y300" i="2"/>
  <c r="X300" i="2"/>
  <c r="Q300" i="2"/>
  <c r="Z299" i="2"/>
  <c r="Y299" i="2"/>
  <c r="X299" i="2"/>
  <c r="Q299" i="2"/>
  <c r="Z298" i="2"/>
  <c r="Y298" i="2"/>
  <c r="X298" i="2"/>
  <c r="Q298" i="2"/>
  <c r="Z297" i="2"/>
  <c r="Y297" i="2"/>
  <c r="X297" i="2"/>
  <c r="Q297" i="2"/>
  <c r="Z295" i="2"/>
  <c r="Y295" i="2"/>
  <c r="X295" i="2"/>
  <c r="Q295" i="2"/>
  <c r="Z294" i="2"/>
  <c r="Y294" i="2"/>
  <c r="X294" i="2"/>
  <c r="Q294" i="2"/>
  <c r="Z293" i="2"/>
  <c r="Y293" i="2"/>
  <c r="X293" i="2"/>
  <c r="Q293" i="2"/>
  <c r="Z292" i="2"/>
  <c r="Y292" i="2"/>
  <c r="X292" i="2"/>
  <c r="Q292" i="2"/>
  <c r="Z291" i="2"/>
  <c r="Y291" i="2"/>
  <c r="X291" i="2"/>
  <c r="Q291" i="2"/>
  <c r="Z290" i="2"/>
  <c r="Y290" i="2"/>
  <c r="X290" i="2"/>
  <c r="Q290" i="2"/>
  <c r="Z289" i="2"/>
  <c r="Y289" i="2"/>
  <c r="X289" i="2"/>
  <c r="Q289" i="2"/>
  <c r="Z288" i="2"/>
  <c r="Y288" i="2"/>
  <c r="X288" i="2"/>
  <c r="Q288" i="2"/>
  <c r="Z287" i="2"/>
  <c r="Y287" i="2"/>
  <c r="X287" i="2"/>
  <c r="Q287" i="2"/>
  <c r="Z285" i="2"/>
  <c r="Y285" i="2"/>
  <c r="X285" i="2"/>
  <c r="Q285" i="2"/>
  <c r="Z284" i="2"/>
  <c r="Y284" i="2"/>
  <c r="X284" i="2"/>
  <c r="Q284" i="2"/>
  <c r="Z283" i="2"/>
  <c r="Y283" i="2"/>
  <c r="X283" i="2"/>
  <c r="Q283" i="2"/>
  <c r="Z282" i="2"/>
  <c r="Y282" i="2"/>
  <c r="X282" i="2"/>
  <c r="Q282" i="2"/>
  <c r="Z281" i="2"/>
  <c r="Y281" i="2"/>
  <c r="X281" i="2"/>
  <c r="Q281" i="2"/>
  <c r="Z280" i="2"/>
  <c r="Y280" i="2"/>
  <c r="X280" i="2"/>
  <c r="Q280" i="2"/>
  <c r="Z279" i="2"/>
  <c r="Y279" i="2"/>
  <c r="X279" i="2"/>
  <c r="Q279" i="2"/>
  <c r="Z278" i="2"/>
  <c r="Y278" i="2"/>
  <c r="X278" i="2"/>
  <c r="Q278" i="2"/>
  <c r="Z277" i="2"/>
  <c r="Y277" i="2"/>
  <c r="X277" i="2"/>
  <c r="Q277" i="2"/>
  <c r="Z276" i="2"/>
  <c r="Y276" i="2"/>
  <c r="X276" i="2"/>
  <c r="Q276" i="2"/>
  <c r="Z275" i="2"/>
  <c r="Y275" i="2"/>
  <c r="X275" i="2"/>
  <c r="Q275" i="2"/>
  <c r="Z274" i="2"/>
  <c r="Y274" i="2"/>
  <c r="X274" i="2"/>
  <c r="Q274" i="2"/>
  <c r="Z273" i="2"/>
  <c r="Y273" i="2"/>
  <c r="X273" i="2"/>
  <c r="Q273" i="2"/>
  <c r="Z272" i="2"/>
  <c r="Y272" i="2"/>
  <c r="X272" i="2"/>
  <c r="Q272" i="2"/>
  <c r="Z271" i="2"/>
  <c r="Y271" i="2"/>
  <c r="X271" i="2"/>
  <c r="Q271" i="2"/>
  <c r="Z270" i="2"/>
  <c r="Y270" i="2"/>
  <c r="X270" i="2"/>
  <c r="Q270" i="2"/>
  <c r="Z269" i="2"/>
  <c r="Y269" i="2"/>
  <c r="X269" i="2"/>
  <c r="Q269" i="2"/>
  <c r="Z268" i="2"/>
  <c r="Y268" i="2"/>
  <c r="X268" i="2"/>
  <c r="Q268" i="2"/>
  <c r="Z267" i="2"/>
  <c r="Y267" i="2"/>
  <c r="X267" i="2"/>
  <c r="Q267" i="2"/>
  <c r="Z266" i="2"/>
  <c r="Y266" i="2"/>
  <c r="X266" i="2"/>
  <c r="Q266" i="2"/>
  <c r="Z265" i="2"/>
  <c r="Y265" i="2"/>
  <c r="X265" i="2"/>
  <c r="Q265" i="2"/>
  <c r="Z263" i="2"/>
  <c r="Y263" i="2"/>
  <c r="X263" i="2"/>
  <c r="Q263" i="2"/>
  <c r="Z262" i="2"/>
  <c r="Y262" i="2"/>
  <c r="X262" i="2"/>
  <c r="Q262" i="2"/>
  <c r="Z261" i="2"/>
  <c r="Y261" i="2"/>
  <c r="X261" i="2"/>
  <c r="Q261" i="2"/>
  <c r="Z260" i="2"/>
  <c r="Y260" i="2"/>
  <c r="X260" i="2"/>
  <c r="Q260" i="2"/>
  <c r="Z259" i="2"/>
  <c r="Y259" i="2"/>
  <c r="X259" i="2"/>
  <c r="Q259" i="2"/>
  <c r="Z258" i="2"/>
  <c r="Y258" i="2"/>
  <c r="X258" i="2"/>
  <c r="Q258" i="2"/>
  <c r="Z257" i="2"/>
  <c r="Y257" i="2"/>
  <c r="X257" i="2"/>
  <c r="Q257" i="2"/>
  <c r="Z256" i="2"/>
  <c r="Y256" i="2"/>
  <c r="X256" i="2"/>
  <c r="Q256" i="2"/>
  <c r="Z255" i="2"/>
  <c r="Y255" i="2"/>
  <c r="X255" i="2"/>
  <c r="Q255" i="2"/>
  <c r="Z253" i="2"/>
  <c r="Y253" i="2"/>
  <c r="X253" i="2"/>
  <c r="Q253" i="2"/>
  <c r="Z252" i="2"/>
  <c r="Y252" i="2"/>
  <c r="X252" i="2"/>
  <c r="Q252" i="2"/>
  <c r="Z251" i="2"/>
  <c r="Y251" i="2"/>
  <c r="X251" i="2"/>
  <c r="Q251" i="2"/>
  <c r="Z250" i="2"/>
  <c r="Y250" i="2"/>
  <c r="X250" i="2"/>
  <c r="Q250" i="2"/>
  <c r="Z249" i="2"/>
  <c r="Y249" i="2"/>
  <c r="X249" i="2"/>
  <c r="Q249" i="2"/>
  <c r="Z248" i="2"/>
  <c r="Y248" i="2"/>
  <c r="X248" i="2"/>
  <c r="Q248" i="2"/>
  <c r="Z247" i="2"/>
  <c r="Y247" i="2"/>
  <c r="X247" i="2"/>
  <c r="Q247" i="2"/>
  <c r="Z246" i="2"/>
  <c r="Y246" i="2"/>
  <c r="X246" i="2"/>
  <c r="Q246" i="2"/>
  <c r="Z245" i="2"/>
  <c r="Y245" i="2"/>
  <c r="X245" i="2"/>
  <c r="Q245" i="2"/>
  <c r="Z244" i="2"/>
  <c r="Y244" i="2"/>
  <c r="X244" i="2"/>
  <c r="Q244" i="2"/>
  <c r="Z243" i="2"/>
  <c r="Y243" i="2"/>
  <c r="X243" i="2"/>
  <c r="Q243" i="2"/>
  <c r="Z242" i="2"/>
  <c r="Y242" i="2"/>
  <c r="X242" i="2"/>
  <c r="Q242" i="2"/>
  <c r="Z241" i="2"/>
  <c r="Y241" i="2"/>
  <c r="X241" i="2"/>
  <c r="Q241" i="2"/>
  <c r="Z240" i="2"/>
  <c r="Y240" i="2"/>
  <c r="X240" i="2"/>
  <c r="Q240" i="2"/>
  <c r="Z239" i="2"/>
  <c r="Y239" i="2"/>
  <c r="X239" i="2"/>
  <c r="Q239" i="2"/>
  <c r="Z238" i="2"/>
  <c r="Y238" i="2"/>
  <c r="X238" i="2"/>
  <c r="Q238" i="2"/>
  <c r="Z237" i="2"/>
  <c r="Y237" i="2"/>
  <c r="X237" i="2"/>
  <c r="Q237" i="2"/>
  <c r="Z236" i="2"/>
  <c r="Y236" i="2"/>
  <c r="X236" i="2"/>
  <c r="Q236" i="2"/>
  <c r="Z235" i="2"/>
  <c r="Y235" i="2"/>
  <c r="X235" i="2"/>
  <c r="Q235" i="2"/>
  <c r="Z234" i="2"/>
  <c r="Y234" i="2"/>
  <c r="X234" i="2"/>
  <c r="Q234" i="2"/>
  <c r="Z233" i="2"/>
  <c r="Y233" i="2"/>
  <c r="X233" i="2"/>
  <c r="Q233" i="2"/>
  <c r="Z232" i="2"/>
  <c r="Y232" i="2"/>
  <c r="X232" i="2"/>
  <c r="Q232" i="2"/>
  <c r="Z231" i="2"/>
  <c r="Y231" i="2"/>
  <c r="X231" i="2"/>
  <c r="Q231" i="2"/>
  <c r="Z230" i="2"/>
  <c r="Y230" i="2"/>
  <c r="X230" i="2"/>
  <c r="Q230" i="2"/>
  <c r="Z229" i="2"/>
  <c r="Y229" i="2"/>
  <c r="X229" i="2"/>
  <c r="Q229" i="2"/>
  <c r="Z228" i="2"/>
  <c r="Y228" i="2"/>
  <c r="X228" i="2"/>
  <c r="Q228" i="2"/>
  <c r="Z227" i="2"/>
  <c r="Y227" i="2"/>
  <c r="X227" i="2"/>
  <c r="Q227" i="2"/>
  <c r="Z226" i="2"/>
  <c r="Y226" i="2"/>
  <c r="X226" i="2"/>
  <c r="Q226" i="2"/>
  <c r="Z225" i="2"/>
  <c r="Y225" i="2"/>
  <c r="X225" i="2"/>
  <c r="Q225" i="2"/>
  <c r="Z224" i="2"/>
  <c r="Y224" i="2"/>
  <c r="X224" i="2"/>
  <c r="Q224" i="2"/>
  <c r="Z223" i="2"/>
  <c r="Y223" i="2"/>
  <c r="X223" i="2"/>
  <c r="Q223" i="2"/>
  <c r="Z222" i="2"/>
  <c r="Y222" i="2"/>
  <c r="X222" i="2"/>
  <c r="Q222" i="2"/>
  <c r="Z221" i="2"/>
  <c r="Y221" i="2"/>
  <c r="X221" i="2"/>
  <c r="Q221" i="2"/>
  <c r="Z220" i="2"/>
  <c r="Y220" i="2"/>
  <c r="X220" i="2"/>
  <c r="Q220" i="2"/>
  <c r="Z219" i="2"/>
  <c r="Y219" i="2"/>
  <c r="X219" i="2"/>
  <c r="Q219" i="2"/>
  <c r="Z218" i="2"/>
  <c r="Y218" i="2"/>
  <c r="X218" i="2"/>
  <c r="Q218" i="2"/>
  <c r="Z217" i="2"/>
  <c r="Y217" i="2"/>
  <c r="X217" i="2"/>
  <c r="Q217" i="2"/>
  <c r="Z216" i="2"/>
  <c r="Y216" i="2"/>
  <c r="X216" i="2"/>
  <c r="Q216" i="2"/>
  <c r="Z215" i="2"/>
  <c r="Y215" i="2"/>
  <c r="X215" i="2"/>
  <c r="Q215" i="2"/>
  <c r="Z214" i="2"/>
  <c r="Y214" i="2"/>
  <c r="X214" i="2"/>
  <c r="Q214" i="2"/>
  <c r="Z213" i="2"/>
  <c r="Y213" i="2"/>
  <c r="X213" i="2"/>
  <c r="Q213" i="2"/>
  <c r="Z212" i="2"/>
  <c r="Y212" i="2"/>
  <c r="X212" i="2"/>
  <c r="Q212" i="2"/>
  <c r="Z211" i="2"/>
  <c r="Y211" i="2"/>
  <c r="X211" i="2"/>
  <c r="Q211" i="2"/>
  <c r="Z210" i="2"/>
  <c r="Y210" i="2"/>
  <c r="X210" i="2"/>
  <c r="Q210" i="2"/>
  <c r="Z209" i="2"/>
  <c r="Y209" i="2"/>
  <c r="X209" i="2"/>
  <c r="Q209" i="2"/>
  <c r="Z208" i="2"/>
  <c r="Y208" i="2"/>
  <c r="X208" i="2"/>
  <c r="Q208" i="2"/>
  <c r="Z207" i="2"/>
  <c r="Y207" i="2"/>
  <c r="X207" i="2"/>
  <c r="Q207" i="2"/>
  <c r="Z206" i="2"/>
  <c r="Y206" i="2"/>
  <c r="X206" i="2"/>
  <c r="Q206" i="2"/>
  <c r="Z205" i="2"/>
  <c r="Y205" i="2"/>
  <c r="X205" i="2"/>
  <c r="Q205" i="2"/>
  <c r="Z204" i="2"/>
  <c r="Y204" i="2"/>
  <c r="X204" i="2"/>
  <c r="Q204" i="2"/>
  <c r="Z203" i="2"/>
  <c r="Y203" i="2"/>
  <c r="X203" i="2"/>
  <c r="Q203" i="2"/>
  <c r="Z202" i="2"/>
  <c r="Y202" i="2"/>
  <c r="X202" i="2"/>
  <c r="Q202" i="2"/>
  <c r="Z201" i="2"/>
  <c r="Y201" i="2"/>
  <c r="X201" i="2"/>
  <c r="Q201" i="2"/>
  <c r="Z200" i="2"/>
  <c r="Y200" i="2"/>
  <c r="X200" i="2"/>
  <c r="Q200" i="2"/>
  <c r="Z199" i="2"/>
  <c r="Y199" i="2"/>
  <c r="X199" i="2"/>
  <c r="Q199" i="2"/>
  <c r="Z198" i="2"/>
  <c r="Y198" i="2"/>
  <c r="X198" i="2"/>
  <c r="Q198" i="2"/>
  <c r="Z197" i="2"/>
  <c r="Y197" i="2"/>
  <c r="X197" i="2"/>
  <c r="Q197" i="2"/>
  <c r="Z196" i="2"/>
  <c r="Y196" i="2"/>
  <c r="X196" i="2"/>
  <c r="Q196" i="2"/>
  <c r="Z195" i="2"/>
  <c r="Y195" i="2"/>
  <c r="X195" i="2"/>
  <c r="Q195" i="2"/>
  <c r="Z194" i="2"/>
  <c r="Y194" i="2"/>
  <c r="X194" i="2"/>
  <c r="Q194" i="2"/>
  <c r="Z193" i="2"/>
  <c r="Y193" i="2"/>
  <c r="X193" i="2"/>
  <c r="Q193" i="2"/>
  <c r="Z192" i="2"/>
  <c r="Y192" i="2"/>
  <c r="X192" i="2"/>
  <c r="Q192" i="2"/>
  <c r="Z191" i="2"/>
  <c r="Y191" i="2"/>
  <c r="X191" i="2"/>
  <c r="Q191" i="2"/>
  <c r="Z190" i="2"/>
  <c r="Y190" i="2"/>
  <c r="X190" i="2"/>
  <c r="Q190" i="2"/>
  <c r="Z189" i="2"/>
  <c r="Y189" i="2"/>
  <c r="X189" i="2"/>
  <c r="Q189" i="2"/>
  <c r="Z188" i="2"/>
  <c r="Y188" i="2"/>
  <c r="X188" i="2"/>
  <c r="Q188" i="2"/>
  <c r="Z187" i="2"/>
  <c r="Y187" i="2"/>
  <c r="X187" i="2"/>
  <c r="Q187" i="2"/>
  <c r="Z186" i="2"/>
  <c r="Y186" i="2"/>
  <c r="X186" i="2"/>
  <c r="Q186" i="2"/>
  <c r="Z185" i="2"/>
  <c r="Y185" i="2"/>
  <c r="X185" i="2"/>
  <c r="Q185" i="2"/>
  <c r="Z184" i="2"/>
  <c r="Y184" i="2"/>
  <c r="X184" i="2"/>
  <c r="Q184" i="2"/>
  <c r="Z183" i="2"/>
  <c r="Y183" i="2"/>
  <c r="X183" i="2"/>
  <c r="Q183" i="2"/>
  <c r="Z182" i="2"/>
  <c r="Y182" i="2"/>
  <c r="X182" i="2"/>
  <c r="Q182" i="2"/>
  <c r="Z181" i="2"/>
  <c r="Y181" i="2"/>
  <c r="X181" i="2"/>
  <c r="Q181" i="2"/>
  <c r="Z180" i="2"/>
  <c r="Y180" i="2"/>
  <c r="X180" i="2"/>
  <c r="Q180" i="2"/>
  <c r="Z179" i="2"/>
  <c r="Y179" i="2"/>
  <c r="X179" i="2"/>
  <c r="Q179" i="2"/>
  <c r="Z178" i="2"/>
  <c r="Y178" i="2"/>
  <c r="X178" i="2"/>
  <c r="Q178" i="2"/>
  <c r="Z177" i="2"/>
  <c r="Y177" i="2"/>
  <c r="X177" i="2"/>
  <c r="Q177" i="2"/>
  <c r="Z176" i="2"/>
  <c r="Y176" i="2"/>
  <c r="X176" i="2"/>
  <c r="Q176" i="2"/>
  <c r="Z175" i="2"/>
  <c r="Y175" i="2"/>
  <c r="X175" i="2"/>
  <c r="Q175" i="2"/>
  <c r="Z174" i="2"/>
  <c r="Y174" i="2"/>
  <c r="X174" i="2"/>
  <c r="Q174" i="2"/>
  <c r="Z173" i="2"/>
  <c r="Y173" i="2"/>
  <c r="X173" i="2"/>
  <c r="Q173" i="2"/>
  <c r="Z172" i="2"/>
  <c r="Y172" i="2"/>
  <c r="X172" i="2"/>
  <c r="Q172" i="2"/>
  <c r="Z171" i="2"/>
  <c r="Y171" i="2"/>
  <c r="X171" i="2"/>
  <c r="Q171" i="2"/>
  <c r="Z170" i="2"/>
  <c r="Y170" i="2"/>
  <c r="X170" i="2"/>
  <c r="Q170" i="2"/>
  <c r="Z169" i="2"/>
  <c r="Y169" i="2"/>
  <c r="X169" i="2"/>
  <c r="Q169" i="2"/>
  <c r="Z168" i="2"/>
  <c r="Y168" i="2"/>
  <c r="X168" i="2"/>
  <c r="Q168" i="2"/>
  <c r="Z167" i="2"/>
  <c r="Y167" i="2"/>
  <c r="X167" i="2"/>
  <c r="Q167" i="2"/>
  <c r="Z166" i="2"/>
  <c r="Y166" i="2"/>
  <c r="X166" i="2"/>
  <c r="Q166" i="2"/>
  <c r="Z165" i="2"/>
  <c r="Y165" i="2"/>
  <c r="X165" i="2"/>
  <c r="Q165" i="2"/>
  <c r="Z164" i="2"/>
  <c r="Y164" i="2"/>
  <c r="X164" i="2"/>
  <c r="Q164" i="2"/>
  <c r="Z163" i="2"/>
  <c r="Y163" i="2"/>
  <c r="X163" i="2"/>
  <c r="Q163" i="2"/>
  <c r="Z162" i="2"/>
  <c r="Y162" i="2"/>
  <c r="X162" i="2"/>
  <c r="Q162" i="2"/>
  <c r="Z161" i="2"/>
  <c r="Y161" i="2"/>
  <c r="X161" i="2"/>
  <c r="Q161" i="2"/>
  <c r="Z160" i="2"/>
  <c r="Y160" i="2"/>
  <c r="X160" i="2"/>
  <c r="Q160" i="2"/>
  <c r="Z159" i="2"/>
  <c r="Y159" i="2"/>
  <c r="X159" i="2"/>
  <c r="Q159" i="2"/>
  <c r="Z158" i="2"/>
  <c r="Y158" i="2"/>
  <c r="X158" i="2"/>
  <c r="Q158" i="2"/>
  <c r="Z157" i="2"/>
  <c r="Y157" i="2"/>
  <c r="X157" i="2"/>
  <c r="Q157" i="2"/>
  <c r="Z156" i="2"/>
  <c r="Y156" i="2"/>
  <c r="X156" i="2"/>
  <c r="Q156" i="2"/>
  <c r="Z155" i="2"/>
  <c r="Y155" i="2"/>
  <c r="X155" i="2"/>
  <c r="Q155" i="2"/>
  <c r="Z154" i="2"/>
  <c r="Y154" i="2"/>
  <c r="X154" i="2"/>
  <c r="Q154" i="2"/>
  <c r="Z153" i="2"/>
  <c r="Y153" i="2"/>
  <c r="X153" i="2"/>
  <c r="Q153" i="2"/>
  <c r="Z152" i="2"/>
  <c r="Y152" i="2"/>
  <c r="X152" i="2"/>
  <c r="Q152" i="2"/>
  <c r="Z151" i="2"/>
  <c r="Y151" i="2"/>
  <c r="X151" i="2"/>
  <c r="Q151" i="2"/>
  <c r="Z150" i="2"/>
  <c r="Y150" i="2"/>
  <c r="X150" i="2"/>
  <c r="Q150" i="2"/>
  <c r="Z149" i="2"/>
  <c r="Y149" i="2"/>
  <c r="X149" i="2"/>
  <c r="Q149" i="2"/>
  <c r="Z148" i="2"/>
  <c r="Y148" i="2"/>
  <c r="X148" i="2"/>
  <c r="Q148" i="2"/>
  <c r="Z147" i="2"/>
  <c r="Y147" i="2"/>
  <c r="X147" i="2"/>
  <c r="Q147" i="2"/>
  <c r="Z146" i="2"/>
  <c r="Y146" i="2"/>
  <c r="X146" i="2"/>
  <c r="Q146" i="2"/>
  <c r="Z145" i="2"/>
  <c r="Y145" i="2"/>
  <c r="X145" i="2"/>
  <c r="Q145" i="2"/>
  <c r="Z144" i="2"/>
  <c r="Y144" i="2"/>
  <c r="X144" i="2"/>
  <c r="Q144" i="2"/>
  <c r="Z143" i="2"/>
  <c r="Y143" i="2"/>
  <c r="X143" i="2"/>
  <c r="Q143" i="2"/>
  <c r="Z142" i="2"/>
  <c r="Y142" i="2"/>
  <c r="X142" i="2"/>
  <c r="Q142" i="2"/>
  <c r="Z141" i="2"/>
  <c r="Y141" i="2"/>
  <c r="X141" i="2"/>
  <c r="Q141" i="2"/>
  <c r="Z140" i="2"/>
  <c r="Y140" i="2"/>
  <c r="X140" i="2"/>
  <c r="Q140" i="2"/>
  <c r="Z139" i="2"/>
  <c r="Y139" i="2"/>
  <c r="X139" i="2"/>
  <c r="Q139" i="2"/>
  <c r="Z138" i="2"/>
  <c r="Y138" i="2"/>
  <c r="X138" i="2"/>
  <c r="Q138" i="2"/>
  <c r="Z137" i="2"/>
  <c r="Y137" i="2"/>
  <c r="X137" i="2"/>
  <c r="Q137" i="2"/>
  <c r="Z136" i="2"/>
  <c r="Y136" i="2"/>
  <c r="X136" i="2"/>
  <c r="Q136" i="2"/>
  <c r="Z135" i="2"/>
  <c r="Y135" i="2"/>
  <c r="X135" i="2"/>
  <c r="Q135" i="2"/>
  <c r="Z134" i="2"/>
  <c r="Y134" i="2"/>
  <c r="X134" i="2"/>
  <c r="Q134" i="2"/>
  <c r="Z133" i="2"/>
  <c r="Y133" i="2"/>
  <c r="X133" i="2"/>
  <c r="Q133" i="2"/>
  <c r="Z132" i="2"/>
  <c r="Y132" i="2"/>
  <c r="X132" i="2"/>
  <c r="Q132" i="2"/>
  <c r="Z131" i="2"/>
  <c r="Y131" i="2"/>
  <c r="X131" i="2"/>
  <c r="Q131" i="2"/>
  <c r="Z130" i="2"/>
  <c r="Y130" i="2"/>
  <c r="X130" i="2"/>
  <c r="Q130" i="2"/>
  <c r="Z129" i="2"/>
  <c r="Y129" i="2"/>
  <c r="X129" i="2"/>
  <c r="Q129" i="2"/>
  <c r="Z128" i="2"/>
  <c r="Y128" i="2"/>
  <c r="X128" i="2"/>
  <c r="Q128" i="2"/>
  <c r="Z127" i="2"/>
  <c r="Y127" i="2"/>
  <c r="X127" i="2"/>
  <c r="Q127" i="2"/>
  <c r="Z126" i="2"/>
  <c r="Y126" i="2"/>
  <c r="X126" i="2"/>
  <c r="Q126" i="2"/>
  <c r="Z125" i="2"/>
  <c r="Y125" i="2"/>
  <c r="X125" i="2"/>
  <c r="Q125" i="2"/>
  <c r="Z124" i="2"/>
  <c r="Y124" i="2"/>
  <c r="X124" i="2"/>
  <c r="Q124" i="2"/>
  <c r="Z123" i="2"/>
  <c r="Y123" i="2"/>
  <c r="X123" i="2"/>
  <c r="Q123" i="2"/>
  <c r="Z122" i="2"/>
  <c r="Y122" i="2"/>
  <c r="X122" i="2"/>
  <c r="Q122" i="2"/>
  <c r="Z121" i="2"/>
  <c r="Y121" i="2"/>
  <c r="X121" i="2"/>
  <c r="Q121" i="2"/>
  <c r="Z120" i="2"/>
  <c r="Y120" i="2"/>
  <c r="X120" i="2"/>
  <c r="Q120" i="2"/>
  <c r="Z119" i="2"/>
  <c r="Y119" i="2"/>
  <c r="X119" i="2"/>
  <c r="Q119" i="2"/>
  <c r="Z118" i="2"/>
  <c r="Y118" i="2"/>
  <c r="X118" i="2"/>
  <c r="Q118" i="2"/>
  <c r="Z117" i="2"/>
  <c r="Y117" i="2"/>
  <c r="X117" i="2"/>
  <c r="Q117" i="2"/>
  <c r="Z116" i="2"/>
  <c r="Y116" i="2"/>
  <c r="X116" i="2"/>
  <c r="Q116" i="2"/>
  <c r="Z115" i="2"/>
  <c r="Y115" i="2"/>
  <c r="X115" i="2"/>
  <c r="Q115" i="2"/>
  <c r="Z114" i="2"/>
  <c r="Y114" i="2"/>
  <c r="X114" i="2"/>
  <c r="Q114" i="2"/>
  <c r="Z113" i="2"/>
  <c r="Y113" i="2"/>
  <c r="X113" i="2"/>
  <c r="Q113" i="2"/>
  <c r="Z112" i="2"/>
  <c r="Y112" i="2"/>
  <c r="X112" i="2"/>
  <c r="Q112" i="2"/>
  <c r="Z111" i="2"/>
  <c r="Y111" i="2"/>
  <c r="X111" i="2"/>
  <c r="Q111" i="2"/>
  <c r="Z110" i="2"/>
  <c r="Y110" i="2"/>
  <c r="X110" i="2"/>
  <c r="Q110" i="2"/>
  <c r="Z109" i="2"/>
  <c r="Y109" i="2"/>
  <c r="X109" i="2"/>
  <c r="Q109" i="2"/>
  <c r="Z108" i="2"/>
  <c r="Y108" i="2"/>
  <c r="X108" i="2"/>
  <c r="Q108" i="2"/>
  <c r="Z107" i="2"/>
  <c r="Y107" i="2"/>
  <c r="X107" i="2"/>
  <c r="Q107" i="2"/>
  <c r="Z106" i="2"/>
  <c r="Y106" i="2"/>
  <c r="X106" i="2"/>
  <c r="Q106" i="2"/>
  <c r="Z105" i="2"/>
  <c r="Y105" i="2"/>
  <c r="X105" i="2"/>
  <c r="Q105" i="2"/>
  <c r="Z104" i="2"/>
  <c r="Y104" i="2"/>
  <c r="X104" i="2"/>
  <c r="Q104" i="2"/>
  <c r="Z103" i="2"/>
  <c r="Y103" i="2"/>
  <c r="X103" i="2"/>
  <c r="Q103" i="2"/>
  <c r="Z102" i="2"/>
  <c r="Y102" i="2"/>
  <c r="X102" i="2"/>
  <c r="Q102" i="2"/>
  <c r="Z101" i="2"/>
  <c r="Y101" i="2"/>
  <c r="X101" i="2"/>
  <c r="Q101" i="2"/>
  <c r="Z100" i="2"/>
  <c r="Y100" i="2"/>
  <c r="X100" i="2"/>
  <c r="Q100" i="2"/>
  <c r="Z99" i="2"/>
  <c r="Y99" i="2"/>
  <c r="X99" i="2"/>
  <c r="Q99" i="2"/>
  <c r="Z98" i="2"/>
  <c r="Y98" i="2"/>
  <c r="X98" i="2"/>
  <c r="Q98" i="2"/>
  <c r="Z97" i="2"/>
  <c r="Y97" i="2"/>
  <c r="X97" i="2"/>
  <c r="Q97" i="2"/>
  <c r="Z96" i="2"/>
  <c r="Y96" i="2"/>
  <c r="X96" i="2"/>
  <c r="Q96" i="2"/>
  <c r="Z95" i="2"/>
  <c r="Y95" i="2"/>
  <c r="X95" i="2"/>
  <c r="Q95" i="2"/>
  <c r="Z94" i="2"/>
  <c r="Y94" i="2"/>
  <c r="X94" i="2"/>
  <c r="Q94" i="2"/>
  <c r="Z93" i="2"/>
  <c r="Y93" i="2"/>
  <c r="X93" i="2"/>
  <c r="Q93" i="2"/>
  <c r="Z92" i="2"/>
  <c r="Y92" i="2"/>
  <c r="X92" i="2"/>
  <c r="Q92" i="2"/>
  <c r="Z91" i="2"/>
  <c r="Y91" i="2"/>
  <c r="X91" i="2"/>
  <c r="Q91" i="2"/>
  <c r="Z90" i="2"/>
  <c r="Y90" i="2"/>
  <c r="X90" i="2"/>
  <c r="Q90" i="2"/>
  <c r="Z89" i="2"/>
  <c r="Y89" i="2"/>
  <c r="X89" i="2"/>
  <c r="Q89" i="2"/>
  <c r="Z88" i="2"/>
  <c r="Y88" i="2"/>
  <c r="X88" i="2"/>
  <c r="Q88" i="2"/>
  <c r="Z87" i="2"/>
  <c r="Y87" i="2"/>
  <c r="X87" i="2"/>
  <c r="Q87" i="2"/>
  <c r="Z86" i="2"/>
  <c r="Y86" i="2"/>
  <c r="X86" i="2"/>
  <c r="Q86" i="2"/>
  <c r="Z85" i="2"/>
  <c r="Y85" i="2"/>
  <c r="X85" i="2"/>
  <c r="Q85" i="2"/>
  <c r="Z84" i="2"/>
  <c r="Y84" i="2"/>
  <c r="X84" i="2"/>
  <c r="Q84" i="2"/>
  <c r="Z83" i="2"/>
  <c r="Y83" i="2"/>
  <c r="X83" i="2"/>
  <c r="Q83" i="2"/>
  <c r="Z82" i="2"/>
  <c r="Y82" i="2"/>
  <c r="X82" i="2"/>
  <c r="Q82" i="2"/>
  <c r="Z81" i="2"/>
  <c r="Y81" i="2"/>
  <c r="X81" i="2"/>
  <c r="Q81" i="2"/>
  <c r="Z80" i="2"/>
  <c r="Y80" i="2"/>
  <c r="X80" i="2"/>
  <c r="Q80" i="2"/>
  <c r="Z79" i="2"/>
  <c r="Y79" i="2"/>
  <c r="X79" i="2"/>
  <c r="Q79" i="2"/>
  <c r="Z78" i="2"/>
  <c r="Y78" i="2"/>
  <c r="X78" i="2"/>
  <c r="Q78" i="2"/>
  <c r="Z77" i="2"/>
  <c r="Y77" i="2"/>
  <c r="X77" i="2"/>
  <c r="Q77" i="2"/>
  <c r="Z76" i="2"/>
  <c r="Y76" i="2"/>
  <c r="X76" i="2"/>
  <c r="Q76" i="2"/>
  <c r="Z75" i="2"/>
  <c r="Y75" i="2"/>
  <c r="X75" i="2"/>
  <c r="Q75" i="2"/>
  <c r="Z74" i="2"/>
  <c r="Y74" i="2"/>
  <c r="X74" i="2"/>
  <c r="Q74" i="2"/>
  <c r="Z73" i="2"/>
  <c r="Y73" i="2"/>
  <c r="X73" i="2"/>
  <c r="Q73" i="2"/>
  <c r="Z72" i="2"/>
  <c r="Y72" i="2"/>
  <c r="X72" i="2"/>
  <c r="Q72" i="2"/>
  <c r="Z71" i="2"/>
  <c r="Y71" i="2"/>
  <c r="X71" i="2"/>
  <c r="Q71" i="2"/>
  <c r="Z70" i="2"/>
  <c r="Y70" i="2"/>
  <c r="X70" i="2"/>
  <c r="Q70" i="2"/>
  <c r="Z69" i="2"/>
  <c r="Y69" i="2"/>
  <c r="X69" i="2"/>
  <c r="Q69" i="2"/>
  <c r="Z68" i="2"/>
  <c r="Y68" i="2"/>
  <c r="X68" i="2"/>
  <c r="Q68" i="2"/>
  <c r="Z67" i="2"/>
  <c r="Y67" i="2"/>
  <c r="X67" i="2"/>
  <c r="Q67" i="2"/>
  <c r="Z66" i="2"/>
  <c r="Y66" i="2"/>
  <c r="X66" i="2"/>
  <c r="Q66" i="2"/>
  <c r="Z65" i="2"/>
  <c r="Y65" i="2"/>
  <c r="X65" i="2"/>
  <c r="Q65" i="2"/>
  <c r="Z64" i="2"/>
  <c r="Y64" i="2"/>
  <c r="X64" i="2"/>
  <c r="Q64" i="2"/>
  <c r="Z63" i="2"/>
  <c r="Y63" i="2"/>
  <c r="X63" i="2"/>
  <c r="Q63" i="2"/>
  <c r="Z62" i="2"/>
  <c r="Y62" i="2"/>
  <c r="X62" i="2"/>
  <c r="Q62" i="2"/>
  <c r="Z61" i="2"/>
  <c r="Y61" i="2"/>
  <c r="X61" i="2"/>
  <c r="Q61" i="2"/>
  <c r="Z60" i="2"/>
  <c r="Y60" i="2"/>
  <c r="X60" i="2"/>
  <c r="Q60" i="2"/>
  <c r="Z59" i="2"/>
  <c r="Y59" i="2"/>
  <c r="X59" i="2"/>
  <c r="Q59" i="2"/>
  <c r="Z58" i="2"/>
  <c r="Y58" i="2"/>
  <c r="X58" i="2"/>
  <c r="Q58" i="2"/>
  <c r="Z57" i="2"/>
  <c r="Y57" i="2"/>
  <c r="X57" i="2"/>
  <c r="Q57" i="2"/>
  <c r="Z56" i="2"/>
  <c r="Y56" i="2"/>
  <c r="X56" i="2"/>
  <c r="Q56" i="2"/>
  <c r="Z55" i="2"/>
  <c r="Y55" i="2"/>
  <c r="X55" i="2"/>
  <c r="Q55" i="2"/>
  <c r="Z53" i="2"/>
  <c r="Y53" i="2"/>
  <c r="X53" i="2"/>
  <c r="Q53" i="2"/>
  <c r="Z52" i="2"/>
  <c r="Y52" i="2"/>
  <c r="X52" i="2"/>
  <c r="Q52" i="2"/>
  <c r="Z51" i="2"/>
  <c r="Y51" i="2"/>
  <c r="X51" i="2"/>
  <c r="Q51" i="2"/>
  <c r="Z50" i="2"/>
  <c r="Y50" i="2"/>
  <c r="X50" i="2"/>
  <c r="Q50" i="2"/>
  <c r="Z49" i="2"/>
  <c r="Y49" i="2"/>
  <c r="X49" i="2"/>
  <c r="Q49" i="2"/>
  <c r="Z48" i="2"/>
  <c r="Y48" i="2"/>
  <c r="X48" i="2"/>
  <c r="Q48" i="2"/>
  <c r="Z47" i="2"/>
  <c r="Y47" i="2"/>
  <c r="X47" i="2"/>
  <c r="Q47" i="2"/>
  <c r="Z46" i="2"/>
  <c r="Y46" i="2"/>
  <c r="X46" i="2"/>
  <c r="Q46" i="2"/>
  <c r="Z45" i="2"/>
  <c r="Y45" i="2"/>
  <c r="X45" i="2"/>
  <c r="Q45" i="2"/>
  <c r="Z44" i="2"/>
  <c r="Y44" i="2"/>
  <c r="X44" i="2"/>
  <c r="Q44" i="2"/>
  <c r="Z43" i="2"/>
  <c r="Y43" i="2"/>
  <c r="X43" i="2"/>
  <c r="Q43" i="2"/>
  <c r="Z42" i="2"/>
  <c r="Y42" i="2"/>
  <c r="X42" i="2"/>
  <c r="Q42" i="2"/>
  <c r="Z41" i="2"/>
  <c r="Y41" i="2"/>
  <c r="X41" i="2"/>
  <c r="Q41" i="2"/>
  <c r="Z40" i="2"/>
  <c r="Y40" i="2"/>
  <c r="X40" i="2"/>
  <c r="Q40" i="2"/>
  <c r="Z39" i="2"/>
  <c r="Y39" i="2"/>
  <c r="X39" i="2"/>
  <c r="Q39" i="2"/>
  <c r="Z38" i="2"/>
  <c r="Y38" i="2"/>
  <c r="X38" i="2"/>
  <c r="Q38" i="2"/>
  <c r="Z37" i="2"/>
  <c r="Y37" i="2"/>
  <c r="X37" i="2"/>
  <c r="Q37" i="2"/>
  <c r="Z36" i="2"/>
  <c r="Y36" i="2"/>
  <c r="X36" i="2"/>
  <c r="Q36" i="2"/>
  <c r="Z35" i="2"/>
  <c r="Y35" i="2"/>
  <c r="X35" i="2"/>
  <c r="Q35" i="2"/>
  <c r="Z34" i="2"/>
  <c r="Y34" i="2"/>
  <c r="X34" i="2"/>
  <c r="Q34" i="2"/>
  <c r="Z33" i="2"/>
  <c r="Y33" i="2"/>
  <c r="X33" i="2"/>
  <c r="Q33" i="2"/>
  <c r="Z32" i="2"/>
  <c r="Y32" i="2"/>
  <c r="X32" i="2"/>
  <c r="Q32" i="2"/>
  <c r="Z31" i="2"/>
  <c r="Y31" i="2"/>
  <c r="X31" i="2"/>
  <c r="Q31" i="2"/>
  <c r="Z30" i="2"/>
  <c r="Y30" i="2"/>
  <c r="X30" i="2"/>
  <c r="Q30" i="2"/>
  <c r="Z29" i="2"/>
  <c r="Y29" i="2"/>
  <c r="X29" i="2"/>
  <c r="Q29" i="2"/>
  <c r="Z28" i="2"/>
  <c r="Y28" i="2"/>
  <c r="X28" i="2"/>
  <c r="Q28" i="2"/>
  <c r="Z27" i="2"/>
  <c r="Y27" i="2"/>
  <c r="X27" i="2"/>
  <c r="Q27" i="2"/>
  <c r="Z26" i="2"/>
  <c r="Y26" i="2"/>
  <c r="X26" i="2"/>
  <c r="Q26" i="2"/>
  <c r="Z25" i="2"/>
  <c r="Y25" i="2"/>
  <c r="X25" i="2"/>
  <c r="Q25" i="2"/>
  <c r="Z24" i="2"/>
  <c r="Y24" i="2"/>
  <c r="X24" i="2"/>
  <c r="Q24" i="2"/>
  <c r="Z23" i="2"/>
  <c r="Y23" i="2"/>
  <c r="X23" i="2"/>
  <c r="Q23" i="2"/>
  <c r="Z22" i="2"/>
  <c r="Y22" i="2"/>
  <c r="X22" i="2"/>
  <c r="Q22" i="2"/>
  <c r="Z21" i="2"/>
  <c r="Y21" i="2"/>
  <c r="X21" i="2"/>
  <c r="Q21" i="2"/>
  <c r="Z20" i="2"/>
  <c r="Y20" i="2"/>
  <c r="X20" i="2"/>
  <c r="Q20" i="2"/>
  <c r="Z19" i="2"/>
  <c r="Y19" i="2"/>
  <c r="X19" i="2"/>
  <c r="Q19" i="2"/>
  <c r="Z18" i="2"/>
  <c r="Y18" i="2"/>
  <c r="X18" i="2"/>
  <c r="Q18" i="2"/>
  <c r="Z17" i="2"/>
  <c r="Y17" i="2"/>
  <c r="X17" i="2"/>
  <c r="Q17" i="2"/>
  <c r="Z16" i="2"/>
  <c r="Y16" i="2"/>
  <c r="X16" i="2"/>
  <c r="Q16" i="2"/>
  <c r="Z15" i="2"/>
  <c r="Y15" i="2"/>
  <c r="X15" i="2"/>
  <c r="Q15" i="2"/>
  <c r="Z14" i="2"/>
  <c r="Y14" i="2"/>
  <c r="X14" i="2"/>
  <c r="Q14" i="2"/>
  <c r="AA13" i="2"/>
  <c r="W13" i="2"/>
  <c r="V13" i="2"/>
  <c r="U13" i="2"/>
  <c r="T13" i="2"/>
  <c r="S13" i="2"/>
  <c r="R13" i="2"/>
  <c r="P13" i="2"/>
  <c r="N13" i="2"/>
  <c r="M13" i="2"/>
  <c r="L13" i="2"/>
  <c r="F13" i="2"/>
  <c r="AA12" i="2"/>
  <c r="W12" i="2"/>
  <c r="V12" i="2"/>
  <c r="U12" i="2"/>
  <c r="T12" i="2"/>
  <c r="S12" i="2"/>
  <c r="R12" i="2"/>
  <c r="P12" i="2"/>
  <c r="N12" i="2"/>
  <c r="M12" i="2"/>
  <c r="L12" i="2"/>
  <c r="AA13" i="1"/>
  <c r="U13" i="1"/>
  <c r="G8" i="1" s="1"/>
  <c r="T13" i="1"/>
  <c r="G7" i="1" s="1"/>
  <c r="S13" i="1"/>
  <c r="G6" i="1" s="1"/>
  <c r="R13" i="1"/>
  <c r="G5" i="1" s="1"/>
  <c r="V13" i="1"/>
  <c r="P13" i="1"/>
  <c r="F8" i="1" s="1"/>
  <c r="O13" i="1"/>
  <c r="F7" i="1" s="1"/>
  <c r="N13" i="1"/>
  <c r="F6" i="1" s="1"/>
  <c r="M13" i="1"/>
  <c r="F5" i="1" s="1"/>
  <c r="V12" i="1"/>
  <c r="W12"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14" i="1"/>
  <c r="W13" i="1"/>
  <c r="H5" i="1" s="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14" i="1"/>
  <c r="U12" i="1"/>
  <c r="AA12" i="1"/>
  <c r="T12" i="1"/>
  <c r="S12" i="1"/>
  <c r="P12" i="1"/>
  <c r="O12" i="1"/>
  <c r="N12" i="1"/>
  <c r="M12" i="1"/>
  <c r="G13" i="1"/>
  <c r="Y12" i="2" l="1"/>
  <c r="Z13" i="2"/>
  <c r="Y13" i="2"/>
  <c r="Q13" i="2"/>
  <c r="X13" i="2"/>
  <c r="Z12" i="2"/>
  <c r="X12" i="2"/>
  <c r="Q13" i="1"/>
  <c r="Y12" i="1"/>
  <c r="Z12" i="1"/>
  <c r="X12" i="1"/>
  <c r="Z13" i="1"/>
  <c r="H8" i="1" s="1"/>
  <c r="Y13" i="1"/>
  <c r="H7" i="1" s="1"/>
  <c r="X13" i="1"/>
  <c r="H6" i="1" s="1"/>
</calcChain>
</file>

<file path=xl/sharedStrings.xml><?xml version="1.0" encoding="utf-8"?>
<sst xmlns="http://schemas.openxmlformats.org/spreadsheetml/2006/main" count="21109" uniqueCount="3910">
  <si>
    <t>Nộp tiền Bồi thường</t>
  </si>
  <si>
    <t>CB thụ lý</t>
  </si>
  <si>
    <t>STT</t>
  </si>
  <si>
    <t>Số QĐ phê duyệt dự toán</t>
  </si>
  <si>
    <t>Số QĐ phê duyệt PA</t>
  </si>
  <si>
    <t>QĐ duyệt DT Tạm cư</t>
  </si>
  <si>
    <t>QĐ duyệt DT bổ sung, điều chỉnh</t>
  </si>
  <si>
    <t>STT
Theo PA</t>
  </si>
  <si>
    <t>PA Bổ sung</t>
  </si>
  <si>
    <t>STT
Theo PA (bao gồm PA bị thay thế)</t>
  </si>
  <si>
    <t>Họ tên</t>
  </si>
  <si>
    <t>Phường</t>
  </si>
  <si>
    <t>Tổng tiền chi Bồi thường</t>
  </si>
  <si>
    <t>Tiền Bồi thường Bổ sung, NVTC</t>
  </si>
  <si>
    <t>Thường bàn giao mặt bằng</t>
  </si>
  <si>
    <t>Tạm cư</t>
  </si>
  <si>
    <t>CHƯA CHI</t>
  </si>
  <si>
    <t>-</t>
  </si>
  <si>
    <t>Bích</t>
  </si>
  <si>
    <t>03/QĐ-UBND ngày 20/12/2024</t>
  </si>
  <si>
    <t>817/QĐ-UBND ngày 11/5/2026</t>
  </si>
  <si>
    <t>20/PA-HĐBT(RXT)</t>
  </si>
  <si>
    <t>124/PA-HĐBT(RXT)</t>
  </si>
  <si>
    <t>Trần Thị Mai - Nguyễn Quang Minh - Nguyễn Văn Tiến - Nguyễn Thị Hồng Phương</t>
  </si>
  <si>
    <t>BT</t>
  </si>
  <si>
    <t>34 Bùi Đình Túy, P.12</t>
  </si>
  <si>
    <t>0 đồng</t>
  </si>
  <si>
    <t>21/PA-HĐBT(RXT)</t>
  </si>
  <si>
    <t>1P</t>
  </si>
  <si>
    <t>Trung tâm Phát triển quỹ đất</t>
  </si>
  <si>
    <t>302/5 Nơ Trang Long, P.12</t>
  </si>
  <si>
    <t>37/PA-HĐBT(RXT)</t>
  </si>
  <si>
    <t>Nguyễn Thị Bạch Kim</t>
  </si>
  <si>
    <t>182/120F Bạch Đằng, P.24</t>
  </si>
  <si>
    <t>147/QĐ-UBND ngày 30/01/2026</t>
  </si>
  <si>
    <t>38/PA-HĐBT(RXT)</t>
  </si>
  <si>
    <t>620/PA-HĐBT(RXT)</t>
  </si>
  <si>
    <t>Phạm Văn Đằng-
Trần Thị Len</t>
  </si>
  <si>
    <t>20/27A Đinh Bộ Lĩnh, P.24</t>
  </si>
  <si>
    <t>39/PA-HĐBT(RXT)</t>
  </si>
  <si>
    <t>TP</t>
  </si>
  <si>
    <t xml:space="preserve">Ủy ban nhân dân Phường 24 quản lý
</t>
  </si>
  <si>
    <t>không số (ngay chân cầu mới, cạnh nhà 260A) Bạch Đằng, P.24</t>
  </si>
  <si>
    <t>40/PA-HĐBT(RXT)</t>
  </si>
  <si>
    <t>Phạm Đình Dũng- 
Trần Thị Thanh Thủy</t>
  </si>
  <si>
    <t>47/26 Bùi Đình Túy, P.24</t>
  </si>
  <si>
    <t>Hoài</t>
  </si>
  <si>
    <t>46/PA-HĐBT(RXT)</t>
  </si>
  <si>
    <t>Đào Học Hải - Lê Thị Mỹ Dung</t>
  </si>
  <si>
    <t>32/21 (số cũ 685) Bùi Đình Túy, P.12</t>
  </si>
  <si>
    <t>47/PA-HĐBT(RXT)</t>
  </si>
  <si>
    <t>Ủy ban nhân dân Phường 12 (chốt dân phòng)</t>
  </si>
  <si>
    <t>Không số Bùi Đình Túy, P.12</t>
  </si>
  <si>
    <t>Thảo</t>
  </si>
  <si>
    <t>04/QĐ-UBND ngày 20/12/2024</t>
  </si>
  <si>
    <t>66/PA-HĐBT(RXT)</t>
  </si>
  <si>
    <t>07/PA-HĐBT(RXT)</t>
  </si>
  <si>
    <t>Ông Phan Cao Hiệp và các đồng thừa kế của bà Lê Thị Dung</t>
  </si>
  <si>
    <t>194/56E Bạch Đằng, P.24</t>
  </si>
  <si>
    <t>67/PA-HĐBT(RXT)</t>
  </si>
  <si>
    <t>Ủy ban nhân dân Phường 24 quản lý</t>
  </si>
  <si>
    <t>Không số Bạch Đằng, P.24</t>
  </si>
  <si>
    <t>Hiên</t>
  </si>
  <si>
    <t>68/PA-HĐBT(RXT)</t>
  </si>
  <si>
    <t>Các đồng thừa kế của ông Bùi Văn Khôn- bà Nguyễn Thị Trong</t>
  </si>
  <si>
    <t>76/68 Bạch Đằng, P.24</t>
  </si>
  <si>
    <t>71/PA-HĐBT(RXT)</t>
  </si>
  <si>
    <t>Nguyễn Quốc Huy - Phan Thị Hồng Giang</t>
  </si>
  <si>
    <t>32/17 Bùi Đình Túy, P.12</t>
  </si>
  <si>
    <t>05/QĐ-UBND ngày 31/12/2024</t>
  </si>
  <si>
    <t>84/PA-HĐBT(RXT)</t>
  </si>
  <si>
    <t>Trần Thị Hạnh</t>
  </si>
  <si>
    <t>243/76 Chu Văn An, P.12</t>
  </si>
  <si>
    <t>93/PA-HĐBT(RXT)</t>
  </si>
  <si>
    <t>Võ Văn Hải - Võ Huỳnh Yến Nhi - Võ Huỳnh Phương Uyên</t>
  </si>
  <si>
    <t>76/58 Bạch Đằng, P.24</t>
  </si>
  <si>
    <t>95/PA-HĐBT(RXT)</t>
  </si>
  <si>
    <t>Vũ Phương Nga</t>
  </si>
  <si>
    <t>220/12 Nguyễn Xí, P.26</t>
  </si>
  <si>
    <t>01/QĐ-UBND ngày 20/02/2025</t>
  </si>
  <si>
    <t>108/PA-HĐBT(RXT)</t>
  </si>
  <si>
    <t>ông Phạm Hoài Nam - bà Nguyễn Thị Minh Vân</t>
  </si>
  <si>
    <t>122./66 Bùi Đình Túy, P.12</t>
  </si>
  <si>
    <t>109/PA-HĐBT(RXT)</t>
  </si>
  <si>
    <t>Nguyễn Đoàn Anh Vĩ</t>
  </si>
  <si>
    <t>446/X10 Bùi Đình Túy, P.12</t>
  </si>
  <si>
    <t>110/PA-HĐBT(RXT)</t>
  </si>
  <si>
    <t>Ủy ban nhân dân Phường 12</t>
  </si>
  <si>
    <t>không số Phan Chu Trinh, P.12</t>
  </si>
  <si>
    <t>112/PA-HĐBT(RXT)</t>
  </si>
  <si>
    <t>Nguyễn Đình Chiến - Nguyễn Thị Vần</t>
  </si>
  <si>
    <t>76/58B Bạch Đằng, P.14</t>
  </si>
  <si>
    <t>113/PA-HĐBT(RXT)</t>
  </si>
  <si>
    <t>Điểm sinh hoạt Khu phố 3 - Ủy ban nhân dân Phường 14 quản lý (phường 24 cũ).</t>
  </si>
  <si>
    <t>Không số - Hẻm 47 Bùi Đình Túy, P.
14
(24 cũ)</t>
  </si>
  <si>
    <t>116/PA-HĐBT(RXT)</t>
  </si>
  <si>
    <t>Dương Xuân Đầm</t>
  </si>
  <si>
    <t>693B/1 Bùi Đình Túy, P.12</t>
  </si>
  <si>
    <t>120/PA-HĐBT(RXT)</t>
  </si>
  <si>
    <t>Ủy ban nhân dân Phường 14 (Phường 24 cũ)</t>
  </si>
  <si>
    <t>Không số Phan Chu Trinh, P.14
(24 cũ)</t>
  </si>
  <si>
    <t>121/PA-HĐBT(RXT)</t>
  </si>
  <si>
    <t>Nguyễn Thị Cúc - Lê Trung Tuyên</t>
  </si>
  <si>
    <t>47/68 Bùi Đình Túy, P.14
(24 cũ)</t>
  </si>
  <si>
    <t>122/PA-HĐBT(RXT)</t>
  </si>
  <si>
    <t>Ủy ban nhân dân Phường 14 quản lý (Phường 24 cũ) - Trạm điện của Điện lực Gia Định.</t>
  </si>
  <si>
    <t>Không số (Cạnh nhà 47/21) Bùi Đình Túy, P.14
(24 cũ</t>
  </si>
  <si>
    <t>123/PA-HĐBT(RXT)</t>
  </si>
  <si>
    <t>Nguyễn Thị Thu Nguyệt (Chưa xác định tình trạng hôn nhân)</t>
  </si>
  <si>
    <t>Không số Nguyễn Xí, P.26</t>
  </si>
  <si>
    <t>126/PA-HĐBT(RXT)</t>
  </si>
  <si>
    <t>Ủy ban nhân dân Phường 14 (Phường 24 cũ) quản lý</t>
  </si>
  <si>
    <t>Không số (cuối hẻm 118) Bạch Đằng, P.14</t>
  </si>
  <si>
    <t>02/QĐ-UBND ngày 13/03/2025</t>
  </si>
  <si>
    <t>132/PA-HĐBT(RXT)</t>
  </si>
  <si>
    <t>Không số (cạnh nhà số 405/4) Xô Viết Nghệ Tĩnh, P.14</t>
  </si>
  <si>
    <t>135/PA-HĐBT(RXT)</t>
  </si>
  <si>
    <t>Phan Thanh Hiền</t>
  </si>
  <si>
    <t>194/56B Bạch Đằng, P.14</t>
  </si>
  <si>
    <t>138/PA-HĐBT(RXT)</t>
  </si>
  <si>
    <t>Đặng Văn Minh và các đồng thừa kế của bà Nguyễn Thị Trúc Hạnh</t>
  </si>
  <si>
    <t>194/43/1 Bạch Đằng, P.14</t>
  </si>
  <si>
    <t>143/PA-HĐBT(RXT)</t>
  </si>
  <si>
    <t>Nguyễn Trường Thanh - Nguyễn Thị Thu Thảo</t>
  </si>
  <si>
    <t>47/2 Bùi Đình Túy, P.14</t>
  </si>
  <si>
    <t>145/PA-HĐBT(RXT)</t>
  </si>
  <si>
    <t>Bà Nguyễn Thị Yến và các đồng thừa kế của ông Hồ Văn Thương</t>
  </si>
  <si>
    <t>Không số cạnh 76/115 Bạch Đằng, P.14</t>
  </si>
  <si>
    <t>147/PA-HĐBT(RXT)</t>
  </si>
  <si>
    <t>Phạm Quốc Dũng - Nguyễn Lê Phi Vân</t>
  </si>
  <si>
    <t>47/36 Bùi Đình Túy, P.14</t>
  </si>
  <si>
    <t>150/PA-HĐBT(RXT)</t>
  </si>
  <si>
    <t>Phạm Công Dũng</t>
  </si>
  <si>
    <t>47/28 Bùi Đình Túy, P.14</t>
  </si>
  <si>
    <t>156/PA-HĐBT(RXT)</t>
  </si>
  <si>
    <t>Nguyễn Thị Ngọc Mai</t>
  </si>
  <si>
    <t>76/58E Bạch Đằng, P.14</t>
  </si>
  <si>
    <t>157/PA-HĐBT(RXT)</t>
  </si>
  <si>
    <t>19/PA-HĐBT(RXT)</t>
  </si>
  <si>
    <t>ông Huỳnh Văn Đẳng- bà Nguyễn Thị Hồng Thủy</t>
  </si>
  <si>
    <t>238/33 Bạch Đằng, P.14</t>
  </si>
  <si>
    <t>159/PA-HĐBT(RXT)</t>
  </si>
  <si>
    <t>Bùi Anh Thương – Nguyễn Thị Phương Nga</t>
  </si>
  <si>
    <t>243/38-40 Chu Văn An, P.12</t>
  </si>
  <si>
    <t>03/QĐ-UBND ngày 24/03/2025</t>
  </si>
  <si>
    <t>183/PA-HĐBT(RXT)</t>
  </si>
  <si>
    <t>ông Thái Anh Sơn - bà Chung Thị Mai Phương</t>
  </si>
  <si>
    <t>243/44 Chu Văn An, P.12</t>
  </si>
  <si>
    <t>184/PA-HĐBT(RXT)</t>
  </si>
  <si>
    <t>Trần Thị Hội</t>
  </si>
  <si>
    <t>32/36/40C Bùi Đình Túy, P.12</t>
  </si>
  <si>
    <t>185/PA-HĐBT(RXT)</t>
  </si>
  <si>
    <t>Nguyễn Thị Bính - 
Trương Văn Sáng</t>
  </si>
  <si>
    <t>194/50/35 Bạch Đằng, P.14 (24 cũ)</t>
  </si>
  <si>
    <t>914/QĐ-UBND ngày 22/5/2026</t>
  </si>
  <si>
    <t>186/PA-HĐBT(RXT)</t>
  </si>
  <si>
    <t>ông Trần Minh Mẫn 
(Người đang sử dụng)</t>
  </si>
  <si>
    <t>Không số (phía sau 194/43/18) Bạch Đằng, P.14 (24 cũ)</t>
  </si>
  <si>
    <t>612/QĐ-UBND ngày 20/4/2026</t>
  </si>
  <si>
    <t>187/PA-HĐBT(RXT)</t>
  </si>
  <si>
    <t>69/PA-HĐBT(RXT)</t>
  </si>
  <si>
    <t>Lê Nhật Tân</t>
  </si>
  <si>
    <t>58/153C Phan Chu Trinh, P.14 (24 cũ)</t>
  </si>
  <si>
    <t>188/PA-HĐBT(RXT)</t>
  </si>
  <si>
    <t>Phạm Chí Dũng</t>
  </si>
  <si>
    <t>47/24 Bùi Đình Túy, P.14 (24 cũ)</t>
  </si>
  <si>
    <t>189/PA-HĐBT(RXT)</t>
  </si>
  <si>
    <t>623/PA-HĐBT(RXT)</t>
  </si>
  <si>
    <t>Nguyễn Thị Thu Thủy</t>
  </si>
  <si>
    <t>76/54 Bạch Đằng, P.14 (24 cũ)</t>
  </si>
  <si>
    <t>03/QĐ-UBND ngày 24/03/2025 và QĐ 71/QĐ-UBND ngày 30/5/2025</t>
  </si>
  <si>
    <t>415/PA-HĐBT(RXT) thay thế 190/PA-HĐBT(RXT)</t>
  </si>
  <si>
    <t>Nguyễn Thị Liên và các đồng thừa kế của ông Trần Văn Chấn</t>
  </si>
  <si>
    <t>246/20 Bạch Đằng, P.14 (24 cũ)</t>
  </si>
  <si>
    <t>191/PA-HĐBT(RXT)</t>
  </si>
  <si>
    <t>Bùi Ngọc Châu - Phạm Thị Mỹ</t>
  </si>
  <si>
    <t>125/77/14 Bùi Đình Túy, P.14 (24 cũ)</t>
  </si>
  <si>
    <t>48/QĐ-UBND ngày 15/01/2026</t>
  </si>
  <si>
    <t>192/PA-HĐBT(RXT)</t>
  </si>
  <si>
    <t>628/PA-HĐBT(RXT)</t>
  </si>
  <si>
    <t>Đào Thúy Trường</t>
  </si>
  <si>
    <t>194/50/52 Bạch Đằng, P.14 (24 cũ)</t>
  </si>
  <si>
    <t>550/QĐ-UBND ngày 13/04/2026</t>
  </si>
  <si>
    <t>193/PA-HĐBT(RXT)</t>
  </si>
  <si>
    <t>11/PA-HĐBT(RXT)</t>
  </si>
  <si>
    <t>bà Ninh Đức Hân</t>
  </si>
  <si>
    <t>262 Bạch Đằng, P.14 (24 cũ)</t>
  </si>
  <si>
    <t>1428/QĐ-UBND ngày 20/8/2026</t>
  </si>
  <si>
    <t>194/PA-HĐBT(RXT)</t>
  </si>
  <si>
    <t>474/PA</t>
  </si>
  <si>
    <t>31/PA-HĐBT(RXT)</t>
  </si>
  <si>
    <t>Hồ Văn Tuấn - Nguyễn Thị Hoàng Anh</t>
  </si>
  <si>
    <t>35/2I Đinh Bộ Lĩnh, P.14 (24 cũ)</t>
  </si>
  <si>
    <t>195/PA-HĐBT(RXT)</t>
  </si>
  <si>
    <t>bà Võ Thị Thao</t>
  </si>
  <si>
    <t>427/61 Xô Viết Nghệ Tĩnh, P.26</t>
  </si>
  <si>
    <t>196/PA-HĐBT(RXT)</t>
  </si>
  <si>
    <t>Vũ Công Hoan - Nguyễn Thị Minh Nguyệt</t>
  </si>
  <si>
    <t>197/PA-HĐBT(RXT)</t>
  </si>
  <si>
    <t>30/PA-HĐBT(RXT)</t>
  </si>
  <si>
    <t>Các đồng thừa kế của bà Nguyễn Thị Niên</t>
  </si>
  <si>
    <t>76/115 Bạch Đằng, P.14 (24 cũ)</t>
  </si>
  <si>
    <t>199/PA-HĐBT(RXT)</t>
  </si>
  <si>
    <t>Nguyễn Đức Nghi - Nguyễn Thị Quỳnh Nga</t>
  </si>
  <si>
    <t>243/32 Chu Văn An, P.12</t>
  </si>
  <si>
    <t>04/QĐ-UBND ngày 27/03/2025</t>
  </si>
  <si>
    <t>202/PA-HĐBT(RXT)</t>
  </si>
  <si>
    <t>ông Phạm Hồng Tráng - bà Trần Thị Linh An</t>
  </si>
  <si>
    <t>266/16 Bạch Đằng, P.14 (24 cũ)</t>
  </si>
  <si>
    <t>203/PA-HĐBT(RXT)</t>
  </si>
  <si>
    <t>Phạm Hữu Dũng</t>
  </si>
  <si>
    <t>47/30 Bùi Đình Túy, P.14 (24 cũ)</t>
  </si>
  <si>
    <t>1004/QĐ-UBND ngày 03/12/2025</t>
  </si>
  <si>
    <t>205/PA-HĐBT(RXT)</t>
  </si>
  <si>
    <t>548/PA-HĐBT(RXT)</t>
  </si>
  <si>
    <t>Mai Thị Lan</t>
  </si>
  <si>
    <t>194/43/12 Bạch Đằng, P.14 (24 cũ)</t>
  </si>
  <si>
    <t>207/PA-HĐBT(RXT)</t>
  </si>
  <si>
    <t>Đào Ngọc Ánh - Chung Văn Đông</t>
  </si>
  <si>
    <t>243/46 Chu Văn An, P.12</t>
  </si>
  <si>
    <t>209/PA-HĐBT(RXT)</t>
  </si>
  <si>
    <t>Trần Minh Trí - Nguyễn Thị Hiền</t>
  </si>
  <si>
    <t>243/34 Chu Văn An, P.12</t>
  </si>
  <si>
    <t>213/PA-HĐBT(RXT)</t>
  </si>
  <si>
    <t>ông Nguyễn Văn Trung</t>
  </si>
  <si>
    <t>32/19 (số cũ 685) Bùi Đình Túy, P.12</t>
  </si>
  <si>
    <t>217/PA-HĐBT(RXT)</t>
  </si>
  <si>
    <t>Quan Văn Năm - Nguyễn Thị Sâm</t>
  </si>
  <si>
    <t>405/6 Xô Viết Nghệ Tĩnh, P.14 (24 cũ)</t>
  </si>
  <si>
    <t>218/PA-HĐBT(RXT)</t>
  </si>
  <si>
    <t>611/PA-HĐBT(RXT)</t>
  </si>
  <si>
    <t>Võ Thị Hồng Nguyên và Các đồng thừa kế của ông Trần Công Tiến</t>
  </si>
  <si>
    <t>194/50/54 Bạch Đằng, P.14 (24 cũ)</t>
  </si>
  <si>
    <t>219/PA-HĐBT(RXT)</t>
  </si>
  <si>
    <t>Phan Thanh Dũng</t>
  </si>
  <si>
    <t>Không số Đinh Bộ Lĩnh, P.26</t>
  </si>
  <si>
    <t>220/PA-HĐBT(RXT)</t>
  </si>
  <si>
    <t>Nguyễn Xuân Hẹn - Trần Thị Phương Thảo</t>
  </si>
  <si>
    <t>220/10 Nguyễn Xí, P.26</t>
  </si>
  <si>
    <t>221/PA-HĐBT(RXT)</t>
  </si>
  <si>
    <t>Lê Văn Ba - Nguyễn Thị Phụng</t>
  </si>
  <si>
    <t>23/48 Đinh Bộ Lĩnh, P.26</t>
  </si>
  <si>
    <t>222/PA-HĐBT(RXT)</t>
  </si>
  <si>
    <t>Nguyễn Ngọc Lê - Nguyễn Thị Phú Bình</t>
  </si>
  <si>
    <t>47/80 Bùi Đình Túy, P.14 (24 cũ)</t>
  </si>
  <si>
    <t>223/PA-HĐBT(RXT)</t>
  </si>
  <si>
    <t>Ủy ban nhân dân quận Bình Thạnh</t>
  </si>
  <si>
    <t>334 Nơ Trang Long, P.12</t>
  </si>
  <si>
    <t>224/PA-HĐBT(RXT)</t>
  </si>
  <si>
    <t>Tô Bình Minh - Nguyễn Thị Hoàng Khải</t>
  </si>
  <si>
    <t>243/48 Chu Văn An, P.12</t>
  </si>
  <si>
    <t>226/PA-HĐBT(RXT)</t>
  </si>
  <si>
    <t>654/PA-HĐBT(RXT)</t>
  </si>
  <si>
    <t>ông Đào Minh Công - bà Nguyễn Thị Hòa</t>
  </si>
  <si>
    <t>246/13/37 Bạch Đằng, P.14 (24 cũ)</t>
  </si>
  <si>
    <t>236/PA-HĐBT(RXT)</t>
  </si>
  <si>
    <t>05/PA-HĐBT(RXT)</t>
  </si>
  <si>
    <t>Trần Ngọc Hòa và các đồng thừa kế của bà Võ Thị Ngọc</t>
  </si>
  <si>
    <t>194/43/14 Bạch Đằng, P.14 (24 cũ)</t>
  </si>
  <si>
    <t>146/QĐ-UBND ngày 30/01/2026</t>
  </si>
  <si>
    <t>237/PA-HĐBT(RXT)</t>
  </si>
  <si>
    <t>653/PA-HĐBT(RXT)</t>
  </si>
  <si>
    <t>ông Ninh Xuân Hải (bà Đinh Thị Kim Cương - Người được ủy quyền theo Hợp đồng ủy quyền số 00010659 quyển số 02/2023 TP/CC-SCC/HĐGD ngày 27 tháng 10 năm 2023 của Phòng Công chứng Tân Thuận)</t>
  </si>
  <si>
    <t>260D Bạch Đằng, P.14 (24 cũ)</t>
  </si>
  <si>
    <t>1088/QĐ-UBND ngày 09/06/2026</t>
  </si>
  <si>
    <t>239/PA-HĐBT(RXT)</t>
  </si>
  <si>
    <t>Các đồng thừa kế bà Phạm Thể Vân</t>
  </si>
  <si>
    <t>Không số (số tự cho 76/95) Bạch Đằng, P.14 (24 cũ)</t>
  </si>
  <si>
    <t>05/QĐ-UBND ngày 04/04/2025</t>
  </si>
  <si>
    <t>242/PA-HĐBT(RXT)</t>
  </si>
  <si>
    <t>Võ Văn Ba - Nguyễn Thị Ngọc Lại</t>
  </si>
  <si>
    <t>76/44 Bạch Đằng, P.14 (24 cũ)</t>
  </si>
  <si>
    <t>243/PA-HĐBT(RXT)</t>
  </si>
  <si>
    <t>Tô Bá Văn - Nguyễn Hiền Giang</t>
  </si>
  <si>
    <t>243/62 Chu Văn An, P.12</t>
  </si>
  <si>
    <t>249/PA-HĐBT(RXT)</t>
  </si>
  <si>
    <t>Võ Thị Đông</t>
  </si>
  <si>
    <t>260B/4 Bạch Đằng, P.14 (24 cũ)</t>
  </si>
  <si>
    <t>250/PA-HĐBT(RXT)</t>
  </si>
  <si>
    <t>Trần Thị Em</t>
  </si>
  <si>
    <t>182/120J Bạch Đằng, P.14 (24 cũ)</t>
  </si>
  <si>
    <t>252/PA-HĐBT(RXT)</t>
  </si>
  <si>
    <t>Nguyễn Viết Thụy Uyên</t>
  </si>
  <si>
    <t>194/50/66 Bạch Đằng, P.14 (24 cũ)</t>
  </si>
  <si>
    <t>255/PA-HĐBT(RXT)</t>
  </si>
  <si>
    <t>bà Hoàng Thị Quế Chi</t>
  </si>
  <si>
    <t>427/82A Xô Viết Nghệ Tĩnh, P.26</t>
  </si>
  <si>
    <t>256/PA-HĐBT(RXT)</t>
  </si>
  <si>
    <t>Lê Hoài Tâm - Nguyễn Ngọc Thanh Nhàn</t>
  </si>
  <si>
    <t>32/24/14 Bùi Đình Túy, P.12</t>
  </si>
  <si>
    <t>266/PA-HĐBT(RXT)</t>
  </si>
  <si>
    <t>Huỳnh Văn Tấn - Dương Thị Tuyết Nga</t>
  </si>
  <si>
    <t>243/52 Chu Văn An, P.12</t>
  </si>
  <si>
    <t>267/PA-HĐBT(RXT)</t>
  </si>
  <si>
    <t>24/PA-HĐBT(RXT)</t>
  </si>
  <si>
    <t>Vũ Đình Khang Giang - Hồ Thị Minh Phượng</t>
  </si>
  <si>
    <t>194/56F Bạch Đằng, P.14 (24 cũ)</t>
  </si>
  <si>
    <t>06/QĐ-UBND ngày 14/04/2025</t>
  </si>
  <si>
    <t>278/PA-HĐBT(RXT)</t>
  </si>
  <si>
    <t>Trương Mạnh Hùng</t>
  </si>
  <si>
    <t>243/54 Chu Văn An, P.12</t>
  </si>
  <si>
    <t>279/PA-HĐBT(RXT)</t>
  </si>
  <si>
    <t>Lê Văn Hiền và các đồng thừa kế của bà Nguyễn Thị Thao</t>
  </si>
  <si>
    <t>47/72A Bùi Đình Túy, P.14 (24 cũ)</t>
  </si>
  <si>
    <t>281/PA-HĐBT(RXT)</t>
  </si>
  <si>
    <t>610/PA-HĐBT(RXT)</t>
  </si>
  <si>
    <t>Lê Đình Phú - Nguyễn Thị Hoàng Liễu</t>
  </si>
  <si>
    <t>194/43/3 Bạch Đằng, P.14 (24 cũ)</t>
  </si>
  <si>
    <t>1306/QĐ-UBND ngày 09/07/2026</t>
  </si>
  <si>
    <t>757/QĐ-UBND ngày 13/11/2025, 1272/QĐ-UBND ngày 01/7/2026</t>
  </si>
  <si>
    <t>282/PA-HĐBT(RXT)</t>
  </si>
  <si>
    <t>17/PA-HĐBT(RXT), 430/PA</t>
  </si>
  <si>
    <t>Trần Thị Lối và các đồng thừa kế của ông Võ Thành Lũ</t>
  </si>
  <si>
    <t>76/113 Bạch Đằng, P.14 (24 cũ)</t>
  </si>
  <si>
    <t>283/PA-HĐBT(RXT)</t>
  </si>
  <si>
    <t>Phạm Hùng Cường - Cao Huỳnh Trang</t>
  </si>
  <si>
    <t>125/77/10 Bùi Đình Túy, P.14 (24 cũ)</t>
  </si>
  <si>
    <t>288/PA-HĐBT(RXT)</t>
  </si>
  <si>
    <t>Đào Phan Đông Châu</t>
  </si>
  <si>
    <t>194/50/56 Bạch Đằng, P.14 (24 cũ)</t>
  </si>
  <si>
    <t>289/PA-HĐBT(RXT)</t>
  </si>
  <si>
    <t>Nguyễn Thị Hoa</t>
  </si>
  <si>
    <t>427/83 Xô Viết Nghệ Tĩnh, P.26</t>
  </si>
  <si>
    <t>292/PA-HĐBT(RXT)</t>
  </si>
  <si>
    <t>Các đồng thừa kế của bà Nguyễn Thị Thao</t>
  </si>
  <si>
    <t>47/72 Bùi Đình Túy, P.14 (24 cũ)</t>
  </si>
  <si>
    <t>293/PA-HĐBT(RXT)</t>
  </si>
  <si>
    <t>Chùa Hòa Hưng</t>
  </si>
  <si>
    <t>220/34 Nguyễn Xí, P.26</t>
  </si>
  <si>
    <t>303/PA-HĐBT(RXT)</t>
  </si>
  <si>
    <t>Trần Văn Bình - bà Lê Thị Kim Hương</t>
  </si>
  <si>
    <t>194/50/17 Bạch Đằng, P.14 (24 cũ)</t>
  </si>
  <si>
    <t>07/QĐ-UBND ngày 18/04/2025</t>
  </si>
  <si>
    <t>310/PA-HĐBT(RXT)</t>
  </si>
  <si>
    <t>Nguyễn Văn Dũng</t>
  </si>
  <si>
    <t>76/109B Bạch Đằng, P.14 (24 cũ)</t>
  </si>
  <si>
    <t>315/PA-HĐBT(RXT)</t>
  </si>
  <si>
    <t>Phạm Thị Kiên Trinh là người đại diện của những người được thừa kế gồm các ông bà: Phạm Anh Bá, Phạm Huy Bách, Phạm Huy Đình, Phạm Huy Vũ, Phạm Huy Thái</t>
  </si>
  <si>
    <t>47/67 Bùi Đình Túy, P.14 (24 cũ)</t>
  </si>
  <si>
    <t>317/PA-HĐBT(RXT)</t>
  </si>
  <si>
    <t>ông Hoàng Trọng Xâng là người đại diện của người được thừa kế: ông Hoàng Trọng Hiền</t>
  </si>
  <si>
    <t>32/123 Bùi Đình Túy, P.12</t>
  </si>
  <si>
    <t>318/PA-HĐBT(RXT)</t>
  </si>
  <si>
    <t>Các đồng thừa kế của ông Lâm Văn Tỷ và bà Dương Thị Ảnh</t>
  </si>
  <si>
    <t>47/18 Bùi Đình Túy, P.14 (24 cũ)</t>
  </si>
  <si>
    <t>319/PA-HĐBT(RXT)</t>
  </si>
  <si>
    <t>Lê Thị Hương</t>
  </si>
  <si>
    <t>194/43 Bạch Đằng, P.14 (24 cũ)</t>
  </si>
  <si>
    <t>320/PA-HĐBT(RXT)</t>
  </si>
  <si>
    <t>Nguyễn Hồng Huệ</t>
  </si>
  <si>
    <t>32/23 Bùi Đình Túy, P.12</t>
  </si>
  <si>
    <t>321/PA-HĐBT(RXT)</t>
  </si>
  <si>
    <t>bà Đặng Thanh Sơn và các đồng thừa kế của ông Hoàng Văn Tương</t>
  </si>
  <si>
    <t>246/13C Bạch Đằng, P.14 (24 cũ)</t>
  </si>
  <si>
    <t>322/PA-HĐBT(RXT)</t>
  </si>
  <si>
    <t>Các đồng thừa kế của ông Đinh Tiến Bảo</t>
  </si>
  <si>
    <t>125/77/24 Bùi Đình Túy, P.14 (24 cũ)</t>
  </si>
  <si>
    <t>08/QĐ-UBND ngày 25/04/2025</t>
  </si>
  <si>
    <t>344/PA-HĐBT(RXT)</t>
  </si>
  <si>
    <t>ông Nguyễn Chu Luân - Trần Kim Khánh</t>
  </si>
  <si>
    <t>32/24/20 Bùi Đình Túy, P.12</t>
  </si>
  <si>
    <t>347/PA-HĐBT(RXT)</t>
  </si>
  <si>
    <t>Trần Thị Tuyết Trinh</t>
  </si>
  <si>
    <t>20/37 Đinh Bộ Lĩnh, P.14</t>
  </si>
  <si>
    <t>348/PA-HĐBT(RXT)</t>
  </si>
  <si>
    <t>Đặng Thị Anh Thy</t>
  </si>
  <si>
    <t>194/56A Bạch Đằng, P.14 (24 cũ)</t>
  </si>
  <si>
    <t>349/PA-HĐBT(RXT)</t>
  </si>
  <si>
    <t>Nguyễn Thị Cẩm Tuyết - Nguyễn Thị Cẩm Tâm - Nguyễn Thị Diệu Hồng</t>
  </si>
  <si>
    <t>405/8 Xô Viết Nghệ Tĩnh, P.14 (24 cũ)</t>
  </si>
  <si>
    <t>350/PA-HĐBT(RXT)</t>
  </si>
  <si>
    <t>Hoàng Văn Tăng - Nguyễn Thị Thu Hiền</t>
  </si>
  <si>
    <t>58/153M Phan Chu Trinh, P.14 (24 cũ)</t>
  </si>
  <si>
    <t>1135/QĐ-UBND ngày 17/12/2025</t>
  </si>
  <si>
    <t>351/PA-HĐBT(RXT)</t>
  </si>
  <si>
    <t>582/PA-HĐBT(RXT)</t>
  </si>
  <si>
    <t>ông Trần Thanh Tâm là đồng sở hữu và đại diện cho các đồng thừa kế của bà Trương Thị Diệp</t>
  </si>
  <si>
    <t>194/50/19 Bạch Đằng, P.14 (24 cũ)</t>
  </si>
  <si>
    <t>369/QĐ-UBND ngày 03/04/2026</t>
  </si>
  <si>
    <t>352/PA-HĐBT(RXT)</t>
  </si>
  <si>
    <t>Trương Thị Ngọc Hà</t>
  </si>
  <si>
    <t>35/2G Đinh Bộ Lĩnh, P.14 (24 cũ)</t>
  </si>
  <si>
    <t>353/PA-HĐBT(RXT)</t>
  </si>
  <si>
    <t>609/PA-HĐBT(RXT)</t>
  </si>
  <si>
    <t>Các đồng thừa kế của bà Nguyễn Thị Ảnh</t>
  </si>
  <si>
    <t>194/50/64 Bạch Đằng, P.14 (24 cũ)</t>
  </si>
  <si>
    <t>354/PA-HĐBT(RXT)</t>
  </si>
  <si>
    <t>bà Nguyễn Thị Lan Anh</t>
  </si>
  <si>
    <t>427/28 Xô Viết Nghệ Tĩnh, P.26</t>
  </si>
  <si>
    <t>757/QĐ-UBND ngày 13/11/2025</t>
  </si>
  <si>
    <t>355/PA-HĐBT(RXT)</t>
  </si>
  <si>
    <t>23/PA-HĐBT(RXT)</t>
  </si>
  <si>
    <t>Võ Thúy Diệp - Võ Thế Ngọc - Võ Trung Kim - Võ Thị Mỹ Chi</t>
  </si>
  <si>
    <t>427/23 Xô Viết Nghệ Tĩnh, P.26</t>
  </si>
  <si>
    <t>356/PA-HĐBT(RXT)</t>
  </si>
  <si>
    <t>14/PA-HĐBT(RXT)</t>
  </si>
  <si>
    <t>Lê Anh Đào là người đại diện của những người được thừa kế gồm Lê Văn Anh, Lê Hùng Dũng, Lê Mạnh Hùng, Lê Hùng Cường</t>
  </si>
  <si>
    <t>201/60/36 Nguyễn Xí, P.26</t>
  </si>
  <si>
    <t>09/QĐ-UBND ngày 29/04/2025</t>
  </si>
  <si>
    <t>358/PA-HĐBT(RXT)</t>
  </si>
  <si>
    <t>29/PA-HĐBT(RXT)</t>
  </si>
  <si>
    <t>Quản Mai Yên</t>
  </si>
  <si>
    <t>32/25 (số cũ 685A) Bùi Đình Túy, P.12</t>
  </si>
  <si>
    <t>363/PA-HĐBT(RXT)</t>
  </si>
  <si>
    <t>627/PA-HĐBT(RXT)</t>
  </si>
  <si>
    <t>Nguyễn Hữu Thạch - Hứa Mỹ Hoa</t>
  </si>
  <si>
    <t>220/42 Nguyễn Xí, P.26</t>
  </si>
  <si>
    <t>366/PA-HĐBT(RXT)</t>
  </si>
  <si>
    <t>Nguyễn Thị Thúy</t>
  </si>
  <si>
    <t>234/3 - 234/5 Bạch Đằng, P.14 (24 cũ)</t>
  </si>
  <si>
    <t>367/PA-HĐBT(RXT)</t>
  </si>
  <si>
    <t>Lê Thị Sáu (Là đồng sở hữu và đại diện của những người được thừa kế quyền sử dụng đất, quyền sở hữu tài sản gắn liền với đất của ông Ngô Văn Tất)</t>
  </si>
  <si>
    <t>47/14 Bùi Đình Túy, P.14 (24 cũ)</t>
  </si>
  <si>
    <t>369/PA-HĐBT(RXT)</t>
  </si>
  <si>
    <t>Các đồng thừa kế của ông Phan Đán - bà Nguyễn Thị Bảy</t>
  </si>
  <si>
    <t>Không số cuối hẻm 118 Bạch Đằng, P.14 (24 cũ)</t>
  </si>
  <si>
    <t>371/PA-HĐBT(RXT)</t>
  </si>
  <si>
    <t>02/PA-HĐBT(RXT)</t>
  </si>
  <si>
    <t>Bùi Văn Thanh - Nguyễn Thị Tý</t>
  </si>
  <si>
    <t>194/43/10 Bạch Đằng, P.14 (24 cũ)</t>
  </si>
  <si>
    <t>372/PA-HĐBT(RXT)</t>
  </si>
  <si>
    <t>01/PA-HĐBT(RXT)</t>
  </si>
  <si>
    <t>Đặng Huy - Bùi Thị Đào</t>
  </si>
  <si>
    <t>194/56N Bạch Đằng, P.14 (24 cũ)</t>
  </si>
  <si>
    <t>373/PA-HĐBT(RXT)</t>
  </si>
  <si>
    <t>Nguyễn Văn Dần</t>
  </si>
  <si>
    <t>Không số (cạnh 220/33) Nguyễn Xí, P.26</t>
  </si>
  <si>
    <t>Chưa điều chỉnh giảm dự toán</t>
  </si>
  <si>
    <t>814/PA-HĐBT(RXT) thay thế 374/PA-HĐBT(RXT)</t>
  </si>
  <si>
    <t>Nguyễn Thành Chương - Nguyễn Thị Kim Phượng</t>
  </si>
  <si>
    <t>220/24 Nguyễn Xí, P.26</t>
  </si>
  <si>
    <t>375/PA-HĐBT(RXT)</t>
  </si>
  <si>
    <t>Nguyễn Thị Đào là đồng sở hữu và là người đại diện của những người được thừa kế quyền sử dụng đất và quyền sở hữu tài sản gắn liền với đất của ông Mai Tiến Dũng</t>
  </si>
  <si>
    <t>201/60/32 Nguyễn Xí, P.26</t>
  </si>
  <si>
    <t>376/PA-HĐBT(RXT)</t>
  </si>
  <si>
    <t>Ngô Chí Hiệp</t>
  </si>
  <si>
    <t>36B Đinh Bộ Lĩnh, P.14 (24 cũ)</t>
  </si>
  <si>
    <t>377/PA-HĐBT(RXT)</t>
  </si>
  <si>
    <t>Nguyễn Ngọc Điệp và các đồng thừa kế của ông Võ Việt Hùng</t>
  </si>
  <si>
    <t>246/18E Bạch Đằng, P.14 (24 cũ)</t>
  </si>
  <si>
    <t>378/PA-HĐBT(RXT)</t>
  </si>
  <si>
    <t>Nguyễn Việt Thái</t>
  </si>
  <si>
    <t>405/20 Xô Viết Nghệ Tĩnh, P.14 (24 cũ)</t>
  </si>
  <si>
    <t>379/PA-HĐBT(RXT)</t>
  </si>
  <si>
    <t>405/18 Xô Viết Nghệ Tĩnh, P.14 (24 cũ)</t>
  </si>
  <si>
    <t>380/PA-HĐBT(RXT)</t>
  </si>
  <si>
    <t>Ông Văn Tâm</t>
  </si>
  <si>
    <t>58/22/36 Phan Chu Trinh, P.14 (24 cũ)</t>
  </si>
  <si>
    <t>382/PA-HĐBT(RXT)</t>
  </si>
  <si>
    <t>Các đồng thừa kế của bà Lương Thị Tiết</t>
  </si>
  <si>
    <t>47/43 Bùi Đình Túy, P.14 (24 cũ)</t>
  </si>
  <si>
    <t>384/PA-HĐBT(RXT)</t>
  </si>
  <si>
    <t>Không số (cạnh nhà số 405/2) Xô Viết Nghệ Tĩnh, P.14 (24 cũ)</t>
  </si>
  <si>
    <t>388/PA-HĐBT(RXT)</t>
  </si>
  <si>
    <t>Võ Phương Thảo</t>
  </si>
  <si>
    <t>194/43/18A Bạch Đằng, P.14 (24 cũ)</t>
  </si>
  <si>
    <t>389/PA-HĐBT(RXT)</t>
  </si>
  <si>
    <t>Nguyễn Thị Lộc</t>
  </si>
  <si>
    <t>47/78 Bùi Đình Túy, P.14 (24 cũ)</t>
  </si>
  <si>
    <t>390/PA-HĐBT(RXT)</t>
  </si>
  <si>
    <t>541/PA-HĐBT(RXT)</t>
  </si>
  <si>
    <t>Nguyễn Quốc Trung</t>
  </si>
  <si>
    <t>58/22/34G Phan Chu Trinh, P.14 (24 cũ)</t>
  </si>
  <si>
    <t>392/PA-HĐBT(RXT)</t>
  </si>
  <si>
    <t>Nguyễn Thị Khắc</t>
  </si>
  <si>
    <t>76/42A Bạch Đằng, P.14 (24 cũ)</t>
  </si>
  <si>
    <t>10/QĐ-UBND ngày 07/05/2025</t>
  </si>
  <si>
    <t>396/PA-HĐBT(RXT)</t>
  </si>
  <si>
    <t>Phạm Thị Xuân Hiền</t>
  </si>
  <si>
    <t>35/2C Đinh Bộ Lĩnh, P.14 (24 cũ)</t>
  </si>
  <si>
    <t>398/PA-HĐBT(RXT)</t>
  </si>
  <si>
    <t>Nguyễn Thị Bích Ngọc</t>
  </si>
  <si>
    <t>42A Đinh Bộ Lĩnh, P.26</t>
  </si>
  <si>
    <t>400/PA-HĐBT(RXT)</t>
  </si>
  <si>
    <t>Bùi Quốc Trung</t>
  </si>
  <si>
    <t>32/3 Bùi Đình Túy, P.12</t>
  </si>
  <si>
    <t>401/PA-HĐBT(RXT)</t>
  </si>
  <si>
    <t>Trần Thiên Linh Thoại</t>
  </si>
  <si>
    <t>194/50/5A Bạch Đằng, P.14 (24 cũ)</t>
  </si>
  <si>
    <t>403/PA-HĐBT(RXT)</t>
  </si>
  <si>
    <t>Nguyễn Ngọc Khánh Lynh</t>
  </si>
  <si>
    <t>125/77/51A Bùi Đình Túy, P.14 (24 cũ)</t>
  </si>
  <si>
    <t>407/PA-HĐBT(RXT)</t>
  </si>
  <si>
    <t>Mạch Thị Thanh Hiền</t>
  </si>
  <si>
    <t>45 (1 phần) Đinh Bộ Lĩnh, P.14 (24 cũ)</t>
  </si>
  <si>
    <t>11/QĐ-UBND ngày 07/05/2025</t>
  </si>
  <si>
    <t>409/PA-HĐBT(RXT)</t>
  </si>
  <si>
    <t>Nguyễn Thị Thu Cúc</t>
  </si>
  <si>
    <t>290/45/20/21F Nơ Trang Long, P.12</t>
  </si>
  <si>
    <t>12/QĐ-UBND ngày 21/05/2025</t>
  </si>
  <si>
    <t>13/QĐ-UBND ngày 21/05/2025</t>
  </si>
  <si>
    <t>416/PA-HĐBT(RXT)</t>
  </si>
  <si>
    <t>27/PA-HĐBT(RXT)</t>
  </si>
  <si>
    <t>Lâm Trường Thịnh</t>
  </si>
  <si>
    <t>427/21 Xô Viết Nghệ Tĩnh, P.26</t>
  </si>
  <si>
    <t>15/QĐ-UBND ngày 21/05/2025</t>
  </si>
  <si>
    <t>419/PA-HĐBT(RXT)</t>
  </si>
  <si>
    <t>22/PA-HĐBT(RXT)</t>
  </si>
  <si>
    <t>Nguyễn Ngọc Yến Linh</t>
  </si>
  <si>
    <t>194/43/16 Bạch Đằng, P.14 (24 cũ)</t>
  </si>
  <si>
    <t>23/QĐ-UBND ngày 21/05/2025</t>
  </si>
  <si>
    <t>427/PA-HĐBT(RXT)</t>
  </si>
  <si>
    <t>Quảng Văn Phụ - Bành Thị Kim Cúc</t>
  </si>
  <si>
    <t>32/8/9 Bùi Đình Túy, P.12</t>
  </si>
  <si>
    <t>27/QĐ-UBND ngày 21/05/2025</t>
  </si>
  <si>
    <t>816/QĐ-UBND ngày 08/05/2026</t>
  </si>
  <si>
    <t>432/PA-HĐBT(RXT)</t>
  </si>
  <si>
    <t>Trịnh Kim Anh - 
Thái Thị Thiên Thanh - Thái Thiên Tùng</t>
  </si>
  <si>
    <t>76/58D Bạch Đằng, P.14 (24 cũ)</t>
  </si>
  <si>
    <t>28/QĐ-UBND ngày 21/05/2025</t>
  </si>
  <si>
    <t>433/PA-HĐBT(RXT)</t>
  </si>
  <si>
    <t>Trần Văn Tiến - Dương Thị Thiện</t>
  </si>
  <si>
    <t>194/50/38 Bạch Đằng, P.14 (24 cũ)</t>
  </si>
  <si>
    <t>29/QĐ-UBND ngày 21/05/2025</t>
  </si>
  <si>
    <t>435/PA-HĐBT(RXT)</t>
  </si>
  <si>
    <t>Tăng Ngọc Long Đức - Nguyễn Thị Phương Loan</t>
  </si>
  <si>
    <t>43/QĐ-UBND ngày 21/05/2025</t>
  </si>
  <si>
    <t>436/PA-HĐBT(RXT)</t>
  </si>
  <si>
    <t>545/PA-HĐBT(RXT)</t>
  </si>
  <si>
    <t>Lê Đình Phùng - Giao Thu Dung</t>
  </si>
  <si>
    <t>125/77/12 Bùi Đình Túy, P.14 (24 cũ)</t>
  </si>
  <si>
    <t>30/QĐ-UBND ngày 21/05/2025</t>
  </si>
  <si>
    <t>437/PA-HĐBT(RXT)</t>
  </si>
  <si>
    <t>Đỗ Thanh Tiên</t>
  </si>
  <si>
    <t>32/QĐ-UBND ngày 21/05/2025</t>
  </si>
  <si>
    <t>439/PA-HĐBT(RXT)</t>
  </si>
  <si>
    <t>Thái Minh Huyền - Phạm Thị Thanh Hằng</t>
  </si>
  <si>
    <t>220/40 Nguyễn Xí, P.26</t>
  </si>
  <si>
    <t>37/QĐ-UBND ngày 21/05/2025</t>
  </si>
  <si>
    <t>1284/QĐ-UBND ngày 03/07/2026</t>
  </si>
  <si>
    <t>443/PA-HĐBT(RXT)</t>
  </si>
  <si>
    <t>Nguyễn Thị Kim Hương và các đồng thừa kế của ông Phạm Hữu Hiền</t>
  </si>
  <si>
    <t>194/43/18B Bạch Đằng, P.14 (24 cũ)</t>
  </si>
  <si>
    <t>39/QĐ-UBND ngày 21/05/2025</t>
  </si>
  <si>
    <t>445/PA-HĐBT(RXT)</t>
  </si>
  <si>
    <t>Trần Quốc Thị Mỹ Nguyệt</t>
  </si>
  <si>
    <t>58/96/25 Phan Chu Trinh, P.14 (24 cũ)</t>
  </si>
  <si>
    <t>47/QĐ-UBND ngày 28/05/2025</t>
  </si>
  <si>
    <t>72/QĐ-UBND ngày 30/05/2025</t>
  </si>
  <si>
    <t>449/PA-HĐBT(RXT)</t>
  </si>
  <si>
    <t>Lý Tấn Nam và các đồng thừa kế của bà Dương Thị Liên</t>
  </si>
  <si>
    <t>246/18C Bạch Đằng, P.14 (24 cũ)</t>
  </si>
  <si>
    <t>74/QĐ-UBND ngày 30/05/2025</t>
  </si>
  <si>
    <t>451/PA-HĐBT(RXT)</t>
  </si>
  <si>
    <t>Các đồng thừa kế của ông Mai Văn Ron - bà Nguyễn Thị Nhựt</t>
  </si>
  <si>
    <t>76/38A Bạch Đằng, P.14 (24 cũ)</t>
  </si>
  <si>
    <t>48/QĐ-UBND ngày 28/05/2025</t>
  </si>
  <si>
    <t>87/QĐ-UBND ngày 30/05/2025</t>
  </si>
  <si>
    <t>464/PA-HĐBT(RXT)</t>
  </si>
  <si>
    <t>Tô Thị Phước và các đồng thừa kế ông Sơn Ngàn</t>
  </si>
  <si>
    <t>290/33/46 Nơ Trang Long, P.12</t>
  </si>
  <si>
    <t>88/QĐ-UBND ngày 30/05/2025</t>
  </si>
  <si>
    <t>465/PA-HĐBT(RXT)</t>
  </si>
  <si>
    <t>Nguyễn Thị Nga</t>
  </si>
  <si>
    <t>405/34 Xô Viết Nghệ Tĩnh, P.14 (24 cũ)</t>
  </si>
  <si>
    <t>49/QĐ-UBND ngày 28/05/2025</t>
  </si>
  <si>
    <t>94/QĐ-UBND ngày 30/05/2025</t>
  </si>
  <si>
    <t>1376/QĐ-UBND ngày 31/07/2026</t>
  </si>
  <si>
    <t>471/PA-HĐBT(RXT)</t>
  </si>
  <si>
    <t>Đoàn Anh Tuấn - Đặng Thị Tiết</t>
  </si>
  <si>
    <t>194/43/2 Bạch Đằng, P.14 (24 cũ)</t>
  </si>
  <si>
    <t>95/QĐ-UBND ngày 30/05/2025</t>
  </si>
  <si>
    <t>472/PA-HĐBT(RXT)</t>
  </si>
  <si>
    <t>622/PA-HĐBT(RXT)</t>
  </si>
  <si>
    <t>Nguyễn Thị Mai</t>
  </si>
  <si>
    <t>76/56 Bạch Đằng, P.14 (24 cũ)</t>
  </si>
  <si>
    <t>101/QĐ-UBND ngày 30/05/2025</t>
  </si>
  <si>
    <t>478/PA-HĐBT(RXT)</t>
  </si>
  <si>
    <t>Nguyễn Thị Ly</t>
  </si>
  <si>
    <t>45/1 Đinh Bộ Lĩnh, P.14 (24 cũ)</t>
  </si>
  <si>
    <t>103/QĐ-UBND ngày 30/05/2025</t>
  </si>
  <si>
    <t>480/PA-HĐBT(RXT)</t>
  </si>
  <si>
    <t>Các đồng thừa kế của bà Nguyễn Thị Sang</t>
  </si>
  <si>
    <t>194/43/18C Bạch Đằng, P.14 (24 cũ)</t>
  </si>
  <si>
    <t>46/QĐ-UBND ngày 28/05/2025</t>
  </si>
  <si>
    <t>107/QĐ-UBND ngày 30/05/2025</t>
  </si>
  <si>
    <t>484/PA-HĐBT(RXT)</t>
  </si>
  <si>
    <t>Nguyễn Thùy Vinh và các đồng thừa kế của ông Vũ Đức Nhân</t>
  </si>
  <si>
    <t>405/16 Xô Viết Nghệ Tĩnh, P.14 (24 cũ)</t>
  </si>
  <si>
    <t>108/QĐ-UBND ngày 30/05/2025</t>
  </si>
  <si>
    <t>485/PA-HĐBT(RXT)</t>
  </si>
  <si>
    <t>Lý Thanh Tâm - Nguyễn Thị Hiền</t>
  </si>
  <si>
    <t>76/58B Bạch Đằng, P.14 (24 cũ)</t>
  </si>
  <si>
    <t>110/QĐ-UBND ngày 30/05/2025</t>
  </si>
  <si>
    <t>487/PA-HĐBT(RXT)</t>
  </si>
  <si>
    <t>Bùi Thành Triết</t>
  </si>
  <si>
    <t>220/46 Nguyễn Xí, P.26</t>
  </si>
  <si>
    <t>115/QĐ-UBND ngày 30/05/2025</t>
  </si>
  <si>
    <t>492/PA-HĐBT(RXT)</t>
  </si>
  <si>
    <t>Tạ Thùy Dương - Các đồng thừa kế của bà Nguyễn Thị Sương</t>
  </si>
  <si>
    <t>Nhà không số (số tự cho 384) Bùi Đình Túy, P.14 (24 cũ)</t>
  </si>
  <si>
    <t>278/QĐ-UBND ngày 10/06/2025</t>
  </si>
  <si>
    <t>298/QĐ-UBND ngày 10/6/2025</t>
  </si>
  <si>
    <t>1418/QĐ-UBND ngày 18/8/2026</t>
  </si>
  <si>
    <t>514/PA-HĐBT(RXT)</t>
  </si>
  <si>
    <t>90/PA</t>
  </si>
  <si>
    <t>Trần Minh Phương - Nguyễn Thị Tuyết Mai</t>
  </si>
  <si>
    <t>662/176 (32/86) Bùi Đình Túy, P.12</t>
  </si>
  <si>
    <t>303/QĐ-UBND ngày 10/6/2025</t>
  </si>
  <si>
    <t>519/PA-HĐBT(RXT)</t>
  </si>
  <si>
    <t>Nguyễn Thị Kim Quy</t>
  </si>
  <si>
    <t>177 Chu Văn An, P.26</t>
  </si>
  <si>
    <t>312/QĐ-UBND ngày 10/6/2025</t>
  </si>
  <si>
    <t>528/PA-HĐBT(RXT)</t>
  </si>
  <si>
    <t>740/PA-HĐBT(RXT)</t>
  </si>
  <si>
    <t>Nguyễn Thị Tuyết Mai</t>
  </si>
  <si>
    <t>194/50/55 Bạch Đằng, P.14 (24 cũ)</t>
  </si>
  <si>
    <t>315/QĐ-UBND ngày 10/6/2025</t>
  </si>
  <si>
    <t>531/PA-HĐBT(RXT)</t>
  </si>
  <si>
    <t>Phạm Quang Vũ - Đỗ Thị Thu Khanh</t>
  </si>
  <si>
    <t>32/40/39 (số cũ 662/115) Bùi Đình Túy, P.12</t>
  </si>
  <si>
    <t>317/QĐ-UBND ngày 10/6/2025</t>
  </si>
  <si>
    <t>533/PA-HĐBT(RXT)</t>
  </si>
  <si>
    <t>65/PA-HĐBT(RXT)</t>
  </si>
  <si>
    <t>Các đồng thừa kế của bà Mai Thị Đường và ông Phạm Văn Thiết</t>
  </si>
  <si>
    <t>58/148 Phan Chu Trinh, P.14 (24 cũ)</t>
  </si>
  <si>
    <t>321/QĐ-UBND ngày 10/6/2025</t>
  </si>
  <si>
    <t>537/PA-HĐBT(RXT)</t>
  </si>
  <si>
    <t>15/PA-HĐBT(RXT)</t>
  </si>
  <si>
    <t>Phan Thị Vân và các đồng thừa kế của ông Nguyễn Văn Hải</t>
  </si>
  <si>
    <t>Không số cạnh nhà 194/50/71 Bạch Đằng, P.14 (24 cũ)</t>
  </si>
  <si>
    <t>324/QĐ-UBND ngày 10/6/2025</t>
  </si>
  <si>
    <t>540/PA-HĐBT(RXT)</t>
  </si>
  <si>
    <t>Dương Thị Tiên</t>
  </si>
  <si>
    <t>246/13/13 Bạch Đằng, P.14 (24 cũ)</t>
  </si>
  <si>
    <t>330/QĐ-UBND ngày 13/06/2025</t>
  </si>
  <si>
    <t>350/QĐ-UBND ngày 13/6/2025</t>
  </si>
  <si>
    <t>1490/QĐ-UBND ngày 11/9/2026</t>
  </si>
  <si>
    <t>565/PA-HĐBT(RXT)</t>
  </si>
  <si>
    <t>572/PA</t>
  </si>
  <si>
    <t>Huỳnh Trương Thi - Văn Vi Hồng</t>
  </si>
  <si>
    <t>32/24/18 Bùi Đình Túy, P.12</t>
  </si>
  <si>
    <t>356/QĐ-UBND ngày 13/6/2025</t>
  </si>
  <si>
    <t>571/PA-HĐBT(RXT)</t>
  </si>
  <si>
    <t>Nguyễn Thị Thanh</t>
  </si>
  <si>
    <t>405/12 Xô Viết Nghệ Tĩnh, P.14 (24 cũ)</t>
  </si>
  <si>
    <t>357/QĐ-UBND ngày 13/6/2025</t>
  </si>
  <si>
    <t>372/QĐ-UBND ngày 07/04/2026</t>
  </si>
  <si>
    <t>115/QĐ-UBND ngày 22/01/2026</t>
  </si>
  <si>
    <t>572/PA-HĐBT(RXT)</t>
  </si>
  <si>
    <t>603/PA-HĐBT(RXT)</t>
  </si>
  <si>
    <t>Trần Thị Toàn, Dương Quí Bình, Dương Thùy Hương, Dương Thúy Vân</t>
  </si>
  <si>
    <t>125/90 Bùi Đình Túy, P.14 (24 cũ)</t>
  </si>
  <si>
    <t>358/QĐ-UBND ngày 13/6/2025</t>
  </si>
  <si>
    <t>1086/QĐ-UBND ngày 09/6/2026</t>
  </si>
  <si>
    <t>573/PA-HĐBT(RXT)</t>
  </si>
  <si>
    <t>558/PA-HĐBT(RXT)</t>
  </si>
  <si>
    <t>Đặng Ngọc Sơn - Lâm Ngọc Phượng</t>
  </si>
  <si>
    <t>125/92 Bùi Đình Túy, P.14 (24 cũ)</t>
  </si>
  <si>
    <t>359/QĐ-UBND ngày 13/6/2025</t>
  </si>
  <si>
    <t>574/PA-HĐBT(RXT)</t>
  </si>
  <si>
    <t>Các đồng thừa kế của ông Nguyễn Văn Phương - bà Bùi Thị Thiếu</t>
  </si>
  <si>
    <t>246/13/7 Bạch Đằng, P.14 (24 cũ)</t>
  </si>
  <si>
    <t>360/QĐ-UBND ngày 13/6/2025</t>
  </si>
  <si>
    <t>575/PA-HĐBT(RXT)</t>
  </si>
  <si>
    <t>Nguyễn Ngọc Hồng Loan</t>
  </si>
  <si>
    <t>194/43/20 Bạch Đằng, P.14 (24 cũ)</t>
  </si>
  <si>
    <t>361/QĐ-UBND ngày 13/6/2025</t>
  </si>
  <si>
    <t>576/PA-HĐBT(RXT)</t>
  </si>
  <si>
    <t>Phan Chi Bạch Dương</t>
  </si>
  <si>
    <t>405/14 Xô Viết Nghệ Tĩnh, P.14 (24 cũ)</t>
  </si>
  <si>
    <t>362/QĐ-UBND ngày 13/6/2025</t>
  </si>
  <si>
    <t>577/PA-HĐBT(RXT)</t>
  </si>
  <si>
    <t>Tổng Công ty lương thực Miền nam - Công ty cổ phần</t>
  </si>
  <si>
    <t>256D Bạch Đằng, P.14 (24 cũ)</t>
  </si>
  <si>
    <t>363/QĐ-UBND ngày 13/6/2025</t>
  </si>
  <si>
    <t>147/QĐ-UBND ngày 30/01/2026; 1144/QĐ-UBND ngày 13/6/2026</t>
  </si>
  <si>
    <t>578/PA-HĐBT(RXT)</t>
  </si>
  <si>
    <t>619/PA ngày 04/12/2025; 319/PA</t>
  </si>
  <si>
    <t>Các đồng thừa kế của ông Tạ Duy Từ - bà Trịnh Thị Cảm</t>
  </si>
  <si>
    <t>20/33 Đinh Bộ Lĩnh, P.14 (24 cũ)</t>
  </si>
  <si>
    <t>364/QĐ-UBND ngày 13/6/2025</t>
  </si>
  <si>
    <t>579/PA-HĐBT(RXT)</t>
  </si>
  <si>
    <t>Lý Đình Triển - Hoàng Thị Thu</t>
  </si>
  <si>
    <t>182/122A Bạch Đằng, P.14 (24 cũ)</t>
  </si>
  <si>
    <t>365/QĐ-UBND ngày 13/6/2025</t>
  </si>
  <si>
    <t>580/PA-HĐBT(RXT)</t>
  </si>
  <si>
    <t>Trần Đình Phương - Hoàng Thị Ngọc Thúy</t>
  </si>
  <si>
    <t>405/B2 Xô Viết Nghệ Tĩnh, P.14 (24 cũ)</t>
  </si>
  <si>
    <t>366/QĐ-UBND ngày 13/6/2025</t>
  </si>
  <si>
    <t>581/PA-HĐBT(RXT)</t>
  </si>
  <si>
    <t>08/PA-HĐBT(RXT)</t>
  </si>
  <si>
    <t>Lê Thị Loan</t>
  </si>
  <si>
    <t>125/96 Bùi Đình Túy, P.14 (24 cũ)</t>
  </si>
  <si>
    <t>367/QĐ-UBND ngày 13/6/2025</t>
  </si>
  <si>
    <t>Phạm Văn Thơ - Nguyễn Thị Huỳnh Mai</t>
  </si>
  <si>
    <t>368/QĐ-UBND ngày 13/6/2025</t>
  </si>
  <si>
    <t>583/PA-HĐBT(RXT)</t>
  </si>
  <si>
    <t>Lương Văn Trạch - Trần Thị Thủy Chung</t>
  </si>
  <si>
    <t>Không số (số tự cho 184/3/6B3) Nguyễn Xí, P.26</t>
  </si>
  <si>
    <t>369/QĐ-UBND ngày 13/6/2025</t>
  </si>
  <si>
    <t>1220/QĐ-UBND ngày 20/06/2026</t>
  </si>
  <si>
    <t>584/PA-HĐBT(RXT)</t>
  </si>
  <si>
    <t>28/PA-HĐBT(RXT)</t>
  </si>
  <si>
    <t>Mai Đức Trí là người cùng sử dụng đất và cùng sở hữu tài sản với Mai Thị Ngọc Hiền</t>
  </si>
  <si>
    <t>415 Xô Viết Nghệ Tĩnh, P.26</t>
  </si>
  <si>
    <t>371/QĐ-UBND ngày 18/06/2025</t>
  </si>
  <si>
    <t>410/QĐ-UBND ngày 18/6/2025</t>
  </si>
  <si>
    <t>1167/QĐ-UBND ngày 16/6/2026; 1515/QĐ-UBND ngày 07/9/2026</t>
  </si>
  <si>
    <t>253/PA</t>
  </si>
  <si>
    <t>Lê Thị Hiểu</t>
  </si>
  <si>
    <t>32/8/2 (số cũ 705H) Bùi Đình Túy, P.12</t>
  </si>
  <si>
    <t>411/QĐ-UBND ngày 18/6/2025</t>
  </si>
  <si>
    <t>624/PA-HĐBT(RXT)</t>
  </si>
  <si>
    <t>ông Phạm Thế Hùng - bà Trần Mai Phương</t>
  </si>
  <si>
    <t>32/4 (số cũ 699) Bùi Đình Túy, P.12</t>
  </si>
  <si>
    <t>412/QĐ-UBND ngày 18/6/2025</t>
  </si>
  <si>
    <t>625/PA-HĐBT(RXT)</t>
  </si>
  <si>
    <t>bà Vũ Xuân Loan</t>
  </si>
  <si>
    <t>32/36/38 Bùi Đình Túy, P.12</t>
  </si>
  <si>
    <t>414/QĐ-UBND ngày 18/6/2025</t>
  </si>
  <si>
    <t>Nguyễn Bân - Huỳnh Thị Dậu</t>
  </si>
  <si>
    <t>243/70 Chu Văn An, P.12</t>
  </si>
  <si>
    <t>415/QĐ-UBND ngày 18/6/2025</t>
  </si>
  <si>
    <t>Vũ Thị Sửu</t>
  </si>
  <si>
    <t>32/40/42 (số cũ 662/134) Bùi Đình Túy, P.12</t>
  </si>
  <si>
    <t>417/QĐ-UBND ngày 18/6/2025</t>
  </si>
  <si>
    <t>757/QĐ-UBND ngày 13/11/2025; 1368/QĐ-UBND ngày 29/7/2026</t>
  </si>
  <si>
    <t>630/PA-HĐBT(RXT)</t>
  </si>
  <si>
    <t>06/PA-HĐBT(RXT); 463/PA</t>
  </si>
  <si>
    <t>Trần Ngọc Định - Trần Ngọc Thạch - Trần Thị Vân - Trần Thị Ngọc Hạnh - Trần Ngọc Tấn - Trần Ngọc Trọng - Trần Thị Ngọc Sang</t>
  </si>
  <si>
    <t>125/78 Bùi Đình Túy, P.14 (24 cũ)</t>
  </si>
  <si>
    <t>418/QĐ-UBND ngày 18/6/2025</t>
  </si>
  <si>
    <t>631/PA-HĐBT(RXT)</t>
  </si>
  <si>
    <t>12/PA-HĐBT(RXT)</t>
  </si>
  <si>
    <t>Lê Tấn Phúc - Lê Thị Nhu</t>
  </si>
  <si>
    <t>194/50/45 Bạch Đằng, P.14 (24 cũ)</t>
  </si>
  <si>
    <t>419/QĐ-UBND ngày 18/6/2025</t>
  </si>
  <si>
    <t>632/PA-HĐBT(RXT)</t>
  </si>
  <si>
    <t>Các đồng thừa kế của ông Trần Công Giảo</t>
  </si>
  <si>
    <t>125/98 Bùi Đình Túy, P.14 (24 cũ)</t>
  </si>
  <si>
    <t>420/QĐ-UBND ngày 18/6/2025</t>
  </si>
  <si>
    <t>633/PA-HĐBT(RXT)</t>
  </si>
  <si>
    <t>10/PA-HĐBT(RXT)</t>
  </si>
  <si>
    <t>Nguyễn Hữu Tín</t>
  </si>
  <si>
    <t>Bạch Đằng, P.14 (24 cũ)</t>
  </si>
  <si>
    <t>421/QĐ-UBND ngày 18/6/2025</t>
  </si>
  <si>
    <t>634/PA-HĐBT(RXT)</t>
  </si>
  <si>
    <t>621/PA-HĐBT(RXT)</t>
  </si>
  <si>
    <t>Tạ Tuyết Loan</t>
  </si>
  <si>
    <t>76/42C Bạch Đằng, P.14 (24 cũ)</t>
  </si>
  <si>
    <t>422/QĐ-UBND ngày 18/6/2025</t>
  </si>
  <si>
    <t>635/PA-HĐBT(RXT)</t>
  </si>
  <si>
    <t>Hoàng Văn Trung - Vũ Thị Thư</t>
  </si>
  <si>
    <t>260G Bạch Đằng, P.14 (24 cũ)</t>
  </si>
  <si>
    <t>423/QĐ-UBND ngày 18/6/2025</t>
  </si>
  <si>
    <t>1058/QĐ-UBND ngày 08/6/2026</t>
  </si>
  <si>
    <t>636/PA-HĐBT(RXT)</t>
  </si>
  <si>
    <t>215/PA-HĐBT(RXT) ngày 24/4/2026</t>
  </si>
  <si>
    <t>Nguyễn Thị Kim Quý</t>
  </si>
  <si>
    <t>45/1A Đinh Bộ Lĩnh, P.14 (24 cũ)</t>
  </si>
  <si>
    <t>424/QĐ-UBND ngày 18/6/2025</t>
  </si>
  <si>
    <t>637/PA-HĐBT(RXT)</t>
  </si>
  <si>
    <t>Nguyễn Hoài Bảo</t>
  </si>
  <si>
    <t>76/42B Bạch Đằng, P.14 (24 cũ)</t>
  </si>
  <si>
    <t>425/QĐ-UBND ngày 18/6/2025</t>
  </si>
  <si>
    <t>638/PA-HĐBT(RXT)</t>
  </si>
  <si>
    <t>Các đồng thừa kế của ông Lê Văn Ẩn - bà Đinh Thị The</t>
  </si>
  <si>
    <t>76/58C Bạch Đằng, P.14 (24 cũ)</t>
  </si>
  <si>
    <t>426/QĐ-UBND ngày 18/6/2025</t>
  </si>
  <si>
    <t>639/PA-HĐBT(RXT)</t>
  </si>
  <si>
    <t>Huỳnh Ngọc Huệ</t>
  </si>
  <si>
    <t>194/50/60 Bạch Đằng, P.14 (24 cũ)</t>
  </si>
  <si>
    <t>427/QĐ-UBND ngày 18/6/2025</t>
  </si>
  <si>
    <t>1099/QĐ-UBND ngày 10/6/2026</t>
  </si>
  <si>
    <t>640/PA-HĐBT(RXT)</t>
  </si>
  <si>
    <t>264/PA</t>
  </si>
  <si>
    <t>Lê Quốc Khanh - Trịnh Tú Khanh</t>
  </si>
  <si>
    <t>76/42 Bạch Đằng, P.14 (24 cũ)</t>
  </si>
  <si>
    <t>428/QĐ-UBND ngày 18/6/2025</t>
  </si>
  <si>
    <t>641/PA-HĐBT(RXT)</t>
  </si>
  <si>
    <t>Trung tâm Quản lý nhà và Giám định xây dựng Thành phố Hồ Chí Minh (ông Đỗ Văn Nghị thuê theo Hợp đồng thuê nhà ở cũ thuộc sở hữu nhà nước - Hợp đồng số: 2329NCO2947)</t>
  </si>
  <si>
    <t>429/QĐ-UBND ngày 18/6/2025</t>
  </si>
  <si>
    <t>999/QĐ-UBND ngày 04/06/2026</t>
  </si>
  <si>
    <t>642/PA-HĐBT(RXT)</t>
  </si>
  <si>
    <t>09/PA-HĐBT(RXT)</t>
  </si>
  <si>
    <t>Nguyễn Thị Quí và các đồng thừa kế của ông Trương Ngọc Lít</t>
  </si>
  <si>
    <t>417 Xô Viết Nghệ Tĩnh, P.26</t>
  </si>
  <si>
    <t>430/QĐ-UBND ngày 18/6/2025</t>
  </si>
  <si>
    <t>643/PA-HĐBT(RXT)</t>
  </si>
  <si>
    <t>Lê Thị Trinh</t>
  </si>
  <si>
    <t>377/6 Đinh Bộ Lĩnh, P.26</t>
  </si>
  <si>
    <t>431/QĐ-UBND ngày 18/6/2025</t>
  </si>
  <si>
    <t>1294/QĐ-UBND ngày 08/7/2026</t>
  </si>
  <si>
    <t>644/PA-HĐBT(RXT)</t>
  </si>
  <si>
    <t>443/PA</t>
  </si>
  <si>
    <t>Trần Ngọc Đỉnh - Trịnh Thị Ngọc Lan</t>
  </si>
  <si>
    <t>59/15 Đinh Bộ Lĩnh, P.26</t>
  </si>
  <si>
    <t>432/QĐ-UBND ngày 18/6/2025</t>
  </si>
  <si>
    <t>645/PA-HĐBT(RXT)</t>
  </si>
  <si>
    <t>Bùi Trọng Kính và các đồng thừa kế của bà Trần Kim Cúc</t>
  </si>
  <si>
    <t>451/41 Xô Viết Nghệ Tĩnh, P.26</t>
  </si>
  <si>
    <t>433/QĐ-UBND ngày 18/6/2025</t>
  </si>
  <si>
    <t>646/PA-HĐBT(RXT)</t>
  </si>
  <si>
    <t>Phạm Thị Dương là người đại diện của những người được thừa kế: Phạm Ngọc Quang, Phạm Thị Ngọc Uyên, Phạm Ngọc Long</t>
  </si>
  <si>
    <t>201/60/34 Nguyễn Xí, P.26</t>
  </si>
  <si>
    <t>434/QĐ-UBND ngày 18/6/2025</t>
  </si>
  <si>
    <t>647/PA-HĐBT(RXT)</t>
  </si>
  <si>
    <t>Nguyễn Thị Hồng Ngọc</t>
  </si>
  <si>
    <t>220/30 Nguyễn Xí, P.26</t>
  </si>
  <si>
    <t>435/QĐ-UBND ngày 18/6/2025</t>
  </si>
  <si>
    <t>1153/QĐ-UBND ngày 13/6/2026</t>
  </si>
  <si>
    <t>648/PA-HĐBT(RXT)</t>
  </si>
  <si>
    <t>Nguyễn Thành Long - Nguyễn Quốc Thái - Nguyễn Quốc Tuấn - Nguyễn Thị Thanh Bình</t>
  </si>
  <si>
    <t>419 Xô Viết Nghệ Tĩnh, P.26</t>
  </si>
  <si>
    <t>436/QĐ-UBND ngày 18/6/2025</t>
  </si>
  <si>
    <t>649/PA-HĐBT(RXT)</t>
  </si>
  <si>
    <t>Hoàng Thị Nữ</t>
  </si>
  <si>
    <t>427/46A Xô Viết Nghệ Tĩnh, P.26</t>
  </si>
  <si>
    <t>437/QĐ-UBND ngày 18/6/2025</t>
  </si>
  <si>
    <t>650/PA-HĐBT(RXT)</t>
  </si>
  <si>
    <t>Nguyễn Xuân Huy</t>
  </si>
  <si>
    <t>451/45C/13 Xô Viết Nghệ Tĩnh, P.26</t>
  </si>
  <si>
    <t>457/QĐ-UBND ngày 24/06/2025</t>
  </si>
  <si>
    <t>468/QĐ-UBND ngày 24/6/2025</t>
  </si>
  <si>
    <t>672/PA-HĐBT(RXT)</t>
  </si>
  <si>
    <t>Tô Hữu Định - Trần Thị Lan</t>
  </si>
  <si>
    <t>243/30 Chu Văn An, P.12</t>
  </si>
  <si>
    <t>478/QĐ-UBND ngày 24/6/2025</t>
  </si>
  <si>
    <t>673/PA-HĐBT(RXT)</t>
  </si>
  <si>
    <t>Hoàng Công Bình - Huỳnh Thị Ngọc Điệp</t>
  </si>
  <si>
    <t>32/36/40E Bùi Đình Túy, P.12</t>
  </si>
  <si>
    <t>481/QĐ-UBND ngày 24/6/2025</t>
  </si>
  <si>
    <t>1322/QĐ-UBND ngày 14/7/2026</t>
  </si>
  <si>
    <t>677/PA-HĐBT(RXT)</t>
  </si>
  <si>
    <t>Lý Đỉnh - Lê Thị Nhân</t>
  </si>
  <si>
    <t>194/50/70 Bạch Đằng, P.14 (24 cũ)</t>
  </si>
  <si>
    <t>482/QĐ-UBND ngày 24/6/2025</t>
  </si>
  <si>
    <t>1437/QĐ-UBND ngày 21/8/2026</t>
  </si>
  <si>
    <t>678/PA-HĐBT(RXT)</t>
  </si>
  <si>
    <t>438/PA</t>
  </si>
  <si>
    <t>Nguyễn Văn Bé Tám - Triệu Thị Tuyết Trong</t>
  </si>
  <si>
    <t>246/18D Bạch Đằng, P.14 (24 cũ)</t>
  </si>
  <si>
    <t>483/QĐ-UBND ngày 24/6/2025</t>
  </si>
  <si>
    <t>679/PA-HĐBT(RXT)</t>
  </si>
  <si>
    <t>ông Đỗ Đức Vân - bà Hoàng Thị Hằng</t>
  </si>
  <si>
    <t>35/2D Đinh Bộ Lĩnh, P.14 (24 cũ)</t>
  </si>
  <si>
    <t>484/QĐ-UBND ngày 24/6/2025</t>
  </si>
  <si>
    <t>680/PA-HĐBT(RXT)</t>
  </si>
  <si>
    <t>Hội nông dân Việt Nam</t>
  </si>
  <si>
    <t>36A Đinh Bộ Lĩnh, P.14 (24 cũ)</t>
  </si>
  <si>
    <t>485/QĐ-UBND ngày 24/6/2025</t>
  </si>
  <si>
    <t>681/PA-HĐBT(RXT)</t>
  </si>
  <si>
    <t>Các đồng thừa kế của ông Nguyễn Huệ Nha - bà Nguyễn Ánh Nguyệt</t>
  </si>
  <si>
    <t>Không số (số tự cho 194/50/53A) Bạch Đằng, P.14 (24 cũ)</t>
  </si>
  <si>
    <t>486/QĐ-UBND ngày 24/6/2025</t>
  </si>
  <si>
    <t>682/PA-HĐBT(RXT)</t>
  </si>
  <si>
    <t>Nguyễn Thị Nở và các đồng thừa kế của ông Hồ Hoàng Thành</t>
  </si>
  <si>
    <t>125/96A Bùi Đình Túy, P.14 (24 cũ)</t>
  </si>
  <si>
    <t>487/QĐ-UBND ngày 24/6/2025</t>
  </si>
  <si>
    <t>683/PA-HĐBT(RXT)</t>
  </si>
  <si>
    <t>Chùa Long Vân</t>
  </si>
  <si>
    <t>125/72 Bùi Đình Túy, P.14 (24 cũ)</t>
  </si>
  <si>
    <t>488/QĐ-UBND ngày 24/6/2025</t>
  </si>
  <si>
    <t>684/PA-HĐBT(RXT)</t>
  </si>
  <si>
    <t>Lương Thị Mai</t>
  </si>
  <si>
    <t>405/2 Xô Viết Nghệ Tĩnh, P.14 (24 cũ)</t>
  </si>
  <si>
    <t>489/QĐ-UBND ngày 24/6/2025</t>
  </si>
  <si>
    <t>499/QĐ-UBND ngày 09/04/2026</t>
  </si>
  <si>
    <t>1208/QĐ-UBND ngày 20/6/2026</t>
  </si>
  <si>
    <t>685/PA-HĐBT(RXT)</t>
  </si>
  <si>
    <t>Các đồng thừa kế của bà Đoàn Thị An</t>
  </si>
  <si>
    <t>42/387 Huỳnh Đình Hai, P.14 (24 cũ)</t>
  </si>
  <si>
    <t>490/QĐ-UBND ngày 24/6/2025</t>
  </si>
  <si>
    <t>686/PA-HĐBT(RXT)</t>
  </si>
  <si>
    <t>Lê Kim Dung - Phạm Văn Tâm</t>
  </si>
  <si>
    <t>58/144 Phan Chu Trinh, P.14 (24 cũ)</t>
  </si>
  <si>
    <t>491/QĐ-UBND ngày 24/6/2025</t>
  </si>
  <si>
    <t>687/PA-HĐBT(RXT)</t>
  </si>
  <si>
    <t>Vũ Mạnh Hùng - Nguyễn Thị Minh Hiếu</t>
  </si>
  <si>
    <t>246/23 Bạch Đằng, P.14 (24 cũ)</t>
  </si>
  <si>
    <t>492/QĐ-UBND ngày 24/6/2025</t>
  </si>
  <si>
    <t>688/PA-HĐBT(RXT)</t>
  </si>
  <si>
    <t>18/PA-HĐBT(RXT)</t>
  </si>
  <si>
    <t>Trương Thị Năm (là người đại diện của những người được thừa kế gồm các ông/bà Nguyễn Thị Kim Dững, Nguyễn Thị Kim Tuyết, Nguyễn Thị Kim Phương, Nguyễn Thị Kim Phượng, Nguyễn Thị Trương Mận)</t>
  </si>
  <si>
    <t>125/80 Bùi Đình Túy, P.14 (24 cũ)</t>
  </si>
  <si>
    <t>493/QĐ-UBND ngày 24/6/2025</t>
  </si>
  <si>
    <t>689/PA-HĐBT(RXT)</t>
  </si>
  <si>
    <t>Bùi Ngọc Thủy</t>
  </si>
  <si>
    <t>194/50/23A Bạch Đằng, P.14 (24 cũ)</t>
  </si>
  <si>
    <t>494/QĐ-UBND ngày 24/6/2025</t>
  </si>
  <si>
    <t>690/PA-HĐBT(RXT)</t>
  </si>
  <si>
    <t>Hoàng Bích Ngọc</t>
  </si>
  <si>
    <t>Không số , P.26</t>
  </si>
  <si>
    <t>500/QĐ-UBND ngày 24/6/2025</t>
  </si>
  <si>
    <t>691/PA-HĐBT(RXT)</t>
  </si>
  <si>
    <t>495/QĐ-UBND ngày 24/6/2025</t>
  </si>
  <si>
    <t>1275/QĐ-UBND ngày 02/07/2026</t>
  </si>
  <si>
    <t>692/PA-HĐBT(RXT)</t>
  </si>
  <si>
    <t>Lê Thị Thu Lan - Lê Thị Thu Liễu</t>
  </si>
  <si>
    <t>389A Đinh Bộ Lĩnh, P.26</t>
  </si>
  <si>
    <t>496/QĐ-UBND ngày 24/6/2025</t>
  </si>
  <si>
    <t>693/PA-HĐBT(RXT)</t>
  </si>
  <si>
    <t>Vũ Xuân Út - Nguyễn Thị Lan</t>
  </si>
  <si>
    <t>201/60/30 Nguyễn Xí, P.26</t>
  </si>
  <si>
    <t>502/QĐ-UBND ngày 26/06/2025</t>
  </si>
  <si>
    <t>521/QĐ-UBND ngày 26/6/2025</t>
  </si>
  <si>
    <t>712/PA-HĐBT(RXT)</t>
  </si>
  <si>
    <t>Lê Quang An - Nguyễn Thị Phượng</t>
  </si>
  <si>
    <t>32/36/40D Bùi Đình Túy, P.12</t>
  </si>
  <si>
    <t>522/QĐ-UBND ngày 26/6/2025</t>
  </si>
  <si>
    <t>713/PA-HĐBT(RXT)</t>
  </si>
  <si>
    <t>04/PA-HĐBT(RXT)</t>
  </si>
  <si>
    <t>Xuân Trọng Hoàng - Nguyễn Thị Hoàng Oanh</t>
  </si>
  <si>
    <t>290/51/11/7 Nơ Trang Long, P.12</t>
  </si>
  <si>
    <t>529/QĐ-UBND ngày 26/6/2025</t>
  </si>
  <si>
    <t>721/PA-HĐBT(RXT)</t>
  </si>
  <si>
    <t>Đoàn Thế Tranh</t>
  </si>
  <si>
    <t>76/46 Bạch Đằng, P.14 (24 cũ)</t>
  </si>
  <si>
    <t>530/QĐ-UBND ngày 26/6/2025</t>
  </si>
  <si>
    <t>722/PA-HĐBT(RXT)</t>
  </si>
  <si>
    <t>Nguyễn Công Hiệp</t>
  </si>
  <si>
    <t>58/22/75 Phan Chu Trinh, P.14 (24 cũ)</t>
  </si>
  <si>
    <t>531/QĐ-UBND ngày 26/6/2025</t>
  </si>
  <si>
    <t>732/QĐ-UBND ngày 28/4/2026</t>
  </si>
  <si>
    <t>723/PA-HĐBT(RXT)</t>
  </si>
  <si>
    <t>Vũ Thị Hạnh</t>
  </si>
  <si>
    <t>58/22/34B Phan Chu Trinh, P.14 (24 cũ)</t>
  </si>
  <si>
    <t>532/QĐ-UBND ngày 26/6/2025</t>
  </si>
  <si>
    <t>724/PA-HĐBT(RXT)</t>
  </si>
  <si>
    <t>Các đồng thừa kế của bà Nguyễn Thị Khiêm</t>
  </si>
  <si>
    <t>194/50/49 Bạch Đằng, P.14 (24 cũ)</t>
  </si>
  <si>
    <t>533/QĐ-UBND ngày 26/6/2025</t>
  </si>
  <si>
    <t>725/PA-HĐBT(RXT)</t>
  </si>
  <si>
    <t>Nguyễn Thị Bích Hồng - Phạm Thị Ngọc Chi và các đồng thừa kế của ông Phạm Ngọc Quân</t>
  </si>
  <si>
    <t>256C Bạch Đằng, P.14 (24 cũ)</t>
  </si>
  <si>
    <t>534/QĐ-UBND ngày 26/6/2025</t>
  </si>
  <si>
    <t>726/PA-HĐBT(RXT)</t>
  </si>
  <si>
    <t>Trung tâm Quản lý nhà và Giám định xây dựng Thành phố Hồ Chí Minh (ông Trần Đình Khả là người đại diện đang thuê theo Hợp đồng thuê nhà ở cũ thuộc sỡ hữu Nhà nước - Hợp đồng số: 2329NCO3344)</t>
  </si>
  <si>
    <t>20/29 Đinh Bộ Lĩnh, P.14 (24 cũ)</t>
  </si>
  <si>
    <t>535/QĐ-UBND ngày 26/6/2025</t>
  </si>
  <si>
    <t>1375/QĐ-UBND ngày 31/7/2026</t>
  </si>
  <si>
    <t>727/PA-HĐBT(RXT)</t>
  </si>
  <si>
    <t>470/PA</t>
  </si>
  <si>
    <t>Nguyễn Văn Tuấn</t>
  </si>
  <si>
    <t>264 Bạch Đằng, P.14 (24 cũ)</t>
  </si>
  <si>
    <t>536/QĐ-UBND ngày 26/6/2025</t>
  </si>
  <si>
    <t>728/PA-HĐBT(RXT)</t>
  </si>
  <si>
    <t>Lê Thị Quyên</t>
  </si>
  <si>
    <t>47/66 Bùi Đình Túy, P.14 (24 cũ)</t>
  </si>
  <si>
    <t>537/QĐ-UBND ngày 26/6/2025</t>
  </si>
  <si>
    <t>729/PA-HĐBT(RXT)</t>
  </si>
  <si>
    <t>Trương Hồng Quang - Trương Hồng Sơn - Trương Hồng Tâm</t>
  </si>
  <si>
    <t>58/142 Phan Chu Trinh, P.14 (24 cũ)</t>
  </si>
  <si>
    <t>538/QĐ-UBND ngày 26/6/2025</t>
  </si>
  <si>
    <t>730/PA-HĐBT(RXT)</t>
  </si>
  <si>
    <t>Các đồng thừa kế của ông Trương Vĩnh Giàu và bà Trương Thị Nhơn</t>
  </si>
  <si>
    <t>194/43/36 Bạch Đằng, P.14 (24 cũ)</t>
  </si>
  <si>
    <t>539/QĐ-UBND ngày 26/6/2025</t>
  </si>
  <si>
    <t>731/PA-HĐBT(RXT)</t>
  </si>
  <si>
    <t>Chu Văn Bường - Lý Thị Kim Dung</t>
  </si>
  <si>
    <t>58/153D Phan Chu Trinh, P.14 (24 cũ)</t>
  </si>
  <si>
    <t>540/QĐ-UBND ngày 26/6/2025</t>
  </si>
  <si>
    <t>820/QĐ-UBND ngày 11/05/2026; 1495/QĐ-UBND ngày 11/09/2026</t>
  </si>
  <si>
    <t>732/PA-HĐBT(RXT)</t>
  </si>
  <si>
    <t>Nguyễn Hoàng Hùng Anh - Nguyễn Thị Hồng Mai</t>
  </si>
  <si>
    <t>125/100 Bùi Đình Túy, P.14 (24 cũ)</t>
  </si>
  <si>
    <t>541/QĐ-UBND ngày 26/6/2025</t>
  </si>
  <si>
    <t>733/PA-HĐBT(RXT)</t>
  </si>
  <si>
    <t>Hoàng Thị Thu Nga và các đồng thừa kế của ông Nguyễn Tự Giang</t>
  </si>
  <si>
    <t>246/13/9 Bạch Đằng, P.14 (24 cũ)</t>
  </si>
  <si>
    <t>542/QĐ-UBND ngày 26/6/2025</t>
  </si>
  <si>
    <t>734/PA-HĐBT(RXT)</t>
  </si>
  <si>
    <t>Võ Văn Phúc - Trần Thị Lệ Hoa</t>
  </si>
  <si>
    <t>427/34 Xô Viết Nghệ Tĩnh, P.26</t>
  </si>
  <si>
    <t>543/QĐ-UBND ngày 26/6/2025</t>
  </si>
  <si>
    <t>735/PA-HĐBT(RXT)</t>
  </si>
  <si>
    <t>Nguyễn Văn Hoàng - Nguyễn Thị Thu Hà</t>
  </si>
  <si>
    <t>427/51 Xô Viết Nghệ Tĩnh, P.26</t>
  </si>
  <si>
    <t>544/QĐ-UBND ngày 26/6/2025</t>
  </si>
  <si>
    <t>736/PA-HĐBT(RXT)</t>
  </si>
  <si>
    <t>Các đồng thừa kế của ông Đôn Văn Bầy và bà Võ Thị Tây</t>
  </si>
  <si>
    <t>427/26 Xô Viết Nghệ Tĩnh, P.26</t>
  </si>
  <si>
    <t>545/QĐ-UBND ngày 26/6/2025</t>
  </si>
  <si>
    <t>737/PA-HĐBT(RXT)</t>
  </si>
  <si>
    <t>Lê Minh Song - Nguyễn Thị Ngọc Dung</t>
  </si>
  <si>
    <t>79/40 Nguyễn Xí, P.26</t>
  </si>
  <si>
    <t>546/QĐ-UBND ngày 26/6/2025</t>
  </si>
  <si>
    <t>738/PA-HĐBT(RXT)</t>
  </si>
  <si>
    <t>Dương Thị Quỳnh Tiên cùng sử dụng đất, cùng sở hữu tài sản gắn liền với đất với bà Dương Thị Quỳnh Như - bà Dương Thị Quỳnh Uyên - bà Dương Thị Quỳnh Hoa - bà Dương Thị Quỳnh Chi - bà Dương Thị Quỳnh Thảo</t>
  </si>
  <si>
    <t>427/46E Xô Viết Nghệ Tĩnh, P.26</t>
  </si>
  <si>
    <t>547/QĐ-UBND ngày 26/6/2025</t>
  </si>
  <si>
    <t>1231/QĐ-UBND ngày 23/6/2026</t>
  </si>
  <si>
    <t>739/PA-HĐBT(RXT)</t>
  </si>
  <si>
    <t>Trương Thị Diễm Lệ</t>
  </si>
  <si>
    <t>220/61 Nguyễn Xí, P.26</t>
  </si>
  <si>
    <t>548/QĐ-UBND ngày 26/6/2025</t>
  </si>
  <si>
    <t>Nguyễn Văn Hoàng - Đặng Thị Nga</t>
  </si>
  <si>
    <t>59/44 Đinh Bộ Lĩnh, P.26</t>
  </si>
  <si>
    <t>549/QĐ-UBND ngày 26/6/2025</t>
  </si>
  <si>
    <t>372/QĐ-UBND ngày 07/04/2026; 1453/QĐ-UBND ngày 26/08/2026</t>
  </si>
  <si>
    <t>741/PA-HĐBT(RXT)</t>
  </si>
  <si>
    <t>Đỗ Văn Phú - Phan Thị Kim Thoa</t>
  </si>
  <si>
    <t>201/128 Nguyễn Xí, P.26</t>
  </si>
  <si>
    <t>550/QĐ-UBND ngày 26/6/2025</t>
  </si>
  <si>
    <t>742/PA-HĐBT(RXT)</t>
  </si>
  <si>
    <t>Đặng Thị Huyền Trang và các đồng thừa kế của ông Lê Hữu Bôi</t>
  </si>
  <si>
    <t>427/3 Xô Viết Nghệ Tĩnh, P.26</t>
  </si>
  <si>
    <t>551/QĐ-UBND ngày 26/6/2025</t>
  </si>
  <si>
    <t>743/PA-HĐBT(RXT)</t>
  </si>
  <si>
    <t>25/PA-HĐBT(RXT)</t>
  </si>
  <si>
    <t>Đàm Hoàng Minh Tuấn</t>
  </si>
  <si>
    <t>427/19 Xô Viết Nghệ Tĩnh, P.26</t>
  </si>
  <si>
    <t>552/QĐ-UBND ngày 26/06/2025</t>
  </si>
  <si>
    <t>QĐ 579/QĐ-UBND ngày 26/6/2025</t>
  </si>
  <si>
    <t>772/PA-HĐBT(RXT)</t>
  </si>
  <si>
    <t>Nguyễn Phước Hiệp</t>
  </si>
  <si>
    <t>32/36/40B Bùi Đình Túy, P.12</t>
  </si>
  <si>
    <t>QĐ 580/QĐ-UBND ngày 26/6/2025</t>
  </si>
  <si>
    <t>773/PA-HĐBT(RXT)</t>
  </si>
  <si>
    <t>Nguyễn Văn Hào - Trần Thị Bạch Yến</t>
  </si>
  <si>
    <t>243/66 Chu Văn An, P.12</t>
  </si>
  <si>
    <t>QĐ 588/QĐ-UBND ngày 26/6/2025</t>
  </si>
  <si>
    <t>783/PA-HĐBT(RXT)</t>
  </si>
  <si>
    <t>Phạm Ngọc Em - Hoàng Thị Toàn</t>
  </si>
  <si>
    <t>246/7B/13 Bạch Đằng, P.14 (24 cũ)</t>
  </si>
  <si>
    <t>QĐ 589/QĐ-UBND ngày 26/6/2025</t>
  </si>
  <si>
    <t>784/PA-HĐBT(RXT)</t>
  </si>
  <si>
    <t>16/PA-HĐBT(RXT)</t>
  </si>
  <si>
    <t>Nguyễn Văn Phương - Bùi Thị Định</t>
  </si>
  <si>
    <t>125/82 Bùi Đình Túy, P.14 (24 cũ)</t>
  </si>
  <si>
    <t>QĐ 590/QĐ-UBND ngày 26/6/2025</t>
  </si>
  <si>
    <t>785/PA-HĐBT(RXT)</t>
  </si>
  <si>
    <t>13/PA-HĐBT(RXT)</t>
  </si>
  <si>
    <t>Nguyễn Văn Giàu - Trương Thị Tuyết Loan</t>
  </si>
  <si>
    <t>407A Xô Viết Nghệ Tĩnh, P.14 (24 cũ)</t>
  </si>
  <si>
    <t>QĐ 591/QĐ-UBND ngày 26/6/2025</t>
  </si>
  <si>
    <t>786/PA-HĐBT(RXT)</t>
  </si>
  <si>
    <t>Lê Thị Bích Vân</t>
  </si>
  <si>
    <t>184/3/6B27 Nguyễn Xí, P.26</t>
  </si>
  <si>
    <t>QĐ 592/QĐ-UBND ngày 26/6/2025</t>
  </si>
  <si>
    <t>1265/QĐ-UBND ngày 01/7/2026</t>
  </si>
  <si>
    <t>787/PA-HĐBT(RXT)</t>
  </si>
  <si>
    <t>Nguyễn Trấn Quốc - Nguyễn Thị Thu</t>
  </si>
  <si>
    <t>QĐ 586/QĐ-UBND ngày 26/6/2025</t>
  </si>
  <si>
    <t>788/PA-HĐBT(RXT)</t>
  </si>
  <si>
    <t>Hoàng Hoa Anh</t>
  </si>
  <si>
    <t>225A Chu Văn An, P.26</t>
  </si>
  <si>
    <t>599/QĐ-UBND ngày 27/06/2025</t>
  </si>
  <si>
    <t>612/QĐ_UBND ngày 27/6/2025</t>
  </si>
  <si>
    <t>801/PA-HĐBT(RXT)</t>
  </si>
  <si>
    <t>Nguyễn Ngọc Hạnh</t>
  </si>
  <si>
    <t>32/40/40 (số cũ 662/132) Bùi Đình Túy, P.12</t>
  </si>
  <si>
    <t>616/QĐ_UBND ngày 27/6/2025</t>
  </si>
  <si>
    <t>805/PA-HĐBT(RXT)</t>
  </si>
  <si>
    <t>Trần Minh Bảo</t>
  </si>
  <si>
    <t>Không số Xô Viết Nghệ Tĩnh, P.26</t>
  </si>
  <si>
    <t>618/QĐ_UBND ngày 27/6/2025</t>
  </si>
  <si>
    <t>807/PA-HĐBT(RXT)</t>
  </si>
  <si>
    <t>Lê Phúc - Lê Thị Hương - Lê Thị Hòa</t>
  </si>
  <si>
    <t>194/41 (Số cũ: 194/43) Bạch Đằng, P.14 (24 cũ)</t>
  </si>
  <si>
    <t>619/QĐ_UBND ngày 27/6/2025</t>
  </si>
  <si>
    <t>808/PA-HĐBT(RXT)</t>
  </si>
  <si>
    <t>Lê Thị Thu Trang</t>
  </si>
  <si>
    <t>620/QĐ_UBND ngày 27/6/2025</t>
  </si>
  <si>
    <t>809/PA-HĐBT(RXT)</t>
  </si>
  <si>
    <t>Nguyễn Bạch Tuyết, Nguyễn Hoàng Anh, Nguyễn Hoàng Linh và một số người thừa kế khác chưa được xác định</t>
  </si>
  <si>
    <t>30 Đinh Bộ Lĩnh, P.14 (24 cũ)</t>
  </si>
  <si>
    <t>621/QĐ_UBND ngày 27/6/2025</t>
  </si>
  <si>
    <t>810/PA-HĐBT(RXT)</t>
  </si>
  <si>
    <t>03/PA-HĐBT(RXT)</t>
  </si>
  <si>
    <t>Các đồng thừa kế của ông Vũ Đức Hạnh và bà Nguyễn Thị Phượng</t>
  </si>
  <si>
    <t>194/50/53 (số cũ 194/50/71) Bạch Đằng, P.14 (24 cũ)</t>
  </si>
  <si>
    <t>622/QĐ_UBND ngày 27/6/2025</t>
  </si>
  <si>
    <t>811/PA-HĐBT(RXT)</t>
  </si>
  <si>
    <t>Nguyễn Anh Tuyết Trang</t>
  </si>
  <si>
    <t>246/25 Bạch Đằng, P.14 (24 cũ)</t>
  </si>
  <si>
    <t>623/QĐ_UBND ngày 27/6/2025</t>
  </si>
  <si>
    <t>812/PA-HĐBT(RXT)</t>
  </si>
  <si>
    <t>26/PA-HĐBT(RXT)</t>
  </si>
  <si>
    <t>Trần Văn Đức - Nguyễn Thị Họp</t>
  </si>
  <si>
    <t>427/46C Xô Viết Nghệ Tĩnh, P.26</t>
  </si>
  <si>
    <t>116/QĐ-UBND ngày 14/8/2025</t>
  </si>
  <si>
    <t>01/QĐ_UBND ngày 05/8/2025</t>
  </si>
  <si>
    <t>974/PA-HĐBT(RXT)</t>
  </si>
  <si>
    <t>Lý Thị Hỷ (chưa xác định tình trạng hôn nhân)</t>
  </si>
  <si>
    <t>194/50/43 Bạch Đằng, P.Phường 14, quận Bình Thạnh (nay là phường Bình Thạnh)</t>
  </si>
  <si>
    <t>117/QĐ-UBND ngày 21/8/2025</t>
  </si>
  <si>
    <t>82/QĐ-UBND ngày 06/8/2025</t>
  </si>
  <si>
    <t>927/PA-HĐBT(RXT)</t>
  </si>
  <si>
    <t>Nguyễn Khắc Quân - Lưu Thị Nhung</t>
  </si>
  <si>
    <t>32/36/41 Bùi Đình Túy, P.Phường 12, quận Bình Thạnh (nay là phường Bình Thạnh)</t>
  </si>
  <si>
    <t>76/QĐ-UBND ngày 06/8/2025</t>
  </si>
  <si>
    <t>374/QĐ-UBND ngày 07/04/2026; 1502/QĐ-UBND ngày 11/09/2026</t>
  </si>
  <si>
    <t>1167/QĐ-UBND ngày 16/6/2026</t>
  </si>
  <si>
    <t>928/PA-HĐBT(RXT)</t>
  </si>
  <si>
    <t>125/PA</t>
  </si>
  <si>
    <t>Nguyễn Hữu Hậu - Đỗ Kim Cương</t>
  </si>
  <si>
    <t>Không số Nơ Trang Long, P.Phường 12, quận Bình Thạnh (nay là phường Bình Thạnh)</t>
  </si>
  <si>
    <t>77/QĐ-UBND ngày 06/8/2025</t>
  </si>
  <si>
    <t>929/PA-HĐBT(RXT)</t>
  </si>
  <si>
    <t>Lê Thị Kim Oanh và các đồng thừa kế ông Cao Hiếu Thuận</t>
  </si>
  <si>
    <t>290/45/20/42 Nơ Trang Long, P.Phường 12, quận Bình Thạnh (nay là phường Bình Thạnh)</t>
  </si>
  <si>
    <t>75/QĐ-UBND ngày 06/8/2025</t>
  </si>
  <si>
    <t>930/PA-HĐBT(RXT)</t>
  </si>
  <si>
    <t>Bùi Hùng Tuấn - Hoàng Thị Lân</t>
  </si>
  <si>
    <t>243/60 Chu Văn An, P.Phường 12, quận Bình Thạnh (nay là phường Bình Thạnh)</t>
  </si>
  <si>
    <t>83/QĐ-UBND ngày 06/8/2025</t>
  </si>
  <si>
    <t>931/PA-HĐBT(RXT)</t>
  </si>
  <si>
    <t>Hồ Thị Quỳnh đại diện của những người thừa kế gồm: Lê Tiến Dũng, Lê Hoài Linh, Lê Thị Quỳnh Như, Lê Quỳnh Anh, Lê Hoài Thu, Lê Hoài Tâm, Lê Hoài Trung</t>
  </si>
  <si>
    <t>290/45/20/40 Nơ Trang Long, P.Phường 12, quận Bình Thạnh (nay là phường Bình Thạnh)</t>
  </si>
  <si>
    <t>73/QĐ-UBND ngày 06/8/2025</t>
  </si>
  <si>
    <t>932/PA-HĐBT(RXT)</t>
  </si>
  <si>
    <t>Nguyễn Hữu Thành - Lê Thị Lanh</t>
  </si>
  <si>
    <t>32/24/16 Bùi Đình Túy, P.Phường 12, quận Bình Thạnh (nay là phường Bình Thạnh)</t>
  </si>
  <si>
    <t>78/QĐ-UBND ngày 06/8/2025</t>
  </si>
  <si>
    <t>998/QĐ-UBND ngày 04/6/2026</t>
  </si>
  <si>
    <t>933/PA-HĐBT(RXT)</t>
  </si>
  <si>
    <t>228/PA-HĐBT(RXT)</t>
  </si>
  <si>
    <t>Nguyễn Thị Tuyết Hoa</t>
  </si>
  <si>
    <t>32/36/40F Bùi Đình Túy, P.Phường 12, quận Bình Thạnh (nay là phường Bình Thạnh)</t>
  </si>
  <si>
    <t>74/QĐ-UBND ngày 06/8/2025</t>
  </si>
  <si>
    <t>934/PA-HĐBT(RXT)</t>
  </si>
  <si>
    <t>Quan Thanh Tâm - Trịnh Thi Thu</t>
  </si>
  <si>
    <t>32/121 Bùi Đình Túy, P.Phường 12, quận Bình Thạnh (nay là phường Bình Thạnh)</t>
  </si>
  <si>
    <t>25/QĐ-UBND ngày 05/8/2025</t>
  </si>
  <si>
    <t>374/QĐ-UBND ngày 07/04/2026; 1398/QĐ-UBND ngày 07/8/2026</t>
  </si>
  <si>
    <t>935/PA-HĐBT(RXT)</t>
  </si>
  <si>
    <t>Trần Văn Hòa - Nguyễn Thị Hồng Đào</t>
  </si>
  <si>
    <t>32/24/18 Bùi Đình Túy, P.Phường 12, quận Bình Thạnh (nay là phường Bình Thạnh)</t>
  </si>
  <si>
    <t>20/QĐ-UBND ngày 05/8/2025</t>
  </si>
  <si>
    <t>936/PA-HĐBT(RXT)</t>
  </si>
  <si>
    <t>Đỗ Hùng Tuấn - Phùng Thị Thu Hà</t>
  </si>
  <si>
    <t>32/8/7 Bùi Đình Túy, P.Phường 12, quận Bình Thạnh (nay là phường Bình Thạnh)</t>
  </si>
  <si>
    <t>11/QĐ-UBND ngày 05/8/2025</t>
  </si>
  <si>
    <t xml:space="preserve">929/QĐ-UBND ngày 26/05/2026; 1388/QĐ-UBND ngày 04/08/2026 
</t>
  </si>
  <si>
    <t>937/PA-HĐBT(RXT)</t>
  </si>
  <si>
    <t>Nguyễn Thị Yến Hoa - Nguyễn Hoàng Gia Định</t>
  </si>
  <si>
    <t>Không số cạnh nhà 20/16 Đinh Bộ Lĩnh, P.Phường 14, quận Bình Thạnh (nay là phường Bình Thạnh)</t>
  </si>
  <si>
    <t>26/QĐ-UBND ngày 05/8/2025</t>
  </si>
  <si>
    <t>938/PA-HĐBT(RXT)</t>
  </si>
  <si>
    <t>Đào Văn Hải - Nguyễn Kim Mai</t>
  </si>
  <si>
    <t>266/28 Bạch Đằng, P.Phường 14, quận Bình Thạnh (nay là phường Bình Thạnh)</t>
  </si>
  <si>
    <t>19/QĐ-UBND ngày 05/8/2025</t>
  </si>
  <si>
    <t>939/PA-HĐBT(RXT)</t>
  </si>
  <si>
    <t>Nguyễn Ngọc Dũng - Nguyễn Ngọc Diệp</t>
  </si>
  <si>
    <t>20/6 Đinh Bộ Lĩnh, P.Phường 14, quận Bình Thạnh (nay là phường Bình Thạnh)</t>
  </si>
  <si>
    <t>84/QĐ-UBND ngày 06/8/2025</t>
  </si>
  <si>
    <t>1368/QĐ-UBND ngày 29/7/2026</t>
  </si>
  <si>
    <t>940/PA-HĐBT(RXT)</t>
  </si>
  <si>
    <t>461/PA</t>
  </si>
  <si>
    <t>ông Nguyễn Hoài Bảo</t>
  </si>
  <si>
    <t>194/50/33 Bạch Đằng, P.Phường 14, quận Bình Thạnh (nay là phường Bình Thạnh)</t>
  </si>
  <si>
    <t>71/QĐ-UBND ngày 06/8/2025</t>
  </si>
  <si>
    <t>883/QĐ-UBND ngày 18/5/2026; 1388/QĐ-UBND ngày 04/08/2026</t>
  </si>
  <si>
    <t>1302/QĐ-UBND ngày 08/7/2026</t>
  </si>
  <si>
    <t>941/PA-HĐBT(RXT)</t>
  </si>
  <si>
    <t>406/PA</t>
  </si>
  <si>
    <t>bà Nguyễn Kim Dung - ông Nguyễn Thanh Hòa</t>
  </si>
  <si>
    <t>20/12 (Số tự cho: 20/43) Đinh Bộ Lĩnh, P.Phường 14, quận Bình Thạnh (nay là phường Bình Thạnh)</t>
  </si>
  <si>
    <t>80/QĐ-UBND ngày 06/8/2025</t>
  </si>
  <si>
    <t>942/PA-HĐBT(RXT)</t>
  </si>
  <si>
    <t>592/PA-HĐBT(RXT)</t>
  </si>
  <si>
    <t>Trần Văn Hùng</t>
  </si>
  <si>
    <t>58/96/29 Phan Chu Trinh, P.Phường 14, quận Bình Thạnh (nay là phường Bình Thạnh)</t>
  </si>
  <si>
    <t>72/QĐ-UBND ngày 06/8/2025</t>
  </si>
  <si>
    <t>1212/QĐ-UBND ngày 20/06/2026</t>
  </si>
  <si>
    <t>1211/QĐ-UBND ngày 20/6/2026</t>
  </si>
  <si>
    <t>943/PA-HĐBT(RXT)</t>
  </si>
  <si>
    <t>Nguyễn Thị Kim Huyền - Đặng Thanh Châu</t>
  </si>
  <si>
    <t>Không số cạnh nhà 58/165B Phan Chu Trinh, P.Phường 14, quận Bình Thạnh (nay là phường Bình Thạnh)</t>
  </si>
  <si>
    <t>81/QĐ-UBND ngày 06/8/2025</t>
  </si>
  <si>
    <t>1424/QĐ-UBND ngày 19/08/2026</t>
  </si>
  <si>
    <t>1369/QĐ-UBND ngày 29/7/2026</t>
  </si>
  <si>
    <t>944/PA-HĐBT(RXT)</t>
  </si>
  <si>
    <t>471/PA</t>
  </si>
  <si>
    <t>Phạm Tấn Tài - Hồ Trần Tâm</t>
  </si>
  <si>
    <t>58/22/34F Phan Chu Trinh, P.Phường 14, quận Bình Thạnh (nay là phường Bình Thạnh)</t>
  </si>
  <si>
    <t>79/QĐ-UBND ngày 06/8/2025</t>
  </si>
  <si>
    <t>945/PA-HĐBT(RXT)</t>
  </si>
  <si>
    <t>Tô Ngọc Linh - Lữ Thị Kim Tuyến</t>
  </si>
  <si>
    <t>47/19A Bùi Đình Túy, P.Phường 14, quận Bình Thạnh (nay là phường Bình Thạnh)</t>
  </si>
  <si>
    <t>10/QĐ-UBND ngày 05/8/2025</t>
  </si>
  <si>
    <t>946/PA-HĐBT(RXT)</t>
  </si>
  <si>
    <t>Phạm Phương Thảo</t>
  </si>
  <si>
    <t>20/31 Đinh Bộ Lĩnh, P.Phường 14, quận Bình Thạnh (nay là phường Bình Thạnh)</t>
  </si>
  <si>
    <t>28/QĐ-UBND ngày 05/8/2025</t>
  </si>
  <si>
    <t>498/QĐ-UBND ngày 09/04/2026</t>
  </si>
  <si>
    <t>947/PA-HĐBT(RXT)</t>
  </si>
  <si>
    <t>ông Trần Minh Hải</t>
  </si>
  <si>
    <t>47/19B Bùi Đình Túy, P.Phường 14, quận Bình Thạnh (nay là phường Bình Thạnh)</t>
  </si>
  <si>
    <t>30/QĐ-UBND ngày 05/8/2025</t>
  </si>
  <si>
    <t>948/PA-HĐBT(RXT)</t>
  </si>
  <si>
    <t>Công ty cổ phần Xây dựng - Vận tải số Chín</t>
  </si>
  <si>
    <t>20/8 Đinh Bộ Lĩnh, P.Phường 14, quận Bình Thạnh (nay là phường Bình Thạnh)</t>
  </si>
  <si>
    <t>27/QĐ-UBND ngày 05/8/2025</t>
  </si>
  <si>
    <t>949/PA-HĐBT(RXT)</t>
  </si>
  <si>
    <t>Nguyễn Thanh Tiếp - Nguyễn Thị Hoàng Phượng</t>
  </si>
  <si>
    <t>58/22/34A Phan Chu Trinh, P.Phường 14, quận Bình Thạnh (nay là phường Bình Thạnh)</t>
  </si>
  <si>
    <t>29/QĐ-UBND ngày 05/8/2025</t>
  </si>
  <si>
    <t>950/PA-HĐBT(RXT)</t>
  </si>
  <si>
    <t>231/PA</t>
  </si>
  <si>
    <t>Trần Hữu Thăng - Nguyễn Thị Thu Hà</t>
  </si>
  <si>
    <t>24 - 24A Đinh Bộ Lĩnh, P.Phường 14, quận Bình Thạnh (nay là phường Bình Thạnh)</t>
  </si>
  <si>
    <t>113/QĐ-UBND ngày 08/8/2025</t>
  </si>
  <si>
    <t>951/PA-HĐBT(RXT)</t>
  </si>
  <si>
    <t>Phan Văn Khải - Lê Thị Hiền</t>
  </si>
  <si>
    <t>238/35 Bạch Đằng, P.Phường 14, quận Bình Thạnh (nay là phường Bình Thạnh)</t>
  </si>
  <si>
    <t>06/QĐ-UBND ngày 05/8/2025</t>
  </si>
  <si>
    <t>952/PA-HĐBT(RXT)</t>
  </si>
  <si>
    <t>Võ Đông Châu</t>
  </si>
  <si>
    <t>47/25 Bùi Đình Túy, P.Phường 14, quận Bình Thạnh (nay là phường Bình Thạnh)</t>
  </si>
  <si>
    <t>09/QĐ-UBND ngày 05/8/2025</t>
  </si>
  <si>
    <t>883/QĐ-UBND ngày 18/5/2026;1388/QĐ-UBND ngày 04/08/2026</t>
  </si>
  <si>
    <t>953/PA-HĐBT(RXT)</t>
  </si>
  <si>
    <t>Võ Thị Mai - Phan Gia Thanh</t>
  </si>
  <si>
    <t>Không số cuối hẻm 118 Bạch Đằng, P.Phường 14, quận Bình Thạnh (nay là phường Bình Thạnh)</t>
  </si>
  <si>
    <t>49/QĐ-UBND ngày 06/8/2025</t>
  </si>
  <si>
    <t>997/QĐ-UBND ngày 04/06/2026</t>
  </si>
  <si>
    <t>1267/QĐ-UBND ngày 01/7/2026</t>
  </si>
  <si>
    <t>954/PA-HĐBT(RXT)</t>
  </si>
  <si>
    <t>255/PA</t>
  </si>
  <si>
    <t>Nguyễn Thị Mai Giàu</t>
  </si>
  <si>
    <t>58/153G Phan Chu Trinh, P.Phường 14, quận Bình Thạnh (nay là phường Bình Thạnh)</t>
  </si>
  <si>
    <t>21/QĐ-UBND ngày 05/8/2025</t>
  </si>
  <si>
    <t>955/PA-HĐBT(RXT)</t>
  </si>
  <si>
    <t>Nguyễn Thị Hiếu - Nguyễn Văn Lộc</t>
  </si>
  <si>
    <t>58/153B Phan Chu Trinh, P.Phường 14, quận Bình Thạnh (nay là phường Bình Thạnh)</t>
  </si>
  <si>
    <t>86/QĐ-UBND ngày 06/8/2025</t>
  </si>
  <si>
    <t>732/QĐ-UBND ngày 28/4/2026; 1309/QĐ-UBND ngày 10/7/2026</t>
  </si>
  <si>
    <t>956/PA-HĐBT(RXT)</t>
  </si>
  <si>
    <t>432/PA</t>
  </si>
  <si>
    <t>Lê Ngọc Vân</t>
  </si>
  <si>
    <t>118/184 Bạch Đằng, P.Phường 14, quận Bình Thạnh (nay là phường Bình Thạnh)</t>
  </si>
  <si>
    <t>24/QĐ-UBND ngày 05/8/2025</t>
  </si>
  <si>
    <t>957/PA-HĐBT(RXT)</t>
  </si>
  <si>
    <t>Lê Thị The và các đồng thừa kế của ông Trần Văn Thủ</t>
  </si>
  <si>
    <t>58/153L Phan Chu Trinh, P.Phường 14, quận Bình Thạnh (nay là phường Bình Thạnh)</t>
  </si>
  <si>
    <t>56/QĐ-UBND ngày 05/8/2025</t>
  </si>
  <si>
    <t>958/PA-HĐBT(RXT)</t>
  </si>
  <si>
    <t>Võ Đông Sơ - Nguyễn Thị Hồng</t>
  </si>
  <si>
    <t>194/50/71 (STC 194/50/59) Bạch Đằng, P.Phường 14, quận Bình Thạnh (nay là phường Bình Thạnh)</t>
  </si>
  <si>
    <t>22/QĐ-UBND ngày 05/8/2025</t>
  </si>
  <si>
    <t>1255/QĐ-UBND ngày 29/06/2026</t>
  </si>
  <si>
    <t>48/QĐ-UBND ngày 15/01/2026; 1437/QĐ-UBND ngày 21/8/2026</t>
  </si>
  <si>
    <t>959/PA-HĐBT(RXT)</t>
  </si>
  <si>
    <t>664/PA-HĐBT(RXT); 439/PA</t>
  </si>
  <si>
    <t>Các đồng thừa kế của ông Huỳnh Văn Hoạch - bà Huỳnh Thị Huệ (Huỳnh Văn Dự nhận tiền)</t>
  </si>
  <si>
    <t>125/106 Bùi Đình Túy, P.Phường 14, quận Bình Thạnh (nay là phường Bình Thạnh)</t>
  </si>
  <si>
    <t>23/QĐ-UBND ngày 05/8/2025</t>
  </si>
  <si>
    <t>960/PA-HĐBT(RXT)</t>
  </si>
  <si>
    <t>Trần Anh Tuấn - Cao Thị Kim Đợi</t>
  </si>
  <si>
    <t>58/165A Phan Chu Trinh, P.Phường 14, quận Bình Thạnh (nay là phường Bình Thạnh)</t>
  </si>
  <si>
    <t>17/QĐ-UBND ngày 05/8/2025</t>
  </si>
  <si>
    <t>961/PA-HĐBT(RXT)</t>
  </si>
  <si>
    <t>Các đồng thừa kế của Nguyễn Văn Xiếu</t>
  </si>
  <si>
    <t>194/50/36 Bạch Đằng, P.Phường 14, quận Bình Thạnh (nay là phường Bình Thạnh)</t>
  </si>
  <si>
    <t>02/QĐ-UBND ngày 05/8/2025</t>
  </si>
  <si>
    <t>917/QĐ-UBND ngày 22/5/2026</t>
  </si>
  <si>
    <t>962/PA-HĐBT(RXT)</t>
  </si>
  <si>
    <t>Nguyễn Văn Thìn</t>
  </si>
  <si>
    <t>194/43/6 Bạch Đằng, P.Phường 14, quận Bình Thạnh (nay là phường Bình Thạnh)</t>
  </si>
  <si>
    <t>18/QĐ-UBND ngày 05/8/2025</t>
  </si>
  <si>
    <t>963/PA-HĐBT(RXT)</t>
  </si>
  <si>
    <t>Nguyễn Văn Ngọc - Dương Thị Hoàng Oanh</t>
  </si>
  <si>
    <t>194/43/23B Bạch Đằng, P.Phường 14, quận Bình Thạnh (nay là phường Bình Thạnh)</t>
  </si>
  <si>
    <t>85/QĐ-UBND ngày 06/8/2025</t>
  </si>
  <si>
    <t>964/PA-HĐBT(RXT)</t>
  </si>
  <si>
    <t>125/77/22 Bùi Đình Túy, P.Phường 14, quận Bình Thạnh (nay là phường Bình Thạnh)</t>
  </si>
  <si>
    <t>04/QĐ-UBND ngày 05/8/2025</t>
  </si>
  <si>
    <t>965/PA-HĐBT(RXT)</t>
  </si>
  <si>
    <t>665/PA-HĐBT(RXT)</t>
  </si>
  <si>
    <t>Các đồng thừa kế của ông Nguyễn Văn Châu - bà Nguyễn Cẩm Xuân Hương</t>
  </si>
  <si>
    <t>194/43/30 Bạch Đằng, P.Phường 14, quận Bình Thạnh (nay là phường Bình Thạnh)</t>
  </si>
  <si>
    <t>07/QĐ-UBND ngày 05/8/2025</t>
  </si>
  <si>
    <t>966/PA-HĐBT(RXT)</t>
  </si>
  <si>
    <t>Trần Văn Hưng - Phùng Thị Mỹ Ánh</t>
  </si>
  <si>
    <t>194/43/40 Bạch Đằng, P.Phường 14, quận Bình Thạnh (nay là phường Bình Thạnh)</t>
  </si>
  <si>
    <t>54/QĐ-UBND ngày 06/8/2025</t>
  </si>
  <si>
    <t>916/QĐ-UBND ngày 22/5/2026</t>
  </si>
  <si>
    <t>1431/QĐ-UBND ngày 20/8/2026</t>
  </si>
  <si>
    <t>967/PA-HĐBT(RXT)</t>
  </si>
  <si>
    <t>Các đồng thừa kế của ông Trần Văn Long và bà Nguyễn Thị Huệ (Nguyễn Thị Bích Thủy nhận tiền)</t>
  </si>
  <si>
    <t>194/43/18 Bạch Đằng, P.Phường 14, quận Bình Thạnh (nay là phường Bình Thạnh)</t>
  </si>
  <si>
    <t>05/QĐ-UBND ngày 05/8/2025</t>
  </si>
  <si>
    <t>1128/QĐ-UBND ngày 12/6/2026</t>
  </si>
  <si>
    <t>968/PA-HĐBT(RXT)</t>
  </si>
  <si>
    <t>340/PA</t>
  </si>
  <si>
    <t>Lê Ngọc Phượng - Bùi Thị Xuyền</t>
  </si>
  <si>
    <t>20/39 Đinh Bộ Lĩnh, P.Phường 14, quận Bình Thạnh (nay là phường Bình Thạnh)</t>
  </si>
  <si>
    <t>55/QĐ-UBND ngày 05/8/2025</t>
  </si>
  <si>
    <t>969/PA-HĐBT(RXT)</t>
  </si>
  <si>
    <t>có ngăn chặn</t>
  </si>
  <si>
    <t>Trịnh Thị Ngọc Thơm (là người đại diện của những người được thừa kế gồm các ông (bà) Trịnh Thị Ngọc Ánh, Trịnh Thị Ngọc Thoa, Nguyễn Ngọc Phương Khanh, Trịnh Ngọc Đăng Khoa và Trịnh Ngọc Đăng Trường)</t>
  </si>
  <si>
    <t>266/16A Bạch Đằng, P.Phường 14, quận Bình Thạnh (nay là phường Bình Thạnh)</t>
  </si>
  <si>
    <t>68/QĐ-UBND ngày 06/8/2025</t>
  </si>
  <si>
    <t>970/PA-HĐBT(RXT)</t>
  </si>
  <si>
    <t>Công ty cổ phần Nosafood (thuê đất) - Công ty cổ phần đầu tư xây dựng kinh doanh nhà Bến Thành (chủ sở hữu nhà)</t>
  </si>
  <si>
    <t>256 - 256A Bạch Đằng, P.Phường 14, quận Bình Thạnh (nay là phường Bình Thạnh)</t>
  </si>
  <si>
    <t>67/QĐ-UBND ngày 06/8/2025</t>
  </si>
  <si>
    <t>971/PA-HĐBT(RXT)</t>
  </si>
  <si>
    <t>Vũ Thị Tuyết</t>
  </si>
  <si>
    <t>194/50/48 Bạch Đằng, P.Phường 14, quận Bình Thạnh (nay là phường Bình Thạnh)</t>
  </si>
  <si>
    <t>64/QĐ-UBND ngày 06/8/2025</t>
  </si>
  <si>
    <t>972/PA-HĐBT(RXT)</t>
  </si>
  <si>
    <t>Lâm Thị Minh Trâm</t>
  </si>
  <si>
    <t>260C Bạch Đằng, P.Phường 14, quận Bình Thạnh (nay là phường Bình Thạnh)</t>
  </si>
  <si>
    <t>65/QĐ-UBND ngày 06/8/2025</t>
  </si>
  <si>
    <t>973/PA-HĐBT(RXT)</t>
  </si>
  <si>
    <t>Các đồng thừa kế của ông Tô Văn Khiêm - bà Lâm Thị Vân</t>
  </si>
  <si>
    <t>258A Bạch Đằng, P.Phường 14, quận Bình Thạnh (nay là phường Bình Thạnh)</t>
  </si>
  <si>
    <t>70/QĐ-UBND ngày 06/8/2025</t>
  </si>
  <si>
    <t>975/PA-HĐBT(RXT)</t>
  </si>
  <si>
    <t>Các đồng thừa kế của ông Trần Thành Đạt và bà Nguyễn Thị Giàu</t>
  </si>
  <si>
    <t>35/2H1 Đinh Bộ Lĩnh, P.Phường 14, quận Bình Thạnh (nay là phường Bình Thạnh)</t>
  </si>
  <si>
    <t>58/QĐ-UBND ngày 06/8/2025</t>
  </si>
  <si>
    <t>976/PA-HĐBT(RXT)</t>
  </si>
  <si>
    <t>64/PA-HĐBT(RXT)</t>
  </si>
  <si>
    <t>Tống Thị Trà</t>
  </si>
  <si>
    <t>58/22/34E Phan Chu Trinh, P.Phường 14, quận Bình Thạnh (nay là phường Bình Thạnh)</t>
  </si>
  <si>
    <t>08/QĐ-UBND ngày 05/8/2025</t>
  </si>
  <si>
    <t>977/PA-HĐBT(RXT)</t>
  </si>
  <si>
    <t>Đặng Thị Minh Cầm</t>
  </si>
  <si>
    <t>58/22/28 Phan Chu Trinh, P.Phường 14, quận Bình Thạnh (nay là phường Bình Thạnh)</t>
  </si>
  <si>
    <t>60/QĐ-UBND ngày 06/8/2025</t>
  </si>
  <si>
    <t>883/QĐ-UBND ngày 18/5/2026</t>
  </si>
  <si>
    <t>978/PA-HĐBT(RXT)</t>
  </si>
  <si>
    <t>ông Nguyễn Văn Tuấn - ông Nguyễn Văn Bình</t>
  </si>
  <si>
    <t>Không số (cạnh nhà số 194/43/18C) Bạch Đằng, P.Phường 14, quận Bình Thạnh (nay là phường Bình Thạnh)</t>
  </si>
  <si>
    <t>61/QĐ-UBND ngày 06/8/2025</t>
  </si>
  <si>
    <t>979/PA-HĐBT(RXT)</t>
  </si>
  <si>
    <t>Đoàn Văn Sành và các đồng thừa kế của bà Nguyễn Thị Lệ</t>
  </si>
  <si>
    <t>246/18F Bạch Đằng, P.Phường 14, quận Bình Thạnh (nay là phường Bình Thạnh)</t>
  </si>
  <si>
    <t>59/QĐ-UBND ngày 06/8/2025</t>
  </si>
  <si>
    <t>980/PA-HĐBT(RXT)</t>
  </si>
  <si>
    <t>Công ty TNHH MTV Dịch vụ công ích quận Bình Thạnh đang sử dụng</t>
  </si>
  <si>
    <t>258B Bạch Đằng, P.Phường 14, quận Bình Thạnh (nay là phường Bình Thạnh)</t>
  </si>
  <si>
    <t>69/QĐ-UBND ngày 06/8/2025</t>
  </si>
  <si>
    <t>981/PA-HĐBT(RXT)</t>
  </si>
  <si>
    <t>Dương Thị Tuyết Nga - Nguyễn Anh Linh</t>
  </si>
  <si>
    <t>246/13/31 Bạch Đằng, P.Phường 14, quận Bình Thạnh (nay là phường Bình Thạnh)</t>
  </si>
  <si>
    <t>16/QĐ-UBND ngày 05/8/2025</t>
  </si>
  <si>
    <t>982/PA-HĐBT(RXT)</t>
  </si>
  <si>
    <t>718/PA-HĐBT(RXT)</t>
  </si>
  <si>
    <t>Đỗ Văn Trường - Nguyễn Thị Thu Hương</t>
  </si>
  <si>
    <t>264A Bạch Đằng, P.Phường 14, quận Bình Thạnh (nay là phường Bình Thạnh)</t>
  </si>
  <si>
    <t>62/QĐ-UBND ngày 06/8/2025</t>
  </si>
  <si>
    <t>983/PA-HĐBT(RXT)</t>
  </si>
  <si>
    <t>Lưu Thị Tươi, Lưu Kim Phụng, Lưu Kim Hiền, Lưu Kim Phương</t>
  </si>
  <si>
    <t>125/74 Bùi Đình Túy, P.Phường 14, quận Bình Thạnh (nay là phường Bình Thạnh)</t>
  </si>
  <si>
    <t>57/QĐ-UBND ngày 06/8/2025</t>
  </si>
  <si>
    <t>984/PA-HĐBT(RXT)</t>
  </si>
  <si>
    <t>Nguyễn Thắng Tiến - Võ Thị Thu Hồng</t>
  </si>
  <si>
    <t>125/84 Bùi Đình Túy, P.Phường 14, quận Bình Thạnh (nay là phường Bình Thạnh)</t>
  </si>
  <si>
    <t>12/QĐ-UBND ngày 05/8/2025</t>
  </si>
  <si>
    <t>985/PA-HĐBT(RXT)</t>
  </si>
  <si>
    <t>Các đồng thừa kế của ông Hồ Văn Hồng - bà Trần Thị Sửu</t>
  </si>
  <si>
    <t>47/65 Bùi Đình Túy, P.Phường 14, quận Bình Thạnh (nay là phường Bình Thạnh)</t>
  </si>
  <si>
    <t>03/QĐ-UBND ngày 05/8/2025</t>
  </si>
  <si>
    <t>1127/QĐ-UBND ngày 12/6/2026</t>
  </si>
  <si>
    <t>986/PA-HĐBT(RXT)</t>
  </si>
  <si>
    <t>Nguyễn Hà Uyên Phương</t>
  </si>
  <si>
    <t>20/35 Đinh Bộ Lĩnh, P.Phường 14, quận Bình Thạnh (nay là phường Bình Thạnh)</t>
  </si>
  <si>
    <t>48/QĐ-UBND ngày 06/8/2025</t>
  </si>
  <si>
    <t>987/PA-HĐBT(RXT)</t>
  </si>
  <si>
    <t>a</t>
  </si>
  <si>
    <t>Trần Thị Kim Sang</t>
  </si>
  <si>
    <t>125/77/20A Bùi Đình Túy, P.Phường 14, quận Bình Thạnh (nay là phường Bình Thạnh)</t>
  </si>
  <si>
    <t>53/QĐ-UBND ngày 06/8/2025</t>
  </si>
  <si>
    <t>988/PA-HĐBT(RXT)</t>
  </si>
  <si>
    <t>Công ty TNHH Xây dựng - Kinh Doanh Địa Ốc Nam An</t>
  </si>
  <si>
    <t>26 Đinh Bộ Lĩnh, P.Phường 14, quận Bình Thạnh (nay là phường Bình Thạnh)</t>
  </si>
  <si>
    <t>52/QĐ-UBND ngày 06/8/2025</t>
  </si>
  <si>
    <t>989/PA-HĐBT(RXT)</t>
  </si>
  <si>
    <t>Nguyễn Xuân Lộc</t>
  </si>
  <si>
    <t>266/26 Bạch Đằng, P.Phường 14, quận Bình Thạnh (nay là phường Bình Thạnh)</t>
  </si>
  <si>
    <t>51/QĐ-UBND ngày 06/8/2025</t>
  </si>
  <si>
    <t>990/PA-HĐBT(RXT)</t>
  </si>
  <si>
    <t>Lâm Thị Út</t>
  </si>
  <si>
    <t>264C Bạch Đằng, P.Phường 14, quận Bình Thạnh (nay là phường Bình Thạnh)</t>
  </si>
  <si>
    <t>50/QĐ-UBND ngày 06/8/2025</t>
  </si>
  <si>
    <t>991/PA-HĐBT(RXT)</t>
  </si>
  <si>
    <t>Ngô Thu Thủy</t>
  </si>
  <si>
    <t>58/22/34C Phan Chu Trinh, P.Phường 14, quận Bình Thạnh (nay là phường Bình Thạnh)</t>
  </si>
  <si>
    <t>39/QĐ-UBND ngày 05/8/2025</t>
  </si>
  <si>
    <t>992/PA-HĐBT(RXT)</t>
  </si>
  <si>
    <t>Ngô Minh Dũng là người đại diện của những người được thừa kế gồm: Ngô Thị Đông Mai</t>
  </si>
  <si>
    <t>427/49 Xô Viết Nghệ Tĩnh, P.Phường 26, quận Bình Thạnh (nay là phường Bình Thạnh)</t>
  </si>
  <si>
    <t>94/QĐ-UBND ngày 06/8/2025</t>
  </si>
  <si>
    <t>993/PA-HĐBT(RXT)</t>
  </si>
  <si>
    <t>Đặng Thị Thanh Thảo</t>
  </si>
  <si>
    <t>111/33 Xô Viết Nghệ Tĩnh, P.Phường 26, quận Bình Thạnh (nay là phường Bình Thạnh)</t>
  </si>
  <si>
    <t>88/QĐ-UBND ngày 06/8/2025</t>
  </si>
  <si>
    <t>1205/QĐ-UBND ngày 20/6/2026</t>
  </si>
  <si>
    <t>994/PA-HĐBT(RXT)</t>
  </si>
  <si>
    <t>327/PA</t>
  </si>
  <si>
    <t>Lê Thị Hạnh - Nguyễn Thanh Tú</t>
  </si>
  <si>
    <t>220/23A Nguyễn Xí, P.Phường 26, quận Bình Thạnh (nay là phường Bình Thạnh)</t>
  </si>
  <si>
    <t>107/QĐ-UBND ngày 06/8/2025</t>
  </si>
  <si>
    <t>995/PA-HĐBT(RXT)</t>
  </si>
  <si>
    <t>Lê Văn Hợp</t>
  </si>
  <si>
    <t>201/104 Nguyễn Xí, P.Phường 26, quận Bình Thạnh (nay là phường Bình Thạnh)</t>
  </si>
  <si>
    <t>106/QĐ-UBND ngày 06/8/2025</t>
  </si>
  <si>
    <t>996/PA-HĐBT(RXT)</t>
  </si>
  <si>
    <t>Hoàng Châu Hồ - Nguyễn Thị Bốn</t>
  </si>
  <si>
    <t>201/108 Nguyễn Xí, P.Phường 26, quận Bình Thạnh (nay là phường Bình Thạnh)</t>
  </si>
  <si>
    <t>90/QĐ-UBND ngày 06/8/2025</t>
  </si>
  <si>
    <t>1454/QĐ-UBND ngày 26/08/2026</t>
  </si>
  <si>
    <t>1130/QĐ-UBND ngày 12/6/2026; 1451/QĐ-UBND ngày 26/8/2026</t>
  </si>
  <si>
    <t>997/PA-HĐBT(RXT)</t>
  </si>
  <si>
    <t>182/PA; 502/PA</t>
  </si>
  <si>
    <t>Lý Thị Hồng Phượng</t>
  </si>
  <si>
    <t>427/71 Xô Viết Nghệ Tĩnh, P.Phường 26, quận Bình Thạnh (nay là phường Bình Thạnh)</t>
  </si>
  <si>
    <t>89/QĐ-UBND ngày 06/8/2025</t>
  </si>
  <si>
    <t>998/PA-HĐBT(RXT)</t>
  </si>
  <si>
    <t>Âu Văn Mẫn - Nguyễn Thị Diệu Thắm</t>
  </si>
  <si>
    <t>220/19 Nguyễn Xí, P.Phường 26, quận Bình Thạnh (nay là phường Bình Thạnh)</t>
  </si>
  <si>
    <t>111/QĐ-UBND ngày 06/8/2025</t>
  </si>
  <si>
    <t>999/PA-HĐBT(RXT)</t>
  </si>
  <si>
    <t>Trần Trắc và các đồng thừa kế của bà Phạm Thị Nhựt</t>
  </si>
  <si>
    <t>75/76 Đinh Bộ Lĩnh, P.Phường 26, quận Bình Thạnh (nay là phường Bình Thạnh)</t>
  </si>
  <si>
    <t>95/QĐ-UBND ngày 06/8/2025</t>
  </si>
  <si>
    <t>1101/QĐ-UBND ngày 10/06/2026</t>
  </si>
  <si>
    <t>1000/PA-HĐBT(RXT)</t>
  </si>
  <si>
    <t>Lê Minh Thông</t>
  </si>
  <si>
    <t>389B Đinh Bộ Lĩnh, P.Phường 26, quận Bình Thạnh (nay là phường Bình Thạnh)</t>
  </si>
  <si>
    <t>108/QĐ-UBND ngày 06/8/2025</t>
  </si>
  <si>
    <t>1001/PA-HĐBT(RXT)</t>
  </si>
  <si>
    <t>Võ Trọng Đính - Trương Thị Quỳnh Hoa</t>
  </si>
  <si>
    <t>79/5BX15 Xô Viết Nghệ Tĩnh, P.Phường 26, quận Bình Thạnh (nay là phường Bình Thạnh)</t>
  </si>
  <si>
    <t>91/QĐ-UBND ngày 06/8/2025</t>
  </si>
  <si>
    <t>1002/PA-HĐBT(RXT)</t>
  </si>
  <si>
    <t>Các đồng thừa kế của ông Trần Viết Huynh và bà Trương Thị Quất</t>
  </si>
  <si>
    <t>59/17 Đinh Bộ Lĩnh, P.Phường 26, quận Bình Thạnh (nay là phường Bình Thạnh)</t>
  </si>
  <si>
    <t>37/QĐ-UBND ngày 05/8/2025</t>
  </si>
  <si>
    <t>1367/QĐ-UBND ngày 28/07/2026</t>
  </si>
  <si>
    <t>1003/PA-HĐBT(RXT)</t>
  </si>
  <si>
    <t>Hoàng Trọng Hải - Nguyễn Thị Hoàng Quyên</t>
  </si>
  <si>
    <t>79/5BX12 Xô Viết Nghệ Tĩnh, P.Phường 26, quận Bình Thạnh (nay là phường Bình Thạnh)</t>
  </si>
  <si>
    <t>92/QĐ-UBND ngày 06/8/2025</t>
  </si>
  <si>
    <t>1004/PA-HĐBT(RXT)</t>
  </si>
  <si>
    <t>Trần Văn Thành - Mai Thị Huệ</t>
  </si>
  <si>
    <t>Không số Xô Viết Nghệ Tĩnh, P.Phường 26, quận Bình Thạnh (nay là phường Bình Thạnh)</t>
  </si>
  <si>
    <t>93/QĐ-UBND ngày 06/8/2025</t>
  </si>
  <si>
    <t>1005/PA-HĐBT(RXT)</t>
  </si>
  <si>
    <t>547/PA-HĐBT(RXT)</t>
  </si>
  <si>
    <t>Ngô Thị Ngọc Thúy</t>
  </si>
  <si>
    <t>387 Đinh Bộ Lĩnh, P.Phường 26, quận Bình Thạnh (nay là phường Bình Thạnh)</t>
  </si>
  <si>
    <t>46/QĐ-UBND ngày 05/8/2025</t>
  </si>
  <si>
    <t>1006/PA-HĐBT(RXT)</t>
  </si>
  <si>
    <t>Nguyễn Thanh Chúc - Ngô Tôn Ngọc Liên</t>
  </si>
  <si>
    <t>79/5BX14 Xô Viết Nghệ Tĩnh, P.Phường 26, quận Bình Thạnh (nay là phường Bình Thạnh)</t>
  </si>
  <si>
    <t>103/QĐ-UBND ngày 06/8/2025</t>
  </si>
  <si>
    <t>1007/PA-HĐBT(RXT)</t>
  </si>
  <si>
    <t>Trịnh Hữu Viên - Nguyễn Thị Phương</t>
  </si>
  <si>
    <t>377/4 Đinh Bộ Lĩnh, P.Phường 26, quận Bình Thạnh (nay là phường Bình Thạnh)</t>
  </si>
  <si>
    <t>100/QĐ-UBND ngày 06/8/2025</t>
  </si>
  <si>
    <t>1008/PA-HĐBT(RXT)</t>
  </si>
  <si>
    <t>Đinh Viết Khải - Vũ Dương Thị Thanh Hương</t>
  </si>
  <si>
    <t>79/5BX10 Xô Viết Nghệ Tĩnh (đường Nguyễn Xí), P.Phường 26, quận Bình Thạnh (nay là phường Bình Thạnh)</t>
  </si>
  <si>
    <t>87/QĐ-UBND ngày 06/8/2025</t>
  </si>
  <si>
    <t>1009/PA-HĐBT(RXT)</t>
  </si>
  <si>
    <t>Phạm Thị Thu</t>
  </si>
  <si>
    <t>201/60/40 Nguyễn Xí, P.Phường 26, quận Bình Thạnh (nay là phường Bình Thạnh)</t>
  </si>
  <si>
    <t>96/QĐ-UBND ngày 06/8/2025</t>
  </si>
  <si>
    <t>1010/PA-HĐBT(RXT)</t>
  </si>
  <si>
    <t>Lê Viết An - Nguyễn Thị Ánh</t>
  </si>
  <si>
    <t>209A (79/5B/X07) Nguyễn Xí, P.Phường 26, quận Bình Thạnh (nay là phường Bình Thạnh)</t>
  </si>
  <si>
    <t>110/QĐ-UBND ngày 06/8/2025</t>
  </si>
  <si>
    <t>1011/PA-HĐBT(RXT)</t>
  </si>
  <si>
    <t>Nguyễn Văn Thứ - Lương Thị Thủy</t>
  </si>
  <si>
    <t>201/60/60 Nguyễn Xí, P.Phường 26, quận Bình Thạnh (nay là phường Bình Thạnh)</t>
  </si>
  <si>
    <t>105/QĐ-UBND ngày 06/8/2025</t>
  </si>
  <si>
    <t>1012/PA-HĐBT(RXT)</t>
  </si>
  <si>
    <t>Nguyễn Đức Tuyến - Nguyễn Thị Phương</t>
  </si>
  <si>
    <t>59/42 Đinh Bộ Lĩnh, P.Phường 26, quận Bình Thạnh (nay là phường Bình Thạnh)</t>
  </si>
  <si>
    <t>102/QĐ-UBND ngày 06/8/2025</t>
  </si>
  <si>
    <t>1013/PA-HĐBT(RXT)</t>
  </si>
  <si>
    <t>Các đồng thừa kế của bà Phạm Thị An</t>
  </si>
  <si>
    <t>59/52 Đinh Bộ Lĩnh, P.Phường 26, quận Bình Thạnh (nay là phường Bình Thạnh)</t>
  </si>
  <si>
    <t>98/QĐ-UBND ngày 06/8/2025</t>
  </si>
  <si>
    <t>1014/PA-HĐBT(RXT)</t>
  </si>
  <si>
    <t>Trần Giao - Huỳnh Thị Uyên Trang</t>
  </si>
  <si>
    <t>427/32/1 Xô Viết Nghệ Tĩnh, P.Phường 26, quận Bình Thạnh (nay là phường Bình Thạnh)</t>
  </si>
  <si>
    <t>97/QĐ-UBND ngày 06/8/2025</t>
  </si>
  <si>
    <t>1015/PA-HĐBT(RXT)</t>
  </si>
  <si>
    <t>Đinh Thị Đan Phương - Lê Minh Quang</t>
  </si>
  <si>
    <t>79/24H Nguyễn Xí, P.Phường 26, quận Bình Thạnh (nay là phường Bình Thạnh)</t>
  </si>
  <si>
    <t>109/QĐ-UBND ngày 06/8/2025</t>
  </si>
  <si>
    <t>1016/PA-HĐBT(RXT)</t>
  </si>
  <si>
    <t>Nguyễn Thị Bé</t>
  </si>
  <si>
    <t>Không số Nguyễn Xí, P.Phường 26, quận Bình Thạnh (nay là phường Bình Thạnh)</t>
  </si>
  <si>
    <t>101/QĐ-UBND ngày 06/8/2025</t>
  </si>
  <si>
    <t>1087/QĐ-UBND ngày 09/06/2026</t>
  </si>
  <si>
    <t>1017/PA-HĐBT(RXT)</t>
  </si>
  <si>
    <t>Trần Văn Tài - Trần Thị Cẩm Thơm</t>
  </si>
  <si>
    <t>99/QĐ-UBND ngày 06/8/2025</t>
  </si>
  <si>
    <t>1018/PA-HĐBT(RXT)</t>
  </si>
  <si>
    <t>Đối Thị Bích Na</t>
  </si>
  <si>
    <t>167 Chu Văn An, P.Phường 26, quận Bình Thạnh (nay là phường Bình Thạnh)</t>
  </si>
  <si>
    <t>112/QĐ-UBND ngày 08/8/2025</t>
  </si>
  <si>
    <t>1019/PA-HĐBT(RXT)</t>
  </si>
  <si>
    <t>Trương Minh Ngôn</t>
  </si>
  <si>
    <t>381 Đinh Bộ Lĩnh, P.Phường 26, quận Bình Thạnh (nay là phường Bình Thạnh)</t>
  </si>
  <si>
    <t>104/QĐ-UBND ngày 06/8/2025</t>
  </si>
  <si>
    <t>1020/PA-HĐBT(RXT)</t>
  </si>
  <si>
    <t>Lê Minh Trung - Hoàng Kim Thoa</t>
  </si>
  <si>
    <t>79/5BX9B Xô Viết Nghệ Tĩnh (nay là đường Nguyễn Xí), P.Phường 26, quận Bình Thạnh (nay là phường Bình Thạnh)</t>
  </si>
  <si>
    <t>35/QĐ-UBND ngày 05/8/2025</t>
  </si>
  <si>
    <t>1021/PA-HĐBT(RXT)</t>
  </si>
  <si>
    <t>Phạm Đức Châu - Vũ Thị Tính</t>
  </si>
  <si>
    <t>209H (79/5BX01 Xô Viết Nghệ Tĩnh) Nguyễn Xí, P.Phường 26, quận Bình Thạnh (nay là phường Bình Thạnh)</t>
  </si>
  <si>
    <t>31/QĐ-UBND ngày 05/8/2025</t>
  </si>
  <si>
    <t>1022/PA-HĐBT(RXT)</t>
  </si>
  <si>
    <t>59/17B Đinh Bộ Lĩnh, P.Phường 26, quận Bình Thạnh (nay là phường Bình Thạnh)</t>
  </si>
  <si>
    <t>44/QĐ-UBND ngày 05/8/2025</t>
  </si>
  <si>
    <t>1218/QĐ-UBND ngày 20/6/2026</t>
  </si>
  <si>
    <t>1023/PA-HĐBT(RXT)</t>
  </si>
  <si>
    <t>326/PA</t>
  </si>
  <si>
    <t>ông Trịnh Quang Hiệp - bà Nguyễn Thị Trang</t>
  </si>
  <si>
    <t>184/3/6B18 Nguyễn Xí, P.Phường 26, quận Bình Thạnh (nay là phường Bình Thạnh)</t>
  </si>
  <si>
    <t>114/QĐ-UBND ngày 08/8/2025</t>
  </si>
  <si>
    <t>1327/QĐ-UBND ngày 30/12/2025</t>
  </si>
  <si>
    <t>1024/PA-HĐBT(RXT)</t>
  </si>
  <si>
    <t>586/PA-HĐBT(RXT)</t>
  </si>
  <si>
    <t>184/3/6B10 Nguyễn Xí, P.Phường 26, quận Bình Thạnh (nay là phường Bình Thạnh)</t>
  </si>
  <si>
    <t>41/QĐ-UBND ngày 05/8/2025</t>
  </si>
  <si>
    <t>1025/PA-HĐBT(RXT)</t>
  </si>
  <si>
    <t>Nguyễn Thị Phương Linh</t>
  </si>
  <si>
    <t>427/38A Xô Viết Nghệ Tĩnh, P.Phường 26, quận Bình Thạnh (nay là phường Bình Thạnh)</t>
  </si>
  <si>
    <t>43/QĐ-UBND ngày 05/8/2025</t>
  </si>
  <si>
    <t>1026/PA-HĐBT(RXT)</t>
  </si>
  <si>
    <t>Huỳnh Ngọc Phủ - Trần Thị Mỹ Hạnh</t>
  </si>
  <si>
    <t>220/56 Nguyễn Xí, P.Phường 26, quận Bình Thạnh (nay là phường Bình Thạnh)</t>
  </si>
  <si>
    <t>34/QĐ-UBND ngày 05/8/2025</t>
  </si>
  <si>
    <t>1027/PA-HĐBT(RXT)</t>
  </si>
  <si>
    <t>Nguyễn Viết Lưỡng (chết) - Nguyễn Thị Sao</t>
  </si>
  <si>
    <t>209D (79/5BX04) Nguyễn Xí, P.Phường 26, quận Bình Thạnh (nay là phường Bình Thạnh)</t>
  </si>
  <si>
    <t>33/QĐ-UBND ngày 05/8/2025</t>
  </si>
  <si>
    <t>1028/PA-HĐBT(RXT)</t>
  </si>
  <si>
    <t>Lê Trung Kiên - Phạm Thị Thu</t>
  </si>
  <si>
    <t>79/5B/X13 Xô Viết Nghệ Tĩnh (nay là đường Nguyễn Xí), P.Phường 26, quận Bình Thạnh (nay là phường Bình Thạnh)</t>
  </si>
  <si>
    <t>42/QĐ-UBND ngày 05/8/2025</t>
  </si>
  <si>
    <t>1329/QĐ-UBND ngày 14/7/2026</t>
  </si>
  <si>
    <t>1029/PA-HĐBT(RXT)</t>
  </si>
  <si>
    <t>446/PA</t>
  </si>
  <si>
    <t>Nguyễn Văn Đức - Trần Thị Thanh Hường</t>
  </si>
  <si>
    <t>220/51 Nguyễn Xí, P.Phường 26, quận Bình Thạnh (nay là phường Bình Thạnh)</t>
  </si>
  <si>
    <t>47/QĐ-UBND ngày 05/8/2025</t>
  </si>
  <si>
    <t>1030/PA-HĐBT(RXT)</t>
  </si>
  <si>
    <t>Nguyễn Trung Hậu - Nguyễn Thị Thu Trang</t>
  </si>
  <si>
    <t>75/68 Đinh Bộ Lĩnh, P.Phường 26, quận Bình Thạnh (nay là phường Bình Thạnh)</t>
  </si>
  <si>
    <t>32/QĐ-UBND ngày 05/8/2025</t>
  </si>
  <si>
    <t>1031/PA-HĐBT(RXT)</t>
  </si>
  <si>
    <t>59/17A Đinh Bộ Lĩnh, P.Phường 26, quận Bình Thạnh (nay là phường Bình Thạnh)</t>
  </si>
  <si>
    <t>38/QĐ-UBND ngày 05/8/2025</t>
  </si>
  <si>
    <t>1457/QĐ-UBND ngày 28/08/2026</t>
  </si>
  <si>
    <t>1032/PA-HĐBT(RXT)</t>
  </si>
  <si>
    <t>Trương Thị Kim Ngọc</t>
  </si>
  <si>
    <t>409 Xô Viết Nghệ Tĩnh, P.Phường 26, quận Bình Thạnh (nay là phường Bình Thạnh)</t>
  </si>
  <si>
    <t>45/QĐ-UBND ngày 05/8/2025</t>
  </si>
  <si>
    <t>1033/PA-HĐBT(RXT)</t>
  </si>
  <si>
    <t>Nguyễn Thị Thanh Hồng - Tô Văn Phi Hùng</t>
  </si>
  <si>
    <t>220/27 Nguyễn Xí, P.Phường 26, quận Bình Thạnh (nay là phường Bình Thạnh)</t>
  </si>
  <si>
    <t>40/QĐ-UBND ngày 05/8/2025</t>
  </si>
  <si>
    <t>1034/PA-HĐBT(RXT)</t>
  </si>
  <si>
    <t>Bùi Văn Bông và các đồng thừa kế của bà Nguyễn Thị Ngọc</t>
  </si>
  <si>
    <t>Không số (số tự cho 184/3/6B24) Nguyễn Xí, P.Phường 26, quận Bình Thạnh (nay là phường Bình Thạnh)</t>
  </si>
  <si>
    <t>115/QĐ-UBND ngày 08/8/2025</t>
  </si>
  <si>
    <t>1000/QĐ-UBND ngày 04/06/2026</t>
  </si>
  <si>
    <t>1035/PA-HĐBT(RXT)</t>
  </si>
  <si>
    <t>Trần Ngọc Vân</t>
  </si>
  <si>
    <t>184/3/6B25 Nguyễn Xí, P.Phường 26, quận Bình Thạnh (nay là phường Bình Thạnh)</t>
  </si>
  <si>
    <t>36/QĐ-UBND ngày 05/8/2025</t>
  </si>
  <si>
    <t>1491/QĐ-UBND ngày 11/9/2026</t>
  </si>
  <si>
    <t>1036/PA-HĐBT(RXT)</t>
  </si>
  <si>
    <t>490/PA</t>
  </si>
  <si>
    <t>Bùi Thị Được</t>
  </si>
  <si>
    <t>15/QĐ-UBND ngày 05/8/2025</t>
  </si>
  <si>
    <t>1037/PA-HĐBT(RXT)</t>
  </si>
  <si>
    <t>Các đồng thừa kế của bà Nguyễn Thị Lệ</t>
  </si>
  <si>
    <t>220/62 Nguyễn Xí, P.Phường 26, quận Bình Thạnh (nay là phường Bình Thạnh)</t>
  </si>
  <si>
    <t>14/QĐ-UBND ngày 05/8/2025</t>
  </si>
  <si>
    <t>1038/PA-HĐBT(RXT)</t>
  </si>
  <si>
    <t>Nguyễn Thu Trang</t>
  </si>
  <si>
    <t>169 Chu Văn An, P.Phường 26, quận Bình Thạnh (nay là phường Bình Thạnh)</t>
  </si>
  <si>
    <t>13/QĐ-UBND ngày 05/8/2025</t>
  </si>
  <si>
    <t>1076/PA-HĐBT(RXT)</t>
  </si>
  <si>
    <t>588/PA-HĐBT(RXT)</t>
  </si>
  <si>
    <t>Các đồng thừa kế của Trần Văn Phước và Huỳnh Thị Nhan</t>
  </si>
  <si>
    <t>194/50/39 Bạch Đằng, P.Phường 14, quận Bình Thạnh (nay là phường Bình Thạnh)</t>
  </si>
  <si>
    <t>63/QĐ-UBND ngày 06/8/2025</t>
  </si>
  <si>
    <t>1217/QĐ-UBND ngày 20/6/2026</t>
  </si>
  <si>
    <t>1078/PA-HĐBT(RXT)</t>
  </si>
  <si>
    <t>390/PA</t>
  </si>
  <si>
    <t>Các đồng thừa kế của bà Lê Thị Ánh</t>
  </si>
  <si>
    <t>220/23 Nguyễn Xí, P.Phường 26, quận Bình Thạnh (nay là phường Bình Thạnh)</t>
  </si>
  <si>
    <t>66/QĐ-UBND ngày 06/8/2025</t>
  </si>
  <si>
    <t>1079/PA-HĐBT(RXT)</t>
  </si>
  <si>
    <t>Các đồng thừa kế của ông Trần Thanh Bích</t>
  </si>
  <si>
    <t>194/50/40 Bạch Đằng, P.Phường 14, quận Bình Thạnh (nay là phường Bình Thạnh)</t>
  </si>
  <si>
    <t>QĐ 328/QĐ-UBND ngày 22/10/2025</t>
  </si>
  <si>
    <t>168/QĐ-UBND ngày 13/10/2025</t>
  </si>
  <si>
    <t>45/PA-HĐBT (RXT)</t>
  </si>
  <si>
    <t>Nguyễn Trung Hiếu</t>
  </si>
  <si>
    <t>20/10 Đinh Bộ Lĩnh, P.Bình Thạnh (Phường 14, quận Bình Thạnh cũ)</t>
  </si>
  <si>
    <t>173/QĐ-UBND ngày 13/10/2025</t>
  </si>
  <si>
    <t>1089/QĐ-UBND ngày 09/06/2026; 1495/QĐ-UBND ngày 11/09/2026</t>
  </si>
  <si>
    <t>46/PA-HĐBT (RXT)</t>
  </si>
  <si>
    <t>Đỗ Nguyên Bình</t>
  </si>
  <si>
    <t>47/57 Bùi Đình Túy, P.Bình Thạnh (Phường 14, quận Bình Thạnh cũ)</t>
  </si>
  <si>
    <t>Trâm</t>
  </si>
  <si>
    <t>164/QĐ-UBND ngày 13/10/2025</t>
  </si>
  <si>
    <t>Sẽ giảm dự toán tiền thưởng</t>
  </si>
  <si>
    <t>47/PA-HĐBT (RXT)</t>
  </si>
  <si>
    <t>thu hồi diện tích quá nhỏ nên phòng KT-HT không lấy mặt bằng=&gt; ko bàn giao mặt bằng</t>
  </si>
  <si>
    <t>Nguyễn Minh Mẫn - Lê Thị Nga</t>
  </si>
  <si>
    <t>47/84 Bùi Đình Túy, P.Bình Thạnh (Phường 24, quận Bình Thạnh cũ)</t>
  </si>
  <si>
    <t>179/QĐ-UBND ngày 13/10/2025</t>
  </si>
  <si>
    <t>48/PA-HĐBT (RXT)</t>
  </si>
  <si>
    <t>Trịnh Thị Hằng và các đồng thừa kế của ông Nguyễn Ngọc Văn</t>
  </si>
  <si>
    <t>79/5BX16 Xô Viết Nghệ Tĩnh, P.Bình Thạnh (Phường 26, quận Bình Thạnh cũ)</t>
  </si>
  <si>
    <t>152/QĐ-UBND ngày 13/10/2025</t>
  </si>
  <si>
    <t>49/PA-HĐBT (RXT)</t>
  </si>
  <si>
    <t>Lê Duy Phong</t>
  </si>
  <si>
    <t>220/20 Nguyễn Xí, P.Bình Thạnh (Phường 26, quận Bình Thạnh cũ)</t>
  </si>
  <si>
    <t>161/QĐ-UBND ngày 13/10/2025</t>
  </si>
  <si>
    <t>50/PA-HĐBT (RXT)</t>
  </si>
  <si>
    <t>Nguyễn Thị An và các đồng thừa kế của ông Lê Đoan</t>
  </si>
  <si>
    <t>220/18 Nguyễn Xí, P.Bình Thạnh (Phường 26, quận Bình Thạnh cũ)</t>
  </si>
  <si>
    <t>180/QĐ-UBND ngày 13/10/2025</t>
  </si>
  <si>
    <t>51/PA-HĐBT (RXT)</t>
  </si>
  <si>
    <t>Phạm Thị Ngoan và các đồng thừa kế của ông Nguyễn Văn Hoan</t>
  </si>
  <si>
    <t>79/5BX11 Xô Viết Nghệ Tĩnh, P.Bình Thạnh (Phường 26, quận Bình Thạnh cũ)</t>
  </si>
  <si>
    <t>158/QD-UBND ngày 13/10/2025</t>
  </si>
  <si>
    <t>52/PA-HĐBT (RXT)</t>
  </si>
  <si>
    <t>Trương Hoàng Vũ - Bùi Thị Thúy Hồng</t>
  </si>
  <si>
    <t>58/96/32A Phan Chu Trinh, P.Bình Thạnh (Phường 14, quận Bình Thạnh cũ)</t>
  </si>
  <si>
    <t>174/QD-UBND ngày 13/10/2025</t>
  </si>
  <si>
    <t>53/PA-HĐBT (RXT)</t>
  </si>
  <si>
    <t>Lê Thị Thơi và các đồng thừa kế của ông Hồ Thương</t>
  </si>
  <si>
    <t>Không số Nơ Trang Long, P.Bình Thạnh (Phường 12, quận Bình Thạnh cũ)</t>
  </si>
  <si>
    <t>176/QD-UBND ngày 13/10/2025</t>
  </si>
  <si>
    <t>54/PA-HĐBT (RXT)</t>
  </si>
  <si>
    <t>Lê Hữu Phú - Nguyễn Thị Kim Chi</t>
  </si>
  <si>
    <t>220/22 Nguyễn Xí, P.Bình Thạnh (Phường 26, quận Bình Thạnh cũ)</t>
  </si>
  <si>
    <t>157/QD-UBND ngày 13/10/2025</t>
  </si>
  <si>
    <t>55/PA-HĐBT (RXT)</t>
  </si>
  <si>
    <t>Dương Đức Trung - Lê Thị Trúc Anh</t>
  </si>
  <si>
    <t>405/12 (bên trái) Xô Viết Nghệ Tĩnh, P.Bình Thạnh (Phường 14, quận Bình Thạnh cũ)</t>
  </si>
  <si>
    <t>167/QD-UBND ngày 13/10/2025</t>
  </si>
  <si>
    <t>56/PA-HĐBT (RXT)</t>
  </si>
  <si>
    <t>Phạm Thị Đào</t>
  </si>
  <si>
    <t>389 Đinh Bộ Lĩnh, P.Bình Thạnh (Phường 26, quận Bình Thạnh cũ)</t>
  </si>
  <si>
    <t>165/QD-UBND ngày 13/10/2025</t>
  </si>
  <si>
    <t>58/PA-HĐBT (RXT)</t>
  </si>
  <si>
    <t>Võ Anh Tỏa - Nguyễn Thị Ly</t>
  </si>
  <si>
    <t>169/QD-UBND ngày 13/10/2025</t>
  </si>
  <si>
    <t>1179/QĐ-UBND ngày 17/6/2026</t>
  </si>
  <si>
    <t>59/PA-HĐBT (RXT)</t>
  </si>
  <si>
    <t>329/PA</t>
  </si>
  <si>
    <t>Phan Thị Lợi</t>
  </si>
  <si>
    <t>47B Đinh Bộ Lĩnh, P.Bình Thạnh (Phường 14, quận Bình Thạnh cũ)</t>
  </si>
  <si>
    <t>175/QD-UBND ngày 13/10/2025</t>
  </si>
  <si>
    <t>116/QĐ-UBND ngày 23/01/2026</t>
  </si>
  <si>
    <t>60/PA-HĐBT (RXT)</t>
  </si>
  <si>
    <t>Bảng DT+ 01/TTr</t>
  </si>
  <si>
    <t>Trịnh Thị Thủy và các đồng thừa kế của ông Trịnh Văn Trường</t>
  </si>
  <si>
    <t>160/QD-UBND ngày 13/10/2025</t>
  </si>
  <si>
    <t>61/PA-HĐBT (RXT)</t>
  </si>
  <si>
    <t>Phạm Văn Bự - Nguyễn Thu Thảo</t>
  </si>
  <si>
    <t>47 Đinh Bộ Lĩnh, P.Bình Thạnh (Phường 14, quận Bình Thạnh cũ)</t>
  </si>
  <si>
    <t>155/QD-UBND ngày 13/10/2025</t>
  </si>
  <si>
    <t>1242/QĐ-UBND ngày 25/6/2026</t>
  </si>
  <si>
    <t>62/PA-HĐBT (RXT)</t>
  </si>
  <si>
    <t>Trần Minh Nhựt - Võ Thị Kim Hạnh</t>
  </si>
  <si>
    <t>184/3/6B29 Nguyễn Xí, P.Bình Thạnh (Phường 26, quận Bình Thạnh cũ)</t>
  </si>
  <si>
    <t>156/QD-UBND ngày 13/10/2025</t>
  </si>
  <si>
    <t>1452/QĐ-UBND ngày 26/08/2026</t>
  </si>
  <si>
    <t>1361/QĐ-UBND ngày 28/7/2026</t>
  </si>
  <si>
    <t>63/PA-HĐBT (RXT)</t>
  </si>
  <si>
    <t>518/PA</t>
  </si>
  <si>
    <t>Hồ Thị Kim Ngọc</t>
  </si>
  <si>
    <t>184/3/6B5 Nguyễn Xí, P.Bình Thạnh (Phường 26, quận Bình Thạnh cũ)</t>
  </si>
  <si>
    <t>162/QD-UBND ngày 13/10/2025</t>
  </si>
  <si>
    <t>64/PA-HĐBT (RXT)</t>
  </si>
  <si>
    <t>Nguyễn Thị Ngọc Hồng</t>
  </si>
  <si>
    <t>194/43/38 Bạch Đằng, P.Bình Thạnh (Phường 14, quận Bình Thạnh cũ)</t>
  </si>
  <si>
    <t>159/QD-UBND ngày 13/10/2025</t>
  </si>
  <si>
    <t>821/QĐ-UBND ngày 11/05/2026; 1323/QĐ-UBND ngày 14/07/2026</t>
  </si>
  <si>
    <t>65/PA-HĐBT (RXT)</t>
  </si>
  <si>
    <t>Lê Văn Sáng - Nguyễn Thị Bé Năm</t>
  </si>
  <si>
    <t>151/QD-UBND ngày 13/10/2025</t>
  </si>
  <si>
    <t>66/PA-HĐBT (RXT)</t>
  </si>
  <si>
    <t>Các đồng thừa kế của ông Lục Văn Sanh và bà Huỳnh Thị Mân</t>
  </si>
  <si>
    <t>170/QD-UBND ngày 13/10/2025</t>
  </si>
  <si>
    <t>67/PA-HĐBT (RXT)</t>
  </si>
  <si>
    <t>Nguyễn Tấn Đăng Khoa - Vũ Tuyết Phương</t>
  </si>
  <si>
    <t>246/15D Bạch Đằng, P.Bình Thạnh (Phường 14, quận Bình Thạnh cũ)</t>
  </si>
  <si>
    <t>153/QD-UBND ngày 13/10/2025</t>
  </si>
  <si>
    <t>68/PA-HĐBT (RXT)</t>
  </si>
  <si>
    <t>Nguyễn Thị Thúy Hằng</t>
  </si>
  <si>
    <t>290/33/42A Nơ Trang Long, P.Bình Thạnh (Phường 12, quận Bình Thạnh cũ)</t>
  </si>
  <si>
    <t>181/QD-UBND ngày 13/10/2025</t>
  </si>
  <si>
    <t>69/PA-HĐBT (RXT)</t>
  </si>
  <si>
    <t>Nguyễn Thanh Hải - Nguyễn Thị Vân</t>
  </si>
  <si>
    <t>201/118 Nguyễn Xí, P.Bình Thạnh (Phường 26, quận Bình Thạnh cũ)</t>
  </si>
  <si>
    <t>171/QD-UBND ngày 13/10/2025</t>
  </si>
  <si>
    <t>70/PA-HĐBT (RXT)</t>
  </si>
  <si>
    <t>Các đồng thừa kế của bà Trần Thị Thu Hà</t>
  </si>
  <si>
    <t>Không số Xô Viết Nghệ Tĩnh, P.Bình Thạnh (Phường 26, quận Bình Thạnh cũ)</t>
  </si>
  <si>
    <t>177/QD-UBND ngày 13/10/2025</t>
  </si>
  <si>
    <t>71/PA-HĐBT (RXT)</t>
  </si>
  <si>
    <t>Công ty cổ phần xây dựng và thương mại Đất Phương Nam</t>
  </si>
  <si>
    <t>241A Chu Văn An, P.Bình Thạnh (Phường 12, quận Bình Thạnh cũ)</t>
  </si>
  <si>
    <t>205/QD-UBND ngày 15/10/2025</t>
  </si>
  <si>
    <t>72/PA-HĐBT (RXT)</t>
  </si>
  <si>
    <t>x</t>
  </si>
  <si>
    <t>Nguyễn Thị Khỏe</t>
  </si>
  <si>
    <t>Không số (phía trước nhà 194/56H) Bạch Đằng, P.Bình Thạnh (Phường 14, quận Bình Thạnh cũ)</t>
  </si>
  <si>
    <t>172/QD-UBND ngày 13/10/2025</t>
  </si>
  <si>
    <t>73/PA-HĐBT (RXT)</t>
  </si>
  <si>
    <t>441/PA</t>
  </si>
  <si>
    <t>Phạm Văn Chương - Đào Thu Hương</t>
  </si>
  <si>
    <t>125/108 Bùi Đình Túy, P.Bình Thạnh (Phường 14, quận Bình Thạnh cũ)</t>
  </si>
  <si>
    <t>163/QD-UBND ngày 13/10/2025</t>
  </si>
  <si>
    <t>372/QĐ-UBND ngày 07/04/2026; 1432/QĐ-UBND ngày 20/08/2026</t>
  </si>
  <si>
    <t>74/PA-HĐBT (RXT)</t>
  </si>
  <si>
    <t>Nguyễn Duy Tự - Nguyễn Thị Trâm</t>
  </si>
  <si>
    <t>45/1C Đinh Bộ Lĩnh, P.Bình Thạnh (Phường 14, quận Bình Thạnh cũ)</t>
  </si>
  <si>
    <t>166/QD-UBND ngày 13/10/2025</t>
  </si>
  <si>
    <t>75/PA-HĐBT (RXT)</t>
  </si>
  <si>
    <t>Ngô Trọng Toàn - Trương Hoàng Loan</t>
  </si>
  <si>
    <t>266/24 Bạch Đằng, P.Bình Thạnh (Phường 14, quận Bình Thạnh cũ)</t>
  </si>
  <si>
    <t>154/QD-UBND ngày 13/10/2025</t>
  </si>
  <si>
    <t>76/PA-HĐBT (RXT)</t>
  </si>
  <si>
    <t>Nguyễn Ngọc Thọ - Đặng Thị Nga</t>
  </si>
  <si>
    <t>32/36/40A (số cũ: 662/78) Bùi Đình Túy, P.Bình Thạnh (Phường 12, quận Bình Thạnh cũ)</t>
  </si>
  <si>
    <t>186/QD-UBND ngày 14/10/2025</t>
  </si>
  <si>
    <t>77/PA-HĐBT (RXT)</t>
  </si>
  <si>
    <t>Nguyễn Thị Loan</t>
  </si>
  <si>
    <t>47/61 Bùi Đình Túy, P.Bình Thạnh (Phường 14, quận Bình Thạnh cũ)</t>
  </si>
  <si>
    <t>183/QD-UBND ngày 14/10/2025</t>
  </si>
  <si>
    <t>78/PA-HĐBT (RXT)</t>
  </si>
  <si>
    <t>Trịnh Vũ Long</t>
  </si>
  <si>
    <t>201/112 Nguyễn Xí, P.Bình Thạnh (Phường 26, quận Bình Thạnh cũ)</t>
  </si>
  <si>
    <t>182/QD-UBND ngày 14/10/2025</t>
  </si>
  <si>
    <t>79/PA-HĐBT (RXT)</t>
  </si>
  <si>
    <t>Phạm Văn Đoan - Vũ Thị Hương</t>
  </si>
  <si>
    <t>209B Nguyễn Xí, P.Bình Thạnh (Phường 26, quận Bình Thạnh cũ)</t>
  </si>
  <si>
    <t>184/QD-UBND ngày 14/10/2025</t>
  </si>
  <si>
    <t>80/PA-HĐBT (RXT)</t>
  </si>
  <si>
    <t>Nguyễn Thị Thu Giang (là đồng sở hữu và đại diện cho các đồng thừa kế của ông Phí Văn Phúc)</t>
  </si>
  <si>
    <t>201/106 Nguyễn Xí, P.Bình Thạnh (Phường 26, quận Bình Thạnh cũ)</t>
  </si>
  <si>
    <t>191/QD-UBND ngày 14/10/2025</t>
  </si>
  <si>
    <t>81/PA-HĐBT (RXT)</t>
  </si>
  <si>
    <t>Vũ Chí Tâm - Nguyễn Thị Hường</t>
  </si>
  <si>
    <t>220/8 Nguyễn Xí, P.Bình Thạnh (Phường 26, quận Bình Thạnh cũ)</t>
  </si>
  <si>
    <t>187/QD-UBND ngày 14/10/2025</t>
  </si>
  <si>
    <t>82/PA-HĐBT (RXT)</t>
  </si>
  <si>
    <t>Lê Xuân Ngọc - Lê Thị Liên</t>
  </si>
  <si>
    <t>201/60/44 Nguyễn Xí, P.Bình Thạnh (Phường 26, quận Bình Thạnh cũ)</t>
  </si>
  <si>
    <t>188/QD-UBND ngày 14/10/2025</t>
  </si>
  <si>
    <t>83/PA-HĐBT (RXT)</t>
  </si>
  <si>
    <t>Nguyễn Ngọc Nam Trân</t>
  </si>
  <si>
    <t>405B Xô Viết Nghệ Tĩnh, P.Bình Thạnh (Phường 14, quận Bình Thạnh cũ)</t>
  </si>
  <si>
    <t>189/QD-UBND ngày 14/10/2025</t>
  </si>
  <si>
    <t>84/PA-HĐBT (RXT)</t>
  </si>
  <si>
    <t>Trần Đình Quyền - Bùi Thị Ngọc Tâm</t>
  </si>
  <si>
    <t>405/10 Xô Viết Nghệ Tĩnh, P.Bình Thạnh (Phường 14, quận Bình Thạnh cũ)</t>
  </si>
  <si>
    <t>223/QD-UBND ngày 16/10/2025</t>
  </si>
  <si>
    <t>86/PA-HĐBT (RXT)</t>
  </si>
  <si>
    <t>Trần Quốc Hiếu - Trương Thị Bích Ngọc</t>
  </si>
  <si>
    <t>220/4 Nguyễn Xí, P.Bình Thạnh (Phường 26, quận Bình Thạnh cũ)</t>
  </si>
  <si>
    <t>192/QD-UBND ngày 14/10/2025</t>
  </si>
  <si>
    <t>87/PA-HĐBT (RXT)</t>
  </si>
  <si>
    <t>Tạ Đình Chiến, Tạ Yến Hồng, Tạ Thị Thu Lan, Tạ Minh Hùng, Tran Thao Thu Thi (Trần Thị Thu Thảo) và các đồng thừa kế của ông Tạ Anh Dũng</t>
  </si>
  <si>
    <t>32/36/39 Bùi Đình Túy, P.Bình Thạnh (Phường 12, quận Bình Thạnh cũ)</t>
  </si>
  <si>
    <t>193/QD-UBND ngày 14/10/2025</t>
  </si>
  <si>
    <t>89/PA-HĐBT (RXT)</t>
  </si>
  <si>
    <t>Nguyễn Viết Hùng - Nguyễn Thì Trân</t>
  </si>
  <si>
    <t>405/12 (bên phải) Xô Viết Nghệ Tĩnh, P.Bình Thạnh (Phường 14, quận Bình Thạnh cũ)</t>
  </si>
  <si>
    <t>185/QD-UBND ngày 14/10/2025</t>
  </si>
  <si>
    <t>90/PA-HĐBT (RXT)</t>
  </si>
  <si>
    <t>535/PA-HĐBT (RXT)</t>
  </si>
  <si>
    <t>Hoàng Trọng Hải và các đồng thừa kế của bà Đặng Thị Cúc</t>
  </si>
  <si>
    <t>201/60/42 Nguyễn Xí, P.Bình Thạnh (Phường 26, quận Bình Thạnh cũ)</t>
  </si>
  <si>
    <t>226/QD-UBND ngày 16/10/2025</t>
  </si>
  <si>
    <t>96/PA-HĐBT (RXT)</t>
  </si>
  <si>
    <t>Trần Thị Thúy Nga và các đồng thừa kế ông Trần Thanh Nhàn</t>
  </si>
  <si>
    <t>42/381 Huỳnh Đình Hai, P.Bình Thạnh (Phường 14, quận Bình Thạnh cũ)</t>
  </si>
  <si>
    <t>230/QD-UBND ngày 16/10/2025</t>
  </si>
  <si>
    <t>106/PA-HĐBT (RXT)</t>
  </si>
  <si>
    <t>Huỳnh Ngọc Ái Vy</t>
  </si>
  <si>
    <t>125/77/34 Bùi Đình Túy, P.Bình Thạnh (Phường 14, quận Bình Thạnh cũ)</t>
  </si>
  <si>
    <t>357/QĐ-UBND ngày 24/10/2025</t>
  </si>
  <si>
    <t>196/QD-UBND ngày 15/10/2025</t>
  </si>
  <si>
    <t>32/PA-HĐBT (RXT)</t>
  </si>
  <si>
    <t>Lê Ngọc Trâm Anh</t>
  </si>
  <si>
    <t>377/8 Đinh Bộ Lĩnh, P.Bình Thạnh (Phường 26, quận Bình Thạnh cũ)</t>
  </si>
  <si>
    <t>194/QD-UBND ngày 15/10/2025</t>
  </si>
  <si>
    <t>33/PA-HĐBT (RXT)</t>
  </si>
  <si>
    <t>Hồ Bá Đức - Nguyễn Thị Hường</t>
  </si>
  <si>
    <t>59/40 Đinh Bộ Lĩnh, P.Bình Thạnh (Phường 26, quận Bình Thạnh cũ)</t>
  </si>
  <si>
    <t>197/QD-UBND ngày 15/10/2025</t>
  </si>
  <si>
    <t>34/PA-HĐBT (RXT)</t>
  </si>
  <si>
    <t>Trương Hùng - Lại Thị Bích Nga - Lại Thế Phúc</t>
  </si>
  <si>
    <t>209C Nguyễn Xí, P.Bình Thạnh (Phường 26, quận Bình Thạnh cũ)</t>
  </si>
  <si>
    <t>199/QD-UBND ngày 15/10/2025</t>
  </si>
  <si>
    <t>35/PA-HĐBT (RXT)</t>
  </si>
  <si>
    <t>559/PA-HĐBT (RXT)</t>
  </si>
  <si>
    <t>Đỗ Thị Loan - Nguyễn Hoàng Thanh Phương</t>
  </si>
  <si>
    <t>209E Nguyễn Xí, P.Bình Thạnh (Phường 26, quận Bình Thạnh cũ)</t>
  </si>
  <si>
    <t>200/QD-UBND ngày 15/10/2025</t>
  </si>
  <si>
    <t>36/PA-HĐBT (RXT)</t>
  </si>
  <si>
    <t>Nguyễn Văn Nhạc - Vũ Minh Thúy</t>
  </si>
  <si>
    <t>79/5BX13 Xô Viết Nghệ Tĩnh, P.Bình Thạnh (Phường 26, quận Bình Thạnh cũ)</t>
  </si>
  <si>
    <t>206/QD-UBND ngày 15/10/2025</t>
  </si>
  <si>
    <t>1448/QĐ-UBND ngày 25/8/2026</t>
  </si>
  <si>
    <t>38/PA-HĐBT (RXT)</t>
  </si>
  <si>
    <t>126/PA</t>
  </si>
  <si>
    <t>Huỳnh Thị Có và các đồng thừa kế ông Nguyễn Sanh</t>
  </si>
  <si>
    <t>290/238 Nơ Trang Long, P.Bình Thạnh (Phường 12, quận Bình Thạnh cũ)</t>
  </si>
  <si>
    <t>198/QD-UBND ngày 15/10/2025</t>
  </si>
  <si>
    <t>39/PA-HĐBT (RXT)</t>
  </si>
  <si>
    <t>Các đồng thừa kế của ông Trần Văn Mai - bà Võ Thị Út</t>
  </si>
  <si>
    <t>58/153K Phan Chu Trinh, P.Bình Thạnh (Phường 14, quận Bình Thạnh cũ)</t>
  </si>
  <si>
    <t>201/QD-UBND ngày 15/10/2025</t>
  </si>
  <si>
    <t>1499/QĐ-UBND ngày 11/9/2026</t>
  </si>
  <si>
    <t>40/PA-HĐBT (RXT)</t>
  </si>
  <si>
    <t>571/PA</t>
  </si>
  <si>
    <t>Các đồng thừa kế của ông Lại Văn Khẩn - bà Nguyễn Thị Rịu</t>
  </si>
  <si>
    <t>59/3/1 Đinh Bộ Lĩnh, P.Bình Thạnh (Phường 26, quận Bình Thạnh cũ)</t>
  </si>
  <si>
    <t>202/QD-UBND ngày 15/10/2025</t>
  </si>
  <si>
    <t>42/PA-HĐBT (RXT)</t>
  </si>
  <si>
    <t>459/PA</t>
  </si>
  <si>
    <t>Bùi Đăng Tuân - Lê Thị Minh Trinh</t>
  </si>
  <si>
    <t>194/43/42 Bạch Đằng, P.Bình Thạnh (Phường 14, quận Bình Thạnh cũ)</t>
  </si>
  <si>
    <t>203/QD-UBND ngày 15/10/2025</t>
  </si>
  <si>
    <t>43/PA-HĐBT (RXT)</t>
  </si>
  <si>
    <t>Lê Thế Dân - Phan Thị Hồng Phấn</t>
  </si>
  <si>
    <t>427/46A Xô Viết Nghệ Tĩnh, P.Bình Thạnh (Phường 26, quận Bình Thạnh cũ)</t>
  </si>
  <si>
    <t>204/QD-UBND ngày 15/10/2025</t>
  </si>
  <si>
    <t>44/PA-HĐBT (RXT)</t>
  </si>
  <si>
    <t>Trịnh Thị Thu Hà và các đồng thừa kế của ông Huỳnh Văn Của</t>
  </si>
  <si>
    <t>246/15E Bạch Đằng, P.Bình Thạnh (Phường 14, quận Bình Thạnh cũ)</t>
  </si>
  <si>
    <t>209/QD-UBND ngày 16/10/2025</t>
  </si>
  <si>
    <t>85/PA-HĐBT (RXT)</t>
  </si>
  <si>
    <t>Nguyễn Ngọc Đan</t>
  </si>
  <si>
    <t>194/50/52A Bạch Đằng, P.Bình Thạnh (Phường 14, quận Bình Thạnh cũ)</t>
  </si>
  <si>
    <t>228/QD-UBND ngày 16/10/2025</t>
  </si>
  <si>
    <t>91/PA-HĐBT (RXT)</t>
  </si>
  <si>
    <t>Nguyễn Thị Hạnh Sang</t>
  </si>
  <si>
    <t>427/47 Xô Viết Nghệ Tĩnh, P.Bình Thạnh (Phường 26, quận Bình Thạnh cũ)</t>
  </si>
  <si>
    <t>210/QD-UBND ngày 16/10/2025</t>
  </si>
  <si>
    <t>92/PA-HĐBT (RXT)</t>
  </si>
  <si>
    <t>Nguyễn Thị Kim Anh</t>
  </si>
  <si>
    <t>47/55 Bùi Đình Túy, P.Bình Thạnh (Phường 14, quận Bình Thạnh cũ)</t>
  </si>
  <si>
    <t>208/QĐ-UBND ngày 16/10/2025</t>
  </si>
  <si>
    <t>1050/QĐ-UBND ngày 08/06/2026</t>
  </si>
  <si>
    <t>1384/QĐ-UBND ngày 31/7/2026</t>
  </si>
  <si>
    <t>93/PA-HĐBT (RXT)</t>
  </si>
  <si>
    <t>497/PA</t>
  </si>
  <si>
    <t>Dương Kim Lang và các đồng thừa kế của ông Hà Đức Hòa (Hà Tất Linh nhận tiền)</t>
  </si>
  <si>
    <t>220/9 Nguyễn Xí, P.Bình Thạnh (Phường 26, quận Bình Thạnh cũ)</t>
  </si>
  <si>
    <t>215/QD-UBND ngày 16/10/2025</t>
  </si>
  <si>
    <t>94/PA-HĐBT (RXT)</t>
  </si>
  <si>
    <t>Phạm Thị Hồng Lĩnh</t>
  </si>
  <si>
    <t>387 Đinh Bộ Lĩnh, P.Bình Thạnh (Phường 26, quận Bình Thạnh cũ)</t>
  </si>
  <si>
    <t>222/QD-UBND ngày 16/10/2025</t>
  </si>
  <si>
    <t>95/PA-HĐBT (RXT)</t>
  </si>
  <si>
    <t>Phạm Kim Tuyết - Võ Hiếu Nghĩa</t>
  </si>
  <si>
    <t>423 Xô Viết Nghệ Tĩnh, P.Bình Thạnh (Phường 26, quận Bình Thạnh cũ)</t>
  </si>
  <si>
    <t>218/QD-UBND ngày 16/10/2025</t>
  </si>
  <si>
    <t>98/PA-HĐBT (RXT)</t>
  </si>
  <si>
    <t>Đinh Văn Khôi - Lê Thị Đào</t>
  </si>
  <si>
    <t>79/5BX2 Xô Viết Nghệ Tĩnh, P.Bình Thạnh (Phường 26, quận Bình Thạnh cũ)</t>
  </si>
  <si>
    <t>225/QĐ-UBND ngày 16/10/2025</t>
  </si>
  <si>
    <t>99/PA-HĐBT (RXT)</t>
  </si>
  <si>
    <t>Nguyễn Thành Chương</t>
  </si>
  <si>
    <t>220/26 Nguyễn Xí, P.Bình Thạnh (Phường 26, quận Bình Thạnh cũ)</t>
  </si>
  <si>
    <t>242/QĐ-UBND ngày 16/10/2025</t>
  </si>
  <si>
    <t>1220/QĐ-UBND ngày 20/06/2026;1457/QĐ-UBND ngày 28/08/2026</t>
  </si>
  <si>
    <t>100/PA-HĐBT (RXT)</t>
  </si>
  <si>
    <t>427/45 Xô Viết Nghệ Tĩnh, P.Bình Thạnh (Phường 26, quận Bình Thạnh cũ)</t>
  </si>
  <si>
    <t>240/QĐ-UBND ngày 16/10/2025</t>
  </si>
  <si>
    <t>1184/QĐ-UBND ngày 17/06/2026</t>
  </si>
  <si>
    <t>101/PA-HĐBT (RXT)</t>
  </si>
  <si>
    <t>Phạm Hoàng Nhân - Nguyễn Thị Mỹ Loan</t>
  </si>
  <si>
    <t>Không số (cạnh nhà 184/3/6B24) Nguyễn Xí, P.Bình Thạnh (Phường 26, quận Bình Thạnh cũ)</t>
  </si>
  <si>
    <t>212/QĐ-UBND ngày 16/10/2025</t>
  </si>
  <si>
    <t>102/PA-HĐBT (RXT)</t>
  </si>
  <si>
    <t>Nguyễn Đức Kiển - Nguyễn Thị Kiểu</t>
  </si>
  <si>
    <t>427/48 Xô Viết Nghệ Tĩnh, P.Bình Thạnh (Phường 26, quận Bình Thạnh cũ)</t>
  </si>
  <si>
    <t>220/QĐ-UBND ngày 16/10/2025</t>
  </si>
  <si>
    <t>1224/QĐ-UBND ngày 23/6/2026</t>
  </si>
  <si>
    <t>104/PA-HĐBT (RXT)</t>
  </si>
  <si>
    <t>Nguyễn Văn Lễ - Nguyễn Thị Phấn</t>
  </si>
  <si>
    <t>427/43 Xô Viết Nghệ Tĩnh, P.Bình Thạnh (Phường 26, quận Bình Thạnh cũ)</t>
  </si>
  <si>
    <t>229/QĐ-UBND ngày 16/10/2025</t>
  </si>
  <si>
    <t>105/PA-HĐBT (RXT)</t>
  </si>
  <si>
    <t>Đặng Thị Thu Cúc</t>
  </si>
  <si>
    <t>47/41 Bùi Đình Túy, P.Bình Thạnh (Phường 14, quận Bình Thạnh cũ)</t>
  </si>
  <si>
    <t>252/QĐ-UBND ngày 16/10/2025</t>
  </si>
  <si>
    <t>107/PA-HĐBT (RXT)</t>
  </si>
  <si>
    <t>Đỗ Kim Oanh</t>
  </si>
  <si>
    <t>201/60/56 Nguyễn Xí, P.Bình Thạnh (Phường 26, quận Bình Thạnh cũ)</t>
  </si>
  <si>
    <t>221/QĐ-UBND ngày 16/10/2025</t>
  </si>
  <si>
    <t>108/PA-HĐBT (RXT)</t>
  </si>
  <si>
    <t>Công ty Tem (Cơ sở II)</t>
  </si>
  <si>
    <t>Không số Bùi Đình Túy, P.Bình Thạnh (Phường 12, quận Bình Thạnh cũ)</t>
  </si>
  <si>
    <t>216/QĐ-UBND ngày 16/10/2025</t>
  </si>
  <si>
    <t>109/PA-HĐBT (RXT)</t>
  </si>
  <si>
    <t>Các đồng thừa kế của ông Đinh Văn Hoành và bà Nguyễn Thị Nhỏ</t>
  </si>
  <si>
    <t>58/22/60B Phan Chu Trinh, P.Bình Thạnh (Phường 14, quận Bình Thạnh cũ)</t>
  </si>
  <si>
    <t>227/QĐ-UBND ngày 16/10/2025</t>
  </si>
  <si>
    <t>110/PA-HĐBT (RXT)</t>
  </si>
  <si>
    <t>Đồng Thế Đại - Hà Thị Kim Ngọc</t>
  </si>
  <si>
    <t>384 Bùi Đình Túy, P.Bình Thạnh (Phường 14, quận Bình Thạnh cũ)</t>
  </si>
  <si>
    <t>219/QĐ-UBND ngày 16/10/2025</t>
  </si>
  <si>
    <t>111/PA-HĐBT (RXT)</t>
  </si>
  <si>
    <t>Các đồng thừa kế của ông Hà Di - bà Nguyễn Thị Nhân</t>
  </si>
  <si>
    <t>194/50/51 Bạch Đằng, P.Bình Thạnh (Phường 24, quận Bình Thạnh cũ)</t>
  </si>
  <si>
    <t>211/QĐ-UBND ngày 16/10/2025</t>
  </si>
  <si>
    <t>112/PA-HĐBT (RXT)</t>
  </si>
  <si>
    <t>Nguyễn Thị Thu</t>
  </si>
  <si>
    <t>125/77/32 Bùi Đình Túy, P.Bình Thạnh (Phường 14, quận Bình Thạnh cũ)</t>
  </si>
  <si>
    <t>224/QĐ-UBND ngày 16/10/2025</t>
  </si>
  <si>
    <t>113/PA-HĐBT (RXT)</t>
  </si>
  <si>
    <t>Nguyễn Ngọc Hiếu</t>
  </si>
  <si>
    <t>125/77/51 Bùi Đình Túy, P.Bình Thạnh (Phường 14, quận Bình Thạnh cũ)</t>
  </si>
  <si>
    <t>207/QĐ-UBND ngày 16/10/2025</t>
  </si>
  <si>
    <t>1143/QĐ-UBND ngày 13/6/2026</t>
  </si>
  <si>
    <t>115/PA-HĐBT (RXT)</t>
  </si>
  <si>
    <t>232/PA</t>
  </si>
  <si>
    <t>Nguyễn Thanh Xuân - Nguyễn Thị Kim Tín</t>
  </si>
  <si>
    <t>125/79 Bùi Đình Túy, P.Bình Thạnh (Phường 14, quận Bình Thạnh cũ)</t>
  </si>
  <si>
    <t>217/QĐ-UBND ngày 16/10/2025</t>
  </si>
  <si>
    <t>116/PA-HĐBT (RXT)</t>
  </si>
  <si>
    <t>Võ Thị Nguyệt và các đồng thừa kế của ông Tô Văn Công</t>
  </si>
  <si>
    <t>47/19 Bùi Đình Túy, P.Bình Thạnh (Phường 14, quận Bình Thạnh cũ)</t>
  </si>
  <si>
    <t>213/QĐ-UBND ngày 16/10/2025</t>
  </si>
  <si>
    <t>117/PA-HĐBT (RXT)</t>
  </si>
  <si>
    <t>Các đồng thừa kế của bà Nguyễn Thị Bạch Lan</t>
  </si>
  <si>
    <t>58/153H Phan Chu Trinh, P.Bình Thạnh (Phường 24, quận Bình Thạnh cũ)</t>
  </si>
  <si>
    <t>238/QĐ-UBND ngày 16/10/2025</t>
  </si>
  <si>
    <t>118/PA-HĐBT (RXT)</t>
  </si>
  <si>
    <t>Lý Hương Thảo</t>
  </si>
  <si>
    <t>220/14 Nguyễn Xí, P.Bình Thạnh (Phường 26, quận Bình Thạnh cũ)</t>
  </si>
  <si>
    <t>245/QĐ-UBND ngày 16/10/2025</t>
  </si>
  <si>
    <t>119/PA-HĐBT (RXT)</t>
  </si>
  <si>
    <t>Lê Ngọc Sang - Nguyễn Thị Mai</t>
  </si>
  <si>
    <t>427/87 Xô Viết Nghệ Tĩnh, P.Bình Thạnh (Phường 26, quận Bình Thạnh cũ)</t>
  </si>
  <si>
    <t>239/QĐ-UBND ngày 16/10/2025</t>
  </si>
  <si>
    <t>120/PA-HĐBT (RXT)</t>
  </si>
  <si>
    <t>Nguyễn Tiến Lập - Nguyễn Thị Lan</t>
  </si>
  <si>
    <t>201/60/38 Nguyễn Xí, P.Bình Thạnh (Phường 26, quận Bình Thạnh cũ)</t>
  </si>
  <si>
    <t>243/QĐ-UBND ngày 16/10/2025</t>
  </si>
  <si>
    <t>121/PA-HĐBT (RXT)</t>
  </si>
  <si>
    <t>Nguyễn Thị Thanh Thúy</t>
  </si>
  <si>
    <t>201/60/48 Nguyễn Xí, P.Bình Thạnh (Phường 26, quận Bình Thạnh cũ)</t>
  </si>
  <si>
    <t>246/QĐ-UBND ngày 16/10/2025</t>
  </si>
  <si>
    <t>123/PA-HĐBT (RXT)</t>
  </si>
  <si>
    <t>Nguyễn Hữu Tín - Lương Mộng Hoàng</t>
  </si>
  <si>
    <t>58/22/34I Phan Chu Trinh, P.Bình Thạnh (Phường 14, quận Bình Thạnh cũ)</t>
  </si>
  <si>
    <t>235/QĐ-UBND ngày 16/10/2025</t>
  </si>
  <si>
    <t>124/PA-HĐBT (RXT)</t>
  </si>
  <si>
    <t>Trịnh Quang Hiệp - Nguyễn Thị Trang</t>
  </si>
  <si>
    <t>184/3/6B19 Nguyễn Xí, P.Bình Thạnh (Phường 26, quận Bình Thạnh cũ)</t>
  </si>
  <si>
    <t>234/QĐ-UBND ngày 16/10/2025</t>
  </si>
  <si>
    <t>125/PA-HĐBT (RXT)</t>
  </si>
  <si>
    <t>Nguyễn Xuân Phương</t>
  </si>
  <si>
    <t>47/76 Bùi Đình Túy, P.Bình Thạnh (Phường 14, quận Bình Thạnh cũ)</t>
  </si>
  <si>
    <t>237/QĐ-UBND ngày 16/10/2025</t>
  </si>
  <si>
    <t>1244/QĐ-UBND ngày 25/6/2026</t>
  </si>
  <si>
    <t>127/PA-HĐBT (RXT)</t>
  </si>
  <si>
    <t>Dương Văn Hải - Nguyễn Thị Tám</t>
  </si>
  <si>
    <t>201/124 Nguyễn Xí, P.Bình Thạnh (Phường 26, quận Bình Thạnh cũ)</t>
  </si>
  <si>
    <t>251/QĐ-UBND ngày 16/10/2025</t>
  </si>
  <si>
    <t>1417/QĐ-UBND ngày 14/8/2026</t>
  </si>
  <si>
    <t>129/PA-HĐBT (RXT)</t>
  </si>
  <si>
    <t>525/PA</t>
  </si>
  <si>
    <t>Nguyễn Thành Tâm - Vũ Thị Tuyết Lê</t>
  </si>
  <si>
    <t>201/60/58 Nguyễn Xí, P.Bình Thạnh (Phường 26, quận Bình Thạnh cũ)</t>
  </si>
  <si>
    <t>233/QĐ-UBND ngày 16/10/2025</t>
  </si>
  <si>
    <t>130/PA-HĐBT (RXT)</t>
  </si>
  <si>
    <t>Lê Xuân Lâm - Võ Thị Bích Dung</t>
  </si>
  <si>
    <t>201/116 (một phần) Nguyễn Xí, P.Bình Thạnh (Phường 26, quận Bình Thạnh cũ)</t>
  </si>
  <si>
    <t>236/QĐ-UBND ngày 16/10/2025</t>
  </si>
  <si>
    <t>131/PA-HĐBT (RXT)</t>
  </si>
  <si>
    <t>Tô Thị Huệ Trinh</t>
  </si>
  <si>
    <t>184/3/6B8 Nguyễn Xí, P.Bình Thạnh (Phường 26, quận Bình Thạnh cũ)</t>
  </si>
  <si>
    <t>231/QĐ-UBND ngày 16/10/2025</t>
  </si>
  <si>
    <t>1129/QĐ-UBND ngày 12/6/2026</t>
  </si>
  <si>
    <t>132/PA-HĐBT (RXT)</t>
  </si>
  <si>
    <t>265/PA</t>
  </si>
  <si>
    <t>Nguyễn Thị So</t>
  </si>
  <si>
    <t>290/51/11/1 Nơ Trang Long, P.Bình Thạnh (Phường 12, quận Bình Thạnh cũ)</t>
  </si>
  <si>
    <t>254/QĐ-UBND ngày 16/10/2025</t>
  </si>
  <si>
    <t>133/PA-HĐBT (RXT)</t>
  </si>
  <si>
    <t>Trần Văn Viên - Phạm Thị Rùa</t>
  </si>
  <si>
    <t>247/QĐ-UBND ngày 16/10/2025</t>
  </si>
  <si>
    <t>134/PA-HĐBT (RXT)</t>
  </si>
  <si>
    <t>Cao Văn Quí - Phạm Thị Kim Mao</t>
  </si>
  <si>
    <t>125/77/53 Bùi Đình Túy, P.Bình Thạnh (Phường 14, quận Bình Thạnh cũ)</t>
  </si>
  <si>
    <t>249/QĐ-UBND ngày 16/10/2025</t>
  </si>
  <si>
    <t>135/PA-HĐBT (RXT)</t>
  </si>
  <si>
    <t>Các đồng thừa kế của ông Nguyễn Văn Tuy</t>
  </si>
  <si>
    <t>262A Bạch Đằng, P.Bình Thạnh (Phường 14, quận Bình Thạnh cũ)</t>
  </si>
  <si>
    <t>241/QĐ-UBND ngày 16/10/2025</t>
  </si>
  <si>
    <t>136/PA-HĐBT (RXT)</t>
  </si>
  <si>
    <t>Huỳnh Trí Đức - Lâm Mỹ Châu</t>
  </si>
  <si>
    <t>125/77/4 Bùi Đình Túy, P.Bình Thạnh (Phường 14, quận Bình Thạnh cũ)</t>
  </si>
  <si>
    <t>250/QĐ-UBND ngày 16/10/2025</t>
  </si>
  <si>
    <t>137/PA-HĐBT (RXT)</t>
  </si>
  <si>
    <t>Lê Xuân Hùng - Vũ Mai Hương</t>
  </si>
  <si>
    <t>248/QĐ-UBND ngày 16/10/2025</t>
  </si>
  <si>
    <t>138/PA-HĐBT (RXT)</t>
  </si>
  <si>
    <t>Nguyễn Văn Bửng</t>
  </si>
  <si>
    <t>75/56 Đinh Bộ Lĩnh, P.Bình Thạnh (Phường 26, quận Bình Thạnh cũ)</t>
  </si>
  <si>
    <t>232/QĐ-UBND ngày 16/10/2025</t>
  </si>
  <si>
    <t>139/PA-HĐBT (RXT)</t>
  </si>
  <si>
    <t>Trần Hồng Hòa - Trần Thị Phúc</t>
  </si>
  <si>
    <t>290/45/20/37 Nơ Trang Long, P.Bình Thạnh (Phường 12, quận Bình Thạnh cũ)</t>
  </si>
  <si>
    <t>283/QĐ-UBND ngày 20/10/2025</t>
  </si>
  <si>
    <t>136/QĐ-UBND ngày 27/01/2026</t>
  </si>
  <si>
    <t>140/PA-HĐBT (RXT)</t>
  </si>
  <si>
    <t>663/PA-HĐBT (RXT)
40/PA-HĐBT (RXT)</t>
  </si>
  <si>
    <t>Huỳnh Văn Lộc</t>
  </si>
  <si>
    <t>194/50/31 Bạch Đằng, P.Bình Thạnh (Phường 14, quận Bình Thạnh cũ)</t>
  </si>
  <si>
    <t>QĐ 470 ngày 27/10/2025</t>
  </si>
  <si>
    <t>244/QĐ-UBND ngày 16/10/2025</t>
  </si>
  <si>
    <t>1422/QĐ-UBND ngày 19/8/2026</t>
  </si>
  <si>
    <t>122/PA-HĐBT (RXT)</t>
  </si>
  <si>
    <t>278/PA</t>
  </si>
  <si>
    <t>Võ Quang Bốn - Huỳnh Thị Kim Hương</t>
  </si>
  <si>
    <t>220/3 Nguyễn Xí, P.Bình Thạnh (Phường 26, quận Bình Thạnh cũ)</t>
  </si>
  <si>
    <t>253/QĐ-UBND ngày 16/10/2025</t>
  </si>
  <si>
    <t>372/QĐ-UBND ngày 07/04/2026; 1457/QĐ-UBND ngày 28/08/2026</t>
  </si>
  <si>
    <t>1439/QĐ-UBND ngày 24/8/2026</t>
  </si>
  <si>
    <t>126/PA-HĐBT (RXT)</t>
  </si>
  <si>
    <t>495/PA</t>
  </si>
  <si>
    <t>Nguyễn Ngọc Hùng - Nguyễn Thị Trúc Loan</t>
  </si>
  <si>
    <t>427/27 Xô Viết Nghệ Tĩnh, P.Bình Thạnh (Phường 26, quận Bình Thạnh cũ)</t>
  </si>
  <si>
    <t>293/QĐ-UBND ngày 20/10/2025</t>
  </si>
  <si>
    <t>1263/QĐ-UBND ngày 30/6/2026</t>
  </si>
  <si>
    <t>128/PA-HĐBT (RXT)</t>
  </si>
  <si>
    <t>376/PA</t>
  </si>
  <si>
    <t>NGĂN CHẶN</t>
  </si>
  <si>
    <t>Nguyễn Quyên - Đặng Thị Cho</t>
  </si>
  <si>
    <t>Không số (số tự cho 233) Chu Văn An, P.Bình Thạnh (Phường 26, quận Bình Thạnh cũ)</t>
  </si>
  <si>
    <t>288/QĐ-UBND ngày 20/10/2025</t>
  </si>
  <si>
    <t>1268/QĐ-UBND ngày 01/07/2026</t>
  </si>
  <si>
    <t>142/PA-HĐBT (RXT)</t>
  </si>
  <si>
    <t>Nguyễn Văn Phí - Nguyễn Thị Huỳnh Hoa</t>
  </si>
  <si>
    <t>184/3/6B15 Nguyễn Xí, P.Bình Thạnh (Phường 26, quận Bình Thạnh cũ)</t>
  </si>
  <si>
    <t>287/QĐ-UBND ngày 20/10/2025</t>
  </si>
  <si>
    <t>846/QĐ-UBND ngày 12/5/2026</t>
  </si>
  <si>
    <t>143/PA-HĐBT (RXT)</t>
  </si>
  <si>
    <t>Lê Thị Kim Hoàn</t>
  </si>
  <si>
    <t>51A Đinh Bộ Lĩnh, P.Bình Thạnh (Phường 26, quận Bình Thạnh cũ)</t>
  </si>
  <si>
    <t>292/QĐ-UBND ngày 20/10/2025</t>
  </si>
  <si>
    <t>1130/QĐ-UBND ngày 12/6/2026</t>
  </si>
  <si>
    <t>144/PA-HĐBT (RXT)</t>
  </si>
  <si>
    <t>263/PA</t>
  </si>
  <si>
    <t>Quản Thế Chinh và các đồng thừa kế của bà Nguyễn Thị Ty</t>
  </si>
  <si>
    <t>201/120 Nguyễn Xí, P.Bình Thạnh (Phường 26, quận Bình Thạnh cũ)</t>
  </si>
  <si>
    <t>297/QĐ-UBND ngày 20/10/2025</t>
  </si>
  <si>
    <t>728/QĐ-UBND ngày 24/4/2026</t>
  </si>
  <si>
    <t>145/PA-HĐBT (RXT)</t>
  </si>
  <si>
    <t>Huỳnh Tấn Hoài - Nguyễn Đoàn Khoẻ</t>
  </si>
  <si>
    <t>47/39 Bùi Đình Tuý, P.Bình Thạnh (Phường 14, quận Bình Thạnh cũ)</t>
  </si>
  <si>
    <t>298/QĐ-UBND ngày 20/10/2025</t>
  </si>
  <si>
    <t>821/QĐ-UBND ngày 11/05/2026</t>
  </si>
  <si>
    <t>1247/QĐ-UBND ngày 26/6/2026</t>
  </si>
  <si>
    <t>146/PA-HĐBT (RXT)</t>
  </si>
  <si>
    <t>Võ Thành Long - Nguyễn Thị Kim Mai</t>
  </si>
  <si>
    <t>47/27 Bùi Đình Tuý, P.Bình Thạnh (Phường 14, quận Bình Thạnh cũ)</t>
  </si>
  <si>
    <t>295/QĐ-UBND ngày 20/10/2025</t>
  </si>
  <si>
    <t>147/PA-HĐBT (RXT)</t>
  </si>
  <si>
    <t>Nguyễn Thị Lành và các đồng thừa kế của ông Nguyễn Văn Luận</t>
  </si>
  <si>
    <t>421 Xô Viết Nghệ Tĩnh, P.Bình Thạnh (Phường 26, quận Bình Thạnh cũ)</t>
  </si>
  <si>
    <t>289/QĐ-UBND ngày 20/10/2025</t>
  </si>
  <si>
    <t>1286/QĐ-UBND ngày 06/07/2026</t>
  </si>
  <si>
    <t>1285/QĐ-UBND ngày 06/7/2026</t>
  </si>
  <si>
    <t>148/PA-HĐBT (RXT)</t>
  </si>
  <si>
    <t>416/PA</t>
  </si>
  <si>
    <t>Nguyễn Ngọc Thọ và các đồng thừa kế của ông Nguyễn Chính Phương</t>
  </si>
  <si>
    <t>220/21 Nguyễn Xí, P.Bình Thạnh (Phường 26, quận Bình Thạnh cũ)</t>
  </si>
  <si>
    <t>294/QĐ-UBND ngày 20/10/2025</t>
  </si>
  <si>
    <t>1305/QĐ-UBND ngày 09/7/2026</t>
  </si>
  <si>
    <t>149/PA-HĐBT (RXT)</t>
  </si>
  <si>
    <t>338/PA</t>
  </si>
  <si>
    <t>Hồ Bá Hiếu - Trần Thị Thanh Thuý</t>
  </si>
  <si>
    <t>59/54 Đinh Bộ Lĩnh, P.Bình Thạnh (Phường 26, quận Bình Thạnh cũ)</t>
  </si>
  <si>
    <t>285/QĐ-UBND ngày 20/10/2025</t>
  </si>
  <si>
    <t>150/PA-HĐBT (RXT)</t>
  </si>
  <si>
    <t>Nguyễn Thị Kim Hồng</t>
  </si>
  <si>
    <t>427/35 Xô Viết Nghệ Tĩnh, P.Bình Thạnh (Phường 26, quận Bình Thạnh cũ)</t>
  </si>
  <si>
    <t>299/QĐ-UBND ngày 20/10/2025</t>
  </si>
  <si>
    <t>151/PA-HĐBT (RXT)</t>
  </si>
  <si>
    <t>Đỗ Kiến Thành - Đồng Thị Thuỷ Vân</t>
  </si>
  <si>
    <t>Nhà không số (số cũ 384) Bùi Đình Tuý, P.Bình Thạnh (Phường 14, quận Bình Thạnh cũ)</t>
  </si>
  <si>
    <t>290/QĐ-UBND ngày 20/10/2025</t>
  </si>
  <si>
    <t>1287/QĐ-UBND ngày 06/07/2026</t>
  </si>
  <si>
    <t>152/PA-HĐBT (RXT)</t>
  </si>
  <si>
    <t>Quản Xuân Phương</t>
  </si>
  <si>
    <t>Không số (số tự cho 201/120) Nguyễn Xí, P.Bình Thạnh (Phường 26, quận Bình Thạnh cũ)</t>
  </si>
  <si>
    <t>296/QĐ-UBND ngày 20/10/2025</t>
  </si>
  <si>
    <t>153/PA-HĐBT (RXT)</t>
  </si>
  <si>
    <t>02 Đường số 14 (Cư xá Chu Văn An), P.Bình Thạnh (Phường 26, quận Bình Thạnh cũ)</t>
  </si>
  <si>
    <t>286/QĐ-UBND ngày 20/10/2025</t>
  </si>
  <si>
    <t>154/PA-HĐBT (RXT)</t>
  </si>
  <si>
    <t>Nguyễn Thị Thu Hiền (đồng sở hữu) - Nguyễn Thị Minh Hậu - Nguyễn Ngọc Điệp</t>
  </si>
  <si>
    <t>220/16 Nguyễn Xí, P.Bình Thạnh (Phường 26, quận Bình Thạnh cũ)</t>
  </si>
  <si>
    <t>284/QĐ-UBND ngày 20/10/2025</t>
  </si>
  <si>
    <t>155/PA-HĐBT (RXT)</t>
  </si>
  <si>
    <t>Ninh Văn Bình - Nguyễn Thanh Cao</t>
  </si>
  <si>
    <t>Không số (số tự cho 47/59) Bùi Đình Tuý, P.Bình Thạnh (Phường 14, quận Bình Thạnh cũ)</t>
  </si>
  <si>
    <t>291/QĐ-UBND ngày 20/10/2025</t>
  </si>
  <si>
    <t>156/PA-HĐBT (RXT)</t>
  </si>
  <si>
    <t>Trịnh Vũ Lương</t>
  </si>
  <si>
    <t>201/112A Nguyễn Xí, P.Bình Thạnh (Phường 26, quận Bình Thạnh cũ)</t>
  </si>
  <si>
    <t>323/QĐ-UBND ngày 21/10/2025</t>
  </si>
  <si>
    <t>157/PA-HĐBT (RXT)</t>
  </si>
  <si>
    <t>Nguyễn Thị Phượng - Lê Nguyễn Anh Tuấn</t>
  </si>
  <si>
    <t>Không số (số tự cho: 427/85) Xô Viết Nghệ Tĩnh, P.Bình Thạnh (Phường 26, quận Bình Thạnh cũ)</t>
  </si>
  <si>
    <t>307/QĐ-UBND ngày 21/10/2025</t>
  </si>
  <si>
    <t>158/PA-HĐBT (RXT)</t>
  </si>
  <si>
    <t>Nguyễn Văn Thanh - Nguyễn Kim Pha</t>
  </si>
  <si>
    <t>427/41 Xô Viết Nghệ Tĩnh, P.Bình Thạnh (Phường 26, quận Bình Thạnh cũ)</t>
  </si>
  <si>
    <t>310/QĐ-UBND ngày 21/10/2025</t>
  </si>
  <si>
    <t>159/PA-HĐBT (RXT)</t>
  </si>
  <si>
    <t>246/PA</t>
  </si>
  <si>
    <t>Nguyễn Thị Thu Hân</t>
  </si>
  <si>
    <t>266/18 Bạch Đằng, P.Bình Thạnh (Phường 14, quận Bình Thạnh cũ)</t>
  </si>
  <si>
    <t>316/QĐ-UBND ngày 21/10/2025</t>
  </si>
  <si>
    <t>160/PA-HĐBT (RXT)</t>
  </si>
  <si>
    <t>Huỳnh Minh Khôi - Huỳnh Thị Minh Lan và các đồng thừa kế của bà Trần Thị Tý</t>
  </si>
  <si>
    <t>58/22/30A Phan Chu Trinh, P.Bình Thạnh (Phường 14, quận Bình Thạnh cũ)</t>
  </si>
  <si>
    <t>315/QĐ-UBND ngày 21/10/2025</t>
  </si>
  <si>
    <t>162/PA-HĐBT (RXT)</t>
  </si>
  <si>
    <t>Trần Nhân Đức - Nguyễn Ngọc Huân - Đặng Chu Kiền</t>
  </si>
  <si>
    <t>79/5BX9 Xô Viết Nghệ Tĩnh, P.Bình Thạnh (Phường 26, quận Bình Thạnh cũ)</t>
  </si>
  <si>
    <t>319/QĐ-UBND ngày 21/10/2025</t>
  </si>
  <si>
    <t>164/PA-HĐBT (RXT)</t>
  </si>
  <si>
    <t>Nguyễn Thị Băng Thùy, Nguyễn Thị Thùy Mỵ, Nguyễn Ngọc Thiên Kim</t>
  </si>
  <si>
    <t>24B Đinh Bộ Lĩnh, P.Bình Thạnh (Phường 14, quận Bình Thạnh cũ)</t>
  </si>
  <si>
    <t>308/QĐ-UBND ngày 21/10/2025</t>
  </si>
  <si>
    <t>1051/QĐ-UBND ngày 08/06/2026</t>
  </si>
  <si>
    <t>165/PA-HĐBT (RXT)</t>
  </si>
  <si>
    <t>Các đồng thừa kế của ông Lê Thu - bà Lê Thị Hòa</t>
  </si>
  <si>
    <t>194/43/8 Bạch Đằng, P.Bình Thạnh (Phường 14, quận Bình Thạnh cũ)</t>
  </si>
  <si>
    <t>326/QĐ-UBND ngày 21/10/2025</t>
  </si>
  <si>
    <t>166/PA-HĐBT (RXT)</t>
  </si>
  <si>
    <t>Trần Hoàng Hoa Duyên và các đồng thừa kế của ông Nguyễn Trọng Thắng</t>
  </si>
  <si>
    <t>427/11 Xô Viết Nghệ Tĩnh, P.Bình Thạnh (Phường 26, quận Bình Thạnh cũ)</t>
  </si>
  <si>
    <t>311/QĐ-UBND ngày 21/10/2025</t>
  </si>
  <si>
    <t>167/PA-HĐBT (RXT)</t>
  </si>
  <si>
    <t>Phạm Văn Hiền - Trần Đặng Hoàng Duy</t>
  </si>
  <si>
    <t>427/77 Xô Viết Nghệ Tĩnh, P.Bình Thạnh (Phường 26, quận Bình Thạnh cũ)</t>
  </si>
  <si>
    <t>322/QĐ-UBND ngày 21/10/2025</t>
  </si>
  <si>
    <t>168/PA-HĐBT (RXT)</t>
  </si>
  <si>
    <t>Lê Thị Xuân Hiệp</t>
  </si>
  <si>
    <t>260C Bạch Đằng, P.Bình Thạnh (Phường 14, quận Bình Thạnh cũ)</t>
  </si>
  <si>
    <t>318/QĐ-UBND ngày 21/10/2025</t>
  </si>
  <si>
    <t>1356/QĐ-UBND ngày 22/7/2026</t>
  </si>
  <si>
    <t>169/PA-HĐBT (RXT)</t>
  </si>
  <si>
    <t>487/PA</t>
  </si>
  <si>
    <t>Đào Trung Việt - Nguyễn Thị Lan Anh</t>
  </si>
  <si>
    <t>184/3/6B30 Nguyễn Xí, P.Bình Thạnh (Phường 26, quận Bình Thạnh cũ)</t>
  </si>
  <si>
    <t>301/QĐ-UBND ngày 21/10/2025</t>
  </si>
  <si>
    <t>1197/QĐ-UBND ngày 19/06/2026</t>
  </si>
  <si>
    <t>170/PA-HĐBT (RXT)</t>
  </si>
  <si>
    <t>Huỳnh Sơn Thạch - Nguyễn Trang Linh Phượng</t>
  </si>
  <si>
    <t>184/3/6B7 Nguyễn Xí, P.Bình Thạnh (Phường 26, quận Bình Thạnh cũ)</t>
  </si>
  <si>
    <t>312/QĐ-UBND ngày 21/10/2025</t>
  </si>
  <si>
    <t>171/PA-HĐBT (RXT)</t>
  </si>
  <si>
    <t>Phạm Xuân Trường - Vương Thị Hoa</t>
  </si>
  <si>
    <t>45C Đinh Bộ Lĩnh, P.Bình Thạnh (Phường 14, quận Bình Thạnh cũ)</t>
  </si>
  <si>
    <t>302/QĐ-UBND ngày 21/10/2025</t>
  </si>
  <si>
    <t>172/PA-HĐBT (RXT)</t>
  </si>
  <si>
    <t>Các đồng thừa kế của ông Võ Tấn Công - bà Nguyễn Thị Yến</t>
  </si>
  <si>
    <t>125/88 Bùi Đình Tuý, P.Bình Thạnh (Phường 14, quận Bình Thạnh cũ)</t>
  </si>
  <si>
    <t>321/QĐ-UBND ngày 21/10/2025</t>
  </si>
  <si>
    <t>173/PA-HĐBT (RXT)</t>
  </si>
  <si>
    <t>Trương Thị Kim Hoàn - Phan Thị Ngọc Trinh - Phan Thị Ngọc Thảo</t>
  </si>
  <si>
    <t>324/QĐ-UBND ngày 21/10/2025</t>
  </si>
  <si>
    <t>1270/QĐ-UBND ngày 01/7/2026</t>
  </si>
  <si>
    <t>174/PA-HĐBT (RXT)</t>
  </si>
  <si>
    <t>405/PA</t>
  </si>
  <si>
    <t>Phan Đình Phong - Nguyễn Thị Cảnh</t>
  </si>
  <si>
    <t>47/63 Bùi Đình Tuý, P.Bình Thạnh (Phường 14, quận Bình Thạnh cũ)</t>
  </si>
  <si>
    <t>306/QĐ-UBND ngày 21/10/2025</t>
  </si>
  <si>
    <t>175/PA-HĐBT (RXT)</t>
  </si>
  <si>
    <t>Hồ Tấn Chỉ - Nguyễn Bạch Mai</t>
  </si>
  <si>
    <t>201/60/52 Nguyễn Xí, P.Bình Thạnh (Phường 26, quận Bình Thạnh cũ)</t>
  </si>
  <si>
    <t>325/QĐ-UBND ngày 21/10/2025</t>
  </si>
  <si>
    <t>1430/QĐ-UBND ngày 20/8/2026</t>
  </si>
  <si>
    <t>176/PA-HĐBT (RXT)</t>
  </si>
  <si>
    <t>522/PA</t>
  </si>
  <si>
    <t>Trần Thị Ánh Tuyết và các đồng thừa kế của ông Phạm Văn Ban</t>
  </si>
  <si>
    <t>423A Xô Viết Nghệ Tĩnh, P.Bình Thạnh (Phường 26, quận Bình Thạnh cũ)</t>
  </si>
  <si>
    <t>314/QĐ-UBND ngày 21/10/2025</t>
  </si>
  <si>
    <t>177/PA-HĐBT (RXT)</t>
  </si>
  <si>
    <t>Phạm Tất Thắng - Nguyễn Thị Hòa</t>
  </si>
  <si>
    <t>427/30 Xô Viết Nghệ Tĩnh, P.Bình Thạnh (Phường 26, quận Bình Thạnh cũ)</t>
  </si>
  <si>
    <t>305/QĐ-UBND ngày 21/10/2025</t>
  </si>
  <si>
    <t>178/PA-HĐBT (RXT)</t>
  </si>
  <si>
    <t>Trần Thị Thiệt và các đồng thừa kế của ông Huỳnh Viết Đắc</t>
  </si>
  <si>
    <t>42/383 Huỳnh Đình Hai, P.Bình Thạnh (Phường 24, quận Bình Thạnh cũ)</t>
  </si>
  <si>
    <t>317/QĐ-UBND ngày 21/10/2025</t>
  </si>
  <si>
    <t>179/PA-HĐBT (RXT)</t>
  </si>
  <si>
    <t>Ngô Thị Liên</t>
  </si>
  <si>
    <t>35/2B Đinh Bộ Lĩnh, P.Bình Thạnh (Phường 14, quận Bình Thạnh cũ)</t>
  </si>
  <si>
    <t>303/QĐ-UBND ngày 21/10/2025</t>
  </si>
  <si>
    <t>180/PA-HĐBT (RXT)</t>
  </si>
  <si>
    <t>Phạm Hoàng Minh</t>
  </si>
  <si>
    <t>194/50/42 Bạch Đằng, P.Bình Thạnh (Phường 14, quận Bình Thạnh cũ)</t>
  </si>
  <si>
    <t>320/QĐ-UBND ngày 21/10/2025</t>
  </si>
  <si>
    <t>181/PA-HĐBT (RXT)</t>
  </si>
  <si>
    <t>266/20A Bạch Đằng, P.Bình Thạnh (Phường 14, quận Bình Thạnh cũ)</t>
  </si>
  <si>
    <t>309/QĐ-UBND ngày 21/10/2025</t>
  </si>
  <si>
    <t>182/PA-HĐBT (RXT)</t>
  </si>
  <si>
    <t>Nguyễn Văn Sâm - Nguyễn Thị Thu Hường</t>
  </si>
  <si>
    <t>201/110 Nguyễn Xí, P.Bình Thạnh (Phường 26, quận Bình Thạnh cũ)</t>
  </si>
  <si>
    <t>304/QĐ-UBND ngày 21/10/2025</t>
  </si>
  <si>
    <t>183/PA-HĐBT (RXT)</t>
  </si>
  <si>
    <t>Dương Văn Tuấn (người trực tiếp sử dụng nhà - đất)</t>
  </si>
  <si>
    <t>Không số Đinh Bộ Lĩnh, P.Bình Thạnh (Phường 26, quận Bình Thạnh cũ)</t>
  </si>
  <si>
    <t>300/QĐ-UBND ngày 21/10/2025</t>
  </si>
  <si>
    <t>184/PA-HĐBT (RXT)</t>
  </si>
  <si>
    <t>Nguyễn Thị Lắm</t>
  </si>
  <si>
    <t>194/50/23 Bạch Đằng, P.Bình Thạnh (Phường 14, quận Bình Thạnh cũ)</t>
  </si>
  <si>
    <t>313/QĐ-UBND ngày 21/10/2025</t>
  </si>
  <si>
    <t>1378/QĐ-UBND ngày 31/7/2026</t>
  </si>
  <si>
    <t>185/PA-HĐBT (RXT)</t>
  </si>
  <si>
    <t>515/PA</t>
  </si>
  <si>
    <t>Nguyễn Văn Mông - Nguyễn Thị Kiều Vân</t>
  </si>
  <si>
    <t>427/37 Xô Viết Nghệ Tĩnh, P.Bình Thạnh (Phường 26, quận Bình Thạnh cũ)</t>
  </si>
  <si>
    <t>331/QĐ-UBND ngày 22/10/2025</t>
  </si>
  <si>
    <t>186/PA-HĐBT (RXT)</t>
  </si>
  <si>
    <t>Trần Ngọc Thanh - Giang Phú Thuận</t>
  </si>
  <si>
    <t>58/96/29A Phan Chu Trinh, P.Bình Thạnh (Phường 24, quận Bình Thạnh cũ)</t>
  </si>
  <si>
    <t>330/QĐ-UBND ngày 22/10/2025</t>
  </si>
  <si>
    <t>190/PA-HĐBT (RXT)</t>
  </si>
  <si>
    <t>Các đồng thừa kế của ông Trần Văn Côn và bà Nguyễn Thị Thường</t>
  </si>
  <si>
    <t>427/9 Xô Viết Nghệ Tĩnh, P.Bình Thạnh (Phường 26, quận Bình Thạnh cũ)</t>
  </si>
  <si>
    <t>335/QĐ-UBND ngày 22/10/2025</t>
  </si>
  <si>
    <t>191/PA-HĐBT (RXT)</t>
  </si>
  <si>
    <t>Lê Thị Nhiễu và các đồng thừa kế của ông Lê Văn Thông</t>
  </si>
  <si>
    <t>194/56M Bạch Đằng, P.Bình Thạnh (Phường 14, quận Bình Thạnh cũ)</t>
  </si>
  <si>
    <t>329/QĐ-UBND ngày 22/10/2025</t>
  </si>
  <si>
    <t>193/PA-HĐBT (RXT)</t>
  </si>
  <si>
    <t>Các đồng thừa kế của ông Nguyễn Văn Quang và bà Nguyễn Thị Ba</t>
  </si>
  <si>
    <t>427/33 Xô Viết Nghệ Tĩnh, P.Bình Thạnh (Phường 26, quận Bình Thạnh cũ)</t>
  </si>
  <si>
    <t>332/QĐ-UBND ngày 22/10/2025</t>
  </si>
  <si>
    <t>201/PA-HĐBT (RXT)</t>
  </si>
  <si>
    <t>Tô Thành Châu</t>
  </si>
  <si>
    <t>47/19A Bùi Đình Túy, P.Bình Thạnh (Phường 14, quận Bình Thạnh cũ)</t>
  </si>
  <si>
    <t>509/QĐ ngày 30/10/2025</t>
  </si>
  <si>
    <t>214/QĐ-UBND ngày 16/10/2025</t>
  </si>
  <si>
    <t>97/PA-HĐBT (RXT)</t>
  </si>
  <si>
    <t>Nguyễn Tam Kha - Nguyễn Thanh Phương</t>
  </si>
  <si>
    <t>407B Xô Viết Nghệ Tĩnh, P.Bình Thạnh (Phường 14, quận Bình Thạnh cũ)</t>
  </si>
  <si>
    <t>256/QĐ-UBND ngày 16/10/2025</t>
  </si>
  <si>
    <t>103/PA-HĐBT (RXT)</t>
  </si>
  <si>
    <t>Đỗ Thị Thanh Thủy - Nguyễn Văn Trung</t>
  </si>
  <si>
    <t>427/7 Xô Viết Nghệ Tĩnh, P.Bình Thạnh (Phường 26, quận Bình Thạnh cũ)</t>
  </si>
  <si>
    <t>327/QĐ-UBND ngày 21/10/2025</t>
  </si>
  <si>
    <t>163/PA-HĐBT (RXT)</t>
  </si>
  <si>
    <t>Các đồng thừa kế của bà Hồ Thị Hai</t>
  </si>
  <si>
    <t>344/QĐ-UBND ngày 22/10/2025</t>
  </si>
  <si>
    <t>188/PA-HĐBT (RXT)</t>
  </si>
  <si>
    <t>521/PA</t>
  </si>
  <si>
    <t>Nguyễn Đức Trung - Trần Thị Yến</t>
  </si>
  <si>
    <t>427/46B Xô Viết Nghệ Tĩnh, P.Bình Thạnh (Phường 26, quận Bình Thạnh cũ)</t>
  </si>
  <si>
    <t>342/QĐ-UBND ngày 22/10/2025</t>
  </si>
  <si>
    <t>1401/QĐ-UBND ngày 11/8/2026</t>
  </si>
  <si>
    <t>194/PA-HĐBT (RXT)</t>
  </si>
  <si>
    <t>467/PA</t>
  </si>
  <si>
    <t>Các đồng thừa kế của bà Trần Thị Chung và ông Nguyễn Văn Ngân</t>
  </si>
  <si>
    <t>427/65A Xô Viết Nghệ Tĩnh, P.Bình Thạnh (Phường 26, quận Bình Thạnh cũ)</t>
  </si>
  <si>
    <t>339/QD-UBND ngày 22/10/2025</t>
  </si>
  <si>
    <t>197/PA-HĐBT (RXT)</t>
  </si>
  <si>
    <t>Đỗ Kim Dũng</t>
  </si>
  <si>
    <t>260F Bạch Đằng, P.Bình Thạnh (Phường 14, quận Bình Thạnh cũ)</t>
  </si>
  <si>
    <t>345/QĐ-UBND ngày 22/10/2025</t>
  </si>
  <si>
    <t>198/PA-HĐBT (RXT)</t>
  </si>
  <si>
    <t>194/56H Bạch Đằng, P.Bình Thạnh (Phường 14, quận Bình Thạnh cũ)</t>
  </si>
  <si>
    <t>343/QĐ-UBND ngày 22/10/2025</t>
  </si>
  <si>
    <t>199/PA-HĐBT (RXT)</t>
  </si>
  <si>
    <t>Các đồng thừa kế của ông Dương Đức Thuần và bà Đặng Thị Bích Hiệp</t>
  </si>
  <si>
    <t>238/27 Bạch Đằng, P.Bình Thạnh (Phường 14, quận Bình Thạnh cũ)</t>
  </si>
  <si>
    <t>340/QĐ-UBND ngày 22/10/2025</t>
  </si>
  <si>
    <t>1366/QĐ-UBND ngày 28/7/2026</t>
  </si>
  <si>
    <t>200/PA-HĐBT (RXT)</t>
  </si>
  <si>
    <t>377/PA</t>
  </si>
  <si>
    <t>Đặng Đức - Đỗ Thị Thỏa</t>
  </si>
  <si>
    <t>201/122 Nguyễn Xí, P.Bình Thạnh (Phường 26, quận Bình Thạnh cũ)</t>
  </si>
  <si>
    <t>Thủy</t>
  </si>
  <si>
    <t>351/QĐ-UBND ngày 23/10/2025</t>
  </si>
  <si>
    <t>204/PA-HĐBT (RXT)</t>
  </si>
  <si>
    <t>Nguyễn Văn Dậu - Trương Thị Mỹ Loan</t>
  </si>
  <si>
    <t>32/36/40G Bùi Đình Túy, P.Bình Thạnh (Phường 12, quận Bình Thạnh cũ)</t>
  </si>
  <si>
    <t>350/QĐ-UBND ngày 23/10/2025</t>
  </si>
  <si>
    <t>205/PA-HĐBT (RXT)</t>
  </si>
  <si>
    <t>Trần Thị Hiển</t>
  </si>
  <si>
    <t>47/49 Bùi Đình Túy, P.Bình Thạnh (Phường 14, quận Bình Thạnh cũ)</t>
  </si>
  <si>
    <t>354/QĐ-UBND ngày 23/10/2025</t>
  </si>
  <si>
    <t>206/PA-HĐBT (RXT)</t>
  </si>
  <si>
    <t>Trần Thị Hồi</t>
  </si>
  <si>
    <t>125/77/28 Bùi Đình Túy, P.Bình Thạnh (Phường 14, quận Bình Thạnh cũ)</t>
  </si>
  <si>
    <t>355/QĐ-UBND ngày 23/10/2025</t>
  </si>
  <si>
    <t>207/PA-HĐBT (RXT)</t>
  </si>
  <si>
    <t>Lê Văn Dũng - Lưu Trần Thảo Uyên</t>
  </si>
  <si>
    <t>20/12A Đinh Bộ Lĩnh, P.Bình Thạnh (Phường 14, quận Bình Thạnh cũ)</t>
  </si>
  <si>
    <t>349/QĐ-UBND ngày 23/10/2025</t>
  </si>
  <si>
    <t>208/PA-HĐBT (RXT)</t>
  </si>
  <si>
    <t>Đỗ Văn Định - Trịnh Thị Thao</t>
  </si>
  <si>
    <t>352/QD-UBND ngày 23/10/2025</t>
  </si>
  <si>
    <t>209/PA-HĐBT (RXT)</t>
  </si>
  <si>
    <t>Nguyễn Thị Hai và các đồng thừa kế của ông Đôn Văn Đức</t>
  </si>
  <si>
    <t>427/5 Xô Viết Nghệ Tĩnh, P.Bình Thạnh (Phường 26, quận Bình Thạnh cũ)</t>
  </si>
  <si>
    <t>356/QD-UBND ngày 23/10/2025</t>
  </si>
  <si>
    <t>210/PA-HĐBT (RXT)</t>
  </si>
  <si>
    <t>Phạm Thị Thanh Phương</t>
  </si>
  <si>
    <t>201/60/54 Nguyễn Xí, P.Bình Thạnh (Phường 26, quận Bình Thạnh cũ)</t>
  </si>
  <si>
    <t>hoài</t>
  </si>
  <si>
    <t>353/QD-UBND ngày 23/10/2025</t>
  </si>
  <si>
    <t>211/PA-HĐBT (RXT)</t>
  </si>
  <si>
    <t>Ngô Trí Tuệ</t>
  </si>
  <si>
    <t>45B Đinh Bộ Lĩnh, P.Bình Thạnh (Phường 14, quận Bình Thạnh cũ)</t>
  </si>
  <si>
    <t>510/QD-UBND ngày 30/10/2025</t>
  </si>
  <si>
    <t>396/QD-UBND ngày 24/10/2025</t>
  </si>
  <si>
    <t>1434/QĐ-UBND ngày 20/8/2026</t>
  </si>
  <si>
    <t>189/PA-HĐBT (RXT)</t>
  </si>
  <si>
    <t>529/PA</t>
  </si>
  <si>
    <t>Các đồng thừa kế của bà Phạm Thị Bình (Chưa xác định tình trạng hôn nhân) -(Tôn Thất Hùng - Thái Quốc San - Thái Mạnh Giàu)</t>
  </si>
  <si>
    <t>409B (Số cũ: 347A) Xô Viết Nghệ Tĩnh, P.Bình Thạnh (Phường 26, quận Bình Thạnh cũ)</t>
  </si>
  <si>
    <t>369/QĐ-UBND ngày 24/10/2025</t>
  </si>
  <si>
    <t>214/PA-HĐBT (RXT)</t>
  </si>
  <si>
    <t>Nguyễn Thị Lệ Hằng</t>
  </si>
  <si>
    <t>59/48 Đinh Bộ Lĩnh, P.Bình Thạnh (Phường 26, quận Bình Thạnh cũ)</t>
  </si>
  <si>
    <t>359/QĐ-UBND ngày 24/10/2025</t>
  </si>
  <si>
    <t>215/PA-HĐBT (RXT)</t>
  </si>
  <si>
    <t>Nguyễn Hữu Đạt - Nguyễn Phan Như Ý</t>
  </si>
  <si>
    <t>427/13 Xô Viết Nghệ Tĩnh, P.Bình Thạnh (Phường 26, quận Bình Thạnh cũ)</t>
  </si>
  <si>
    <t>368/QĐ-UBND ngày 24/10/2025</t>
  </si>
  <si>
    <t>216/PA-HĐBT (RXT)</t>
  </si>
  <si>
    <t>Các đồng thừa kế của ông Huỳnh Văn Mười và bà Nguyễn Thị Liêng</t>
  </si>
  <si>
    <t>427/65 Xô Viết Nghệ Tĩnh, P.Bình Thạnh (Phường 26, quận Bình Thạnh cũ)</t>
  </si>
  <si>
    <t>361/QĐ-UBND ngày 24/10/2025</t>
  </si>
  <si>
    <t>1152/QĐ-UBND ngày 13/6/2026</t>
  </si>
  <si>
    <t>217/PA-HĐBT (RXT)</t>
  </si>
  <si>
    <t>297/PA</t>
  </si>
  <si>
    <t>Nguyễn Đăng Thiệu - Bùi Thị Hồng Vĩnh</t>
  </si>
  <si>
    <t>201/130 Nguyễn Xí, P.Bình Thạnh (Phường 26, quận Bình Thạnh cũ)</t>
  </si>
  <si>
    <t>358/QĐ-UBND ngày 24/10/2025</t>
  </si>
  <si>
    <t>218/PA-HĐBT (RXT)</t>
  </si>
  <si>
    <t>Nhữ Hồng Phiên - Nguyễn Thị Hoa</t>
  </si>
  <si>
    <t>45D Đinh Bộ Lĩnh, P.Bình Thạnh (Phường 14, quận Bình Thạnh cũ)</t>
  </si>
  <si>
    <t>365/QĐ-UBND ngày 24/10/2025</t>
  </si>
  <si>
    <t>219/PA-HĐBT (RXT)</t>
  </si>
  <si>
    <t>Các đồng thừa kế của ông Trần Văn Lợi - bà Nguyễn Thị Mai</t>
  </si>
  <si>
    <t>125/77/8 Bùi Đình Túy, P.Bình Thạnh (Phường 14, quận Bình Thạnh cũ)</t>
  </si>
  <si>
    <t>366/QĐ-UBND ngày 24/10/2025</t>
  </si>
  <si>
    <t>220/PA-HĐBT (RXT)</t>
  </si>
  <si>
    <t>Nguyễn Văn Nhân - Trần Thị Vân</t>
  </si>
  <si>
    <t>364/QD-UBND ngày 24/10/2025</t>
  </si>
  <si>
    <t>1371/QĐ-UBND ngày 29/7/2026</t>
  </si>
  <si>
    <t>221/PA-HĐBT (RXT)</t>
  </si>
  <si>
    <t>462/PA</t>
  </si>
  <si>
    <t>Võ Anh Tuấn</t>
  </si>
  <si>
    <t>194/50/37 Bạch Đằng, P.Bình Thạnh (Phường 14, quận Bình Thạnh cũ)</t>
  </si>
  <si>
    <t>370/QD-UBND ngày 24/10/2025</t>
  </si>
  <si>
    <t>222/PA-HĐBT (RXT)</t>
  </si>
  <si>
    <t>Lô Thị Kim Phượng</t>
  </si>
  <si>
    <t>427/31 Xô Viết Nghệ Tĩnh, P.Bình Thạnh (Phường 26, quận Bình Thạnh cũ)</t>
  </si>
  <si>
    <t>362/QD-UBND ngày 24/10/2025</t>
  </si>
  <si>
    <t>223/PA-HĐBT (RXT)</t>
  </si>
  <si>
    <t>Phạm Thị Tuyến và các đồng thừa kế của ông Trần Văn Kiển</t>
  </si>
  <si>
    <t>194/58B Bạch Đằng, P.Bình Thạnh (Phường 14, quận Bình Thạnh cũ)</t>
  </si>
  <si>
    <t>360/QD-UBND ngày 24/10/2025</t>
  </si>
  <si>
    <t>224/PA-HĐBT (RXT)</t>
  </si>
  <si>
    <t>Nguyễn Anh Minh - Nguyễn Thị Kim Thanh</t>
  </si>
  <si>
    <t>407C Xô Viết Nghệ Tĩnh, P.Bình Thạnh (Phường 14, quận Bình Thạnh cũ)</t>
  </si>
  <si>
    <t>363/QD-UBND ngày 24/10/2025</t>
  </si>
  <si>
    <t>226/PA-HĐBT (RXT)</t>
  </si>
  <si>
    <t>Mai Văn Nam</t>
  </si>
  <si>
    <t>194/58 Bạch Đằng, P.Bình Thạnh (Phường 14, quận Bình Thạnh cũ)</t>
  </si>
  <si>
    <t>432/QD-UBND ngày 24/10/2025</t>
  </si>
  <si>
    <t>1479/QĐ-UBND ngày 07/09/2026</t>
  </si>
  <si>
    <t>227/PA-HĐBT (RXT)</t>
  </si>
  <si>
    <t>194/50/53B Bạch Đằng, P.Bình Thạnh (Phường 14, quận Bình Thạnh cũ)</t>
  </si>
  <si>
    <t>395/QD-UBND ngày 24/10/2025</t>
  </si>
  <si>
    <t>228/PA-HĐBT (RXT)</t>
  </si>
  <si>
    <t>Nguyễn Ngọc Dũng - Trần Thị Kim Liên</t>
  </si>
  <si>
    <t>194/43/34 Bạch Đằng, P.Bình Thạnh (Phường 14, quận Bình Thạnh cũ)</t>
  </si>
  <si>
    <t>381/QD-UBND ngày 24/10/2025</t>
  </si>
  <si>
    <t>230/PA-HĐBT (RXT)</t>
  </si>
  <si>
    <t>Nguyễn Ngọc Tòng - Nguyễn Phượng Hoa</t>
  </si>
  <si>
    <t>220/36 Nguyễn Xí, P.Bình Thạnh (Phường 26, quận Bình Thạnh cũ)</t>
  </si>
  <si>
    <t>433/QD-UBND ngày 24/10/2025</t>
  </si>
  <si>
    <t>231/PA-HĐBT (RXT)</t>
  </si>
  <si>
    <t>Nguyễn Trang Linh Phượng</t>
  </si>
  <si>
    <t>184/3/6B6 Nguyễn Xí, P.Bình Thạnh (Phường 26, quận Bình Thạnh cũ)</t>
  </si>
  <si>
    <t>394/QD-UBND ngày 24/10/2025</t>
  </si>
  <si>
    <t>232/PA-HĐBT (RXT)</t>
  </si>
  <si>
    <t>Các đồng thừa kế của ông Mai Hữu Châu - bà Lê Thị Hường</t>
  </si>
  <si>
    <t>49 Đinh Bộ Lĩnh, P.Bình Thạnh (Phường 14, quận Bình Thạnh cũ)</t>
  </si>
  <si>
    <t>371/QĐ-UBND ngày 24/10/2025</t>
  </si>
  <si>
    <t>1349/QĐ-UBND ngày 21/7/2026</t>
  </si>
  <si>
    <t>233/PA-HĐBT (RXT)</t>
  </si>
  <si>
    <t>Các đồng thừa kế của ông Nguyễn Thành Sanh và bà Võ Thị Vân</t>
  </si>
  <si>
    <t>427/29 Xô Viết Nghệ Tĩnh, P.Bình Thạnh (Phường 26, quận Bình Thạnh cũ)</t>
  </si>
  <si>
    <t>380/QĐ-UBND ngày 24/10/2025</t>
  </si>
  <si>
    <t>729/QĐ-UBND ngày 24/4/2026; 1432/QĐ-UBND ngày 20/08/2026</t>
  </si>
  <si>
    <t>234/PA-HĐBT (RXT)</t>
  </si>
  <si>
    <t>Nguyễn Tấn Hòa - Võ Thị Bích Huyền</t>
  </si>
  <si>
    <t>35/18F Đinh Bộ Lĩnh, P.Bình Thạnh (Phường 14, quận Bình Thạnh cũ)</t>
  </si>
  <si>
    <t>373/QĐ-UBND ngày 24/10/2025</t>
  </si>
  <si>
    <t>235/PA-HĐBT (RXT)</t>
  </si>
  <si>
    <t>Các đồng thừa kế của ông Lê Hoàng Toàn</t>
  </si>
  <si>
    <t>125/77/6 Bùi Đình Túy, P.Bình Thạnh (Phường 14, quận Bình Thạnh cũ)</t>
  </si>
  <si>
    <t>393/QD-UBND ngày 24/10/2025</t>
  </si>
  <si>
    <t>237/PA-HĐBT (RXT)</t>
  </si>
  <si>
    <t>Trần Minh Mẫn - Hoàng Hồ Thanh Bình</t>
  </si>
  <si>
    <t>427/32/2 Xô Viết Nghệ Tĩnh, P.Bình Thạnh (Phường 26, quận Bình Thạnh cũ)</t>
  </si>
  <si>
    <t>392/QD-UBND ngày 24/10/2025</t>
  </si>
  <si>
    <t>239/PA-HĐBT (RXT)</t>
  </si>
  <si>
    <t>59/36 Đinh Bộ Lĩnh, P.Bình Thạnh (Phường 26, quận Bình Thạnh cũ)</t>
  </si>
  <si>
    <t>375/QD-UBND ngày 24/10/2025</t>
  </si>
  <si>
    <t>241/PA-HĐBT (RXT)</t>
  </si>
  <si>
    <t>Võ Kim Phụng</t>
  </si>
  <si>
    <t>194/50/68 Bạch Đằng, P.Bình Thạnh (Phường 14, quận Bình Thạnh cũ)</t>
  </si>
  <si>
    <t>377/QD-UBND ngày 24/10/2025</t>
  </si>
  <si>
    <t>thi hành án</t>
  </si>
  <si>
    <t>242/PA-HĐBT (RXT)</t>
  </si>
  <si>
    <t>Trần Thị Kim Cúc và các đồng thừa kế của ông Trương Tài Năng</t>
  </si>
  <si>
    <t>427/69 Xô Viết Nghệ Tĩnh, P.Bình Thạnh (Phường 26, quận Bình Thạnh cũ)</t>
  </si>
  <si>
    <t>383/QD-UBND ngày 24/10/2025</t>
  </si>
  <si>
    <t>243/PA-HĐBT (RXT)</t>
  </si>
  <si>
    <t>Đỗ Quốc Định - Võ Thị Ngọc Kiều</t>
  </si>
  <si>
    <t>225 Chu Văn An, P.Bình Thạnh (Phường 26, quận Bình Thạnh cũ)</t>
  </si>
  <si>
    <t>376/QD-UBND ngày 24/10/2025</t>
  </si>
  <si>
    <t>1159/QĐ-UBND ngày 15/6/2026</t>
  </si>
  <si>
    <t>244/PA-HĐBT (RXT)</t>
  </si>
  <si>
    <t>248/PA</t>
  </si>
  <si>
    <t>Phạm Thanh Vũ</t>
  </si>
  <si>
    <t>125/104 Bùi Đình Túy, P.Bình Thạnh (Phường 14, quận Bình Thạnh cũ)</t>
  </si>
  <si>
    <t>391/QD-UBND ngày 24/10/2025</t>
  </si>
  <si>
    <t>1204/QĐ-UBND ngày 20/6/2026</t>
  </si>
  <si>
    <t>245/PA-HĐBT (RXT)</t>
  </si>
  <si>
    <t>Lê Văn Chinh - Nguyễn Thị Nguyệt</t>
  </si>
  <si>
    <t>58/22/34L3 Phan Chu Trinh, P.Bình Thạnh (Phường 14, quận Bình Thạnh cũ)</t>
  </si>
  <si>
    <t>390/QD-UBND ngày 24/10/2025</t>
  </si>
  <si>
    <t>246/PA-HĐBT (RXT)</t>
  </si>
  <si>
    <t>250/PA</t>
  </si>
  <si>
    <t>Nguyễn Phan Bích Hằng - Nguyễn Phan Tường Phụng - Nguyễn Phan Tường Ly</t>
  </si>
  <si>
    <t>194/50/25 Bạch Đằng, P.Bình Thạnh (Phường 14, quận Bình Thạnh cũ)</t>
  </si>
  <si>
    <t>379/QD-UBND ngày 24/10/2025</t>
  </si>
  <si>
    <t>247/PA-HĐBT (RXT)</t>
  </si>
  <si>
    <t>Trần Minh Phương - Tất Thu Lan</t>
  </si>
  <si>
    <t>427/32 Xô Viết Nghệ Tĩnh, P.Bình Thạnh (Phường 26, quận Bình Thạnh cũ)</t>
  </si>
  <si>
    <t>407/QD-UBND ngày 24/10/2025</t>
  </si>
  <si>
    <t>231/QD-UBND ngày 31/01/2026</t>
  </si>
  <si>
    <t>249/PA-HĐBT (RXT)</t>
  </si>
  <si>
    <t>Nguyễn Thị Ngọc Di</t>
  </si>
  <si>
    <t>42 Đinh Bộ Lĩnh, P.Bình Thạnh (Phường 26, quận Bình Thạnh cũ)</t>
  </si>
  <si>
    <t>374/QĐ-UBND ngày 24/10/2025</t>
  </si>
  <si>
    <t>251/PA-HĐBT (RXT)</t>
  </si>
  <si>
    <t>HỘ NÀY CÓ HỢP CHÚ Ý: ĐỒNG ỦY QUYỀN NHƯNG KHÔNG GHI NỘI DUNG ỦY QUYỀN NHẬN TIỀN CỦA CĂN NHÀ NÀY.</t>
  </si>
  <si>
    <t>59/13C Đinh Bộ Lĩnh, P.Bình Thạnh (Phường 26, quận Bình Thạnh cũ)</t>
  </si>
  <si>
    <t>372/QĐ-UBND ngày 24/10/2025</t>
  </si>
  <si>
    <t>252/PA-HĐBT (RXT)</t>
  </si>
  <si>
    <t>Phòng Thị Hồng Yến</t>
  </si>
  <si>
    <t>385 Đinh Bộ Lĩnh, P.Bình Thạnh (Phường 26, quận Bình Thạnh cũ)</t>
  </si>
  <si>
    <t>389/QĐ-UBND ngày 24/10/2025</t>
  </si>
  <si>
    <t>1283/QĐ-UBND ngày 03/07/2026</t>
  </si>
  <si>
    <t>1157/QĐ-UBND ngày 11/6/2026</t>
  </si>
  <si>
    <t>253/PA-HĐBT (RXT)</t>
  </si>
  <si>
    <t>Nguyễn Phú Cầu - Trần Thị Thu Hằng</t>
  </si>
  <si>
    <t>662/178 Bùi Đình Túy, P.Bình Thạnh (Phường 12, quận Bình Thạnh cũ)</t>
  </si>
  <si>
    <t>388/QĐ-UBND ngày 24/10/2025</t>
  </si>
  <si>
    <t>254/PA-HĐBT (RXT)</t>
  </si>
  <si>
    <t>Phạm Soại - Phạm Thị Tuyết Nga</t>
  </si>
  <si>
    <t>32/8/13 (số cũ 705G) Bùi Đình Túy, P.Bình Thạnh (Phường 12, quận Bình Thạnh cũ)</t>
  </si>
  <si>
    <t>387/QĐ-UBND ngày 24/10/2025</t>
  </si>
  <si>
    <t>255/PA-HĐBT (RXT)</t>
  </si>
  <si>
    <t>Nguyễn Thế Phương - Đặng Thị Gấm</t>
  </si>
  <si>
    <t>79/38 Xô Viết Nghệ Tĩnh, P.Bình Thạnh (Phường 26, quận Bình Thạnh cũ)</t>
  </si>
  <si>
    <t>404/QĐ-UBND ngày 24/10/2025</t>
  </si>
  <si>
    <t>256/PA-HĐBT (RXT)</t>
  </si>
  <si>
    <t>Nguyễn Thị Cơ và các đồng thừa kế của ông Võ Khắc Hườn</t>
  </si>
  <si>
    <t>47/9 Bùi Đình Túy, P.Bình Thạnh (Phường 14, quận Bình Thạnh cũ)</t>
  </si>
  <si>
    <t>386/QĐ-UBND ngày 24/10/2025</t>
  </si>
  <si>
    <t>257/PA-HĐBT (RXT)</t>
  </si>
  <si>
    <t>Các đồng thừa kế của bà Nguyễn Thị Nhạn</t>
  </si>
  <si>
    <t>47/33 Bùi Đình Túy, P.Bình Thạnh (Phường 14, quận Bình Thạnh cũ)</t>
  </si>
  <si>
    <t>385/QĐ-UBND ngày 24/10/2025</t>
  </si>
  <si>
    <t>259/PA-HĐBT (RXT)</t>
  </si>
  <si>
    <t>Phạm Vũ Ca - Lê Kim Tuyến</t>
  </si>
  <si>
    <t>220/36A Nguyễn Xí, P.Bình Thạnh (Phường 26, quận Bình Thạnh cũ)</t>
  </si>
  <si>
    <t>384/QĐ-UBND ngày 24/10/2025</t>
  </si>
  <si>
    <t>260/PA-HĐBT (RXT)</t>
  </si>
  <si>
    <t>Đỗ Thế Phùng - Nguyễn Thị Bích Huyên</t>
  </si>
  <si>
    <t>220/36B Nguyễn Xí, P.Bình Thạnh (Phường 26, quận Bình Thạnh cũ)</t>
  </si>
  <si>
    <t>408/QĐ-UBND ngày 24/10/2025</t>
  </si>
  <si>
    <t>261/PA-HĐBT (RXT)</t>
  </si>
  <si>
    <t>Lê Thành Nghiệp - Đặng Thị Ngọc Liên</t>
  </si>
  <si>
    <t>58/22/34D Phan Chu Trinh, P.Bình Thạnh (Phường 14, quận Bình Thạnh cũ)</t>
  </si>
  <si>
    <t>427/QD-UBND ngày 24/10/2025</t>
  </si>
  <si>
    <t>262/PA-HĐBT (RXT)</t>
  </si>
  <si>
    <t>Nguyễn Bạch Tuyết</t>
  </si>
  <si>
    <t>32 Đinh Bộ Lĩnh, P.Bình Thạnh (Phường 14, quận Bình Thạnh cũ)</t>
  </si>
  <si>
    <t>402/QD-UBND ngày 24/10/2025</t>
  </si>
  <si>
    <t>263/PA-HĐBT (RXT)</t>
  </si>
  <si>
    <t>408/PA</t>
  </si>
  <si>
    <t>Võ Văn Tiền - Trương Hoàng Yến</t>
  </si>
  <si>
    <t>20/12 Đinh Bộ Lĩnh, P.Bình Thạnh (Phường 14, quận Bình Thạnh cũ)</t>
  </si>
  <si>
    <t>426/QD-UBND ngày 24/10/2025</t>
  </si>
  <si>
    <t>1421/QĐ-UBND ngày 18/08/2026</t>
  </si>
  <si>
    <t>1347/QĐ-UBND ngày 21/7/2026</t>
  </si>
  <si>
    <t>264/PA-HĐBT (RXT)</t>
  </si>
  <si>
    <t>451/PA</t>
  </si>
  <si>
    <t>Nguyễn Anh Việt</t>
  </si>
  <si>
    <t>260A Bạch Đằng, P.Bình Thạnh (Phường 14, quận Bình Thạnh cũ)</t>
  </si>
  <si>
    <t>400/QĐ-UBND ngày 24/10/2025</t>
  </si>
  <si>
    <t>266/PA-HĐBT (RXT)</t>
  </si>
  <si>
    <t>Nguyễn Thị Vũ Nguyên</t>
  </si>
  <si>
    <t>266/22 Bạch Đằng, P.Bình Thạnh (Phường 24, quận Bình Thạnh cũ)</t>
  </si>
  <si>
    <t>399/QĐ-UBND ngày 24/10/2025</t>
  </si>
  <si>
    <t>267/PA-HĐBT (RXT)</t>
  </si>
  <si>
    <t>Không số Nguyễn Xí, P.Bình Thạnh (Phường 26, quận Bình Thạnh cũ)</t>
  </si>
  <si>
    <t>398/QĐ-UBND ngày 24/10/2025</t>
  </si>
  <si>
    <t>268/PA-HĐBT (RXT)</t>
  </si>
  <si>
    <t>Đặng Thị Liên</t>
  </si>
  <si>
    <t>59/46 Đinh Bộ Lĩnh, P.Bình Thạnh (Phường 26, quận Bình Thạnh cũ)</t>
  </si>
  <si>
    <t>424/QĐ-UBND ngày 24/10/2025</t>
  </si>
  <si>
    <t>269/PA-HĐBT (RXT)</t>
  </si>
  <si>
    <t>Bùi Thị Quỳnh Mai</t>
  </si>
  <si>
    <t>125/77/18 Bùi Đình Túy, P.Bình Thạnh (Phường 14, quận Bình Thạnh cũ)</t>
  </si>
  <si>
    <t>397/QĐ-UBND ngày 24/10/2025</t>
  </si>
  <si>
    <t>271/PA-HĐBT (RXT)</t>
  </si>
  <si>
    <t>Lê Thị Thu Thủy</t>
  </si>
  <si>
    <t>Không số (cạnh 58/148) Phan Chu Trinh, P.Bình Thạnh (Phường 14, quận Bình Thạnh cũ)</t>
  </si>
  <si>
    <t>409/QĐ-UBND ngày 24/10/2025</t>
  </si>
  <si>
    <t>275/PA-HĐBT (RXT)</t>
  </si>
  <si>
    <t>Lê Thị Ngọc Trang - Đỗ Văn Bồn</t>
  </si>
  <si>
    <t>425/QĐ-UBND ngày 24/10/2025</t>
  </si>
  <si>
    <t>1253/QĐ-UBND ngày 26/06/2026</t>
  </si>
  <si>
    <t>1251/QĐ-UBND ngày 26/6/2026</t>
  </si>
  <si>
    <t>276/PA-HĐBT (RXT)</t>
  </si>
  <si>
    <t>Các đồng thừa kế của ông Trần Thăng Bình và bà Lê Thị Hát (Trần Quang Kiên nhận tiền)</t>
  </si>
  <si>
    <t>220/11 Nguyễn Xí, P.Bình Thạnh (Phường 26, quận Bình Thạnh cũ)</t>
  </si>
  <si>
    <t>401/QD-UBND ngày 24/10/2025</t>
  </si>
  <si>
    <t>1325/QĐ-UBND ngày 14/7/2026</t>
  </si>
  <si>
    <t>277/PA-HĐBT (RXT)</t>
  </si>
  <si>
    <t>454/PA</t>
  </si>
  <si>
    <t>Bùi Đạt Khương - Lê Thị Huê Em</t>
  </si>
  <si>
    <t>220/42 (số tự cho) Nguyễn Xí, P.Bình Thạnh (Phường 26, quận Bình Thạnh cũ)</t>
  </si>
  <si>
    <t>406/QD-UBND ngày 24/10/2025</t>
  </si>
  <si>
    <t>1260/QĐ-UBND ngày 29/06/2026; 1494/QĐ-UBND ngày 11/09/2026</t>
  </si>
  <si>
    <t>1259/QĐ-UBND ngày 29/6/2026</t>
  </si>
  <si>
    <t>278/PA-HĐBT (RXT)</t>
  </si>
  <si>
    <t>Nguyễn Minh Lăng - Lê Thị Hoa</t>
  </si>
  <si>
    <t>47/21 Bùi Đình Túy, P.Bình Thạnh (Phường 14, quận Bình Thạnh cũ)</t>
  </si>
  <si>
    <t>403/QD-UBND ngày 24/10/2025</t>
  </si>
  <si>
    <t>279/PA-HĐBT (RXT)</t>
  </si>
  <si>
    <t>Các đồng thừa kế của Ngô Văn Phát và Nguyễn Thị Huỳnh</t>
  </si>
  <si>
    <t>194/62 Bạch Đằng, P.Bình Thạnh (Phường 14, quận Bình Thạnh cũ)</t>
  </si>
  <si>
    <t>531/QD-UBND ngày 03/11/2025</t>
  </si>
  <si>
    <t>195/QD-UBND ngày 15/10/2025</t>
  </si>
  <si>
    <t>37/PA-HĐBT (RXT)</t>
  </si>
  <si>
    <t>R</t>
  </si>
  <si>
    <t>Các đồng thừa kế của bà Võ Thị Tài và ông Trương Văn Hóa</t>
  </si>
  <si>
    <t>35/18H Đinh Bộ Lĩnh, P.Bình Thạnh (Phường 14, quận Bình Thạnh cũ)</t>
  </si>
  <si>
    <t>178/QD-UBND ngày 13/10/2025</t>
  </si>
  <si>
    <t>1161/QĐ-UBND ngày 15/06/2026; 1432/QĐ-UBND ngày 20/08/2026</t>
  </si>
  <si>
    <t>57/PA-HĐBT (RXT)</t>
  </si>
  <si>
    <t>Nguyễn Thị Ngọc Bích</t>
  </si>
  <si>
    <t>45/1B (45) Đinh Bộ Lĩnh, P.Bình Thạnh (Phường 14, quận Bình Thạnh cũ)</t>
  </si>
  <si>
    <t>190/QD-UBND ngày 14/10/2025</t>
  </si>
  <si>
    <t>1281/QĐ-UBND ngày 03/7/2026</t>
  </si>
  <si>
    <t>88/PA-HĐBT (RXT)</t>
  </si>
  <si>
    <t>395/PA</t>
  </si>
  <si>
    <t>Vũ Văn Tuấn - Lê Thị Hương Thu</t>
  </si>
  <si>
    <t>201/60/50 Nguyễn Xí, P.Bình Thạnh (Phường 26, quận Bình Thạnh cũ)</t>
  </si>
  <si>
    <t>504/QD-UBND ngày 30/10/2025</t>
  </si>
  <si>
    <t>1339/QĐ-UBND ngày 16/7/2026</t>
  </si>
  <si>
    <t>141/PA-HĐBT (RXT)</t>
  </si>
  <si>
    <t>424/PA</t>
  </si>
  <si>
    <t>Ngô Thị Niệm</t>
  </si>
  <si>
    <t>220/17 Nguyễn Xí, P.Bình Thạnh (Phường 26, quận Bình Thạnh cũ)</t>
  </si>
  <si>
    <t>333/QD-UBND ngày 22/10/2025</t>
  </si>
  <si>
    <t>161/PA-HĐBT (RXT)</t>
  </si>
  <si>
    <t>Nguyễn Hoàng Anh Tuấn - Võ Thị Thảo</t>
  </si>
  <si>
    <t>337/QD-UBND ngày 22/10/2025</t>
  </si>
  <si>
    <t>187/PA-HĐBT (RXT)</t>
  </si>
  <si>
    <t>Trương Thị Tuyết Nga</t>
  </si>
  <si>
    <t>41E (số tự cho 229) Chu Văn An, P.Bình Thạnh (Phường 26, quận Bình Thạnh cũ)</t>
  </si>
  <si>
    <t>334/QD-UBND ngày 22/10/2025</t>
  </si>
  <si>
    <t>192/PA-HĐBT (RXT)</t>
  </si>
  <si>
    <t>Các đồng thừa kế của Trần Văn Long và Nguyễn Thị Huệ</t>
  </si>
  <si>
    <t>194/43/28 Bạch Đằng, P.Bình Thạnh (Phường 14, quận Bình Thạnh cũ)</t>
  </si>
  <si>
    <t>338/QD-UBND ngày 22/10/2025</t>
  </si>
  <si>
    <t>1382/QĐ-UBND ngày 31/7/2026</t>
  </si>
  <si>
    <t>195/PA-HĐBT (RXT)</t>
  </si>
  <si>
    <t>442/PA</t>
  </si>
  <si>
    <t>Lâm Thị Lang</t>
  </si>
  <si>
    <t>427/61A Xô Viết Nghệ Tĩnh, P.Bình Thạnh (Phường 26, quận Bình Thạnh cũ)</t>
  </si>
  <si>
    <t>341/QD-UBND ngày 22/10/2025</t>
  </si>
  <si>
    <t>196/PA-HĐBT (RXT)</t>
  </si>
  <si>
    <t>Nguyễn Thị Ngân và các đồng thừa kế của ông Trần Trọng An</t>
  </si>
  <si>
    <t>427/17 (số cũ: 156/4A) Xô Viết Nghệ Tĩnh, P.Bình Thạnh (Phường 26, quận Bình Thạnh cũ)</t>
  </si>
  <si>
    <t>336/QĐ-UBND ngày 22/10/2025</t>
  </si>
  <si>
    <t>202/PA-HĐBT (RXT)</t>
  </si>
  <si>
    <t>Ngô Thị Mỹ Nhân</t>
  </si>
  <si>
    <t>58/22/30 Phan Chu Trinh, P.Bình Thạnh (Phường 14, quận Bình Thạnh cũ)</t>
  </si>
  <si>
    <t>347/QĐ-UBND ngày 23/10/2025</t>
  </si>
  <si>
    <t>203/PA-HĐBT (RXT)</t>
  </si>
  <si>
    <t>Huỳnh Phi Yến</t>
  </si>
  <si>
    <t>194/50/27 Bạch Đằng, P.Bình Thạnh (Phường 14, quận Bình Thạnh cũ)</t>
  </si>
  <si>
    <t>348/QĐ-UBND ngày 23/10/2025</t>
  </si>
  <si>
    <t>212/PA-HĐBT (RXT)</t>
  </si>
  <si>
    <t>Lê Văn Lộc - Đặng Thị Tuyết Minh</t>
  </si>
  <si>
    <t>346/QD-UBND ngày 23/10/2025</t>
  </si>
  <si>
    <t>882/QĐ-UBND Ngày 18/05/2026; 1432/QĐ-UBND ngày 20/08/2026</t>
  </si>
  <si>
    <t>213/PA-HĐBT (RXT)</t>
  </si>
  <si>
    <t>561/PA-HĐBT (RXT)</t>
  </si>
  <si>
    <t xml:space="preserve">Bùi Quốc Khánh ( trước là Nguyễn Thị Thu là đồng sở hữu và là đại diện của những người được thừa kế quyền sử dụng đất của ông Bùi Nhật Tảo) 
</t>
  </si>
  <si>
    <t>20/12B Đinh Bộ Lĩnh, P.Bình Thạnh (Phường 14, quận Bình Thạnh cũ)</t>
  </si>
  <si>
    <t>367/QD-UBND ngày 23/10/2025</t>
  </si>
  <si>
    <t>225/PA-HĐBT (RXT)</t>
  </si>
  <si>
    <t>Nguyễn Thị Thân và các đồng thừa kế của ông Trần Văn Bảo</t>
  </si>
  <si>
    <t>125/77/49 Bùi Đình Túy, P.Bình Thạnh (Phường 14, quận Bình Thạnh cũ)</t>
  </si>
  <si>
    <t>437/QD-UBND ngày 24/10/2025</t>
  </si>
  <si>
    <t>1274/QĐ-UBND ngày 02/7/2026</t>
  </si>
  <si>
    <t>229/PA-HĐBT (RXT)</t>
  </si>
  <si>
    <t>413/PA</t>
  </si>
  <si>
    <t>Nguyễn Văn Hoàng (trước đây là Các đồng thừa kế của ông Nguyễn Văn Mung và bà Trần Thị Kim)</t>
  </si>
  <si>
    <t>184/3/6B24 Nguyễn Xí, P.Bình Thạnh (Phường 26, quận Bình Thạnh cũ)</t>
  </si>
  <si>
    <t>482/QD-UBND ngày 24/10/2025</t>
  </si>
  <si>
    <t>1263/QĐ-UBND ngày 30/6/2026; 1475/QĐ-UBND ngày 28/8/2026</t>
  </si>
  <si>
    <t>236/PA-HĐBT (RXT)</t>
  </si>
  <si>
    <t>392/PA; 566/PA</t>
  </si>
  <si>
    <t>Vũ Thị Hoa</t>
  </si>
  <si>
    <t>32/8/6 (số cũ 705K) Bùi Đình Túy, P.Bình Thạnh (Phường 12, quận Bình Thạnh cũ)</t>
  </si>
  <si>
    <t>435/QD-UBND ngày 24/10/2025</t>
  </si>
  <si>
    <t>240/PA-HĐBT (RXT)</t>
  </si>
  <si>
    <t>Võ Thành Son - Đặng Thị Cuốn</t>
  </si>
  <si>
    <t>194/56L Bạch Đằng, P.Bình Thạnh (Phường 14, quận Bình Thạnh cũ)</t>
  </si>
  <si>
    <t>434/QD-UBND ngày 24/10/2025</t>
  </si>
  <si>
    <t>250/PA-HĐBT (RXT)</t>
  </si>
  <si>
    <t>Lê Thắng Cảnh - Lê Thị Chinh</t>
  </si>
  <si>
    <t>201/132 Nguyễn Xí, P.Bình Thạnh (Phường 26, quận Bình Thạnh cũ)</t>
  </si>
  <si>
    <t>436/QD-UBND ngày 24/10/2025</t>
  </si>
  <si>
    <t>1132/QĐ-UBND ngày 12/06/2026</t>
  </si>
  <si>
    <t>1131/QĐ-UBND ngày 12/6/2026</t>
  </si>
  <si>
    <t>258/PA-HĐBT (RXT)</t>
  </si>
  <si>
    <t>293/PA</t>
  </si>
  <si>
    <t>Nguyễn Thị Ngọc Nga</t>
  </si>
  <si>
    <t>184/3/6B13 Nguyễn Xí, P.Bình Thạnh (Phường 26, quận Bình Thạnh cũ)</t>
  </si>
  <si>
    <t>405/QD-UBND ngày 24/10/2025</t>
  </si>
  <si>
    <t>729/QĐ-UBND ngày 24/4/2026</t>
  </si>
  <si>
    <t>265/PA-HĐBT (RXT)</t>
  </si>
  <si>
    <t>Nguyễn Văn Hầu</t>
  </si>
  <si>
    <t>47/69 Bùi Đình Túy, P.Bình Thạnh (Phường 14, quận Bình Thạnh cũ)</t>
  </si>
  <si>
    <t>428/QD-UBND ngày 24/10/2025</t>
  </si>
  <si>
    <t>1290/QĐ-UBND ngày 08/7/2026</t>
  </si>
  <si>
    <t>273/PA-HĐBT (RXT)</t>
  </si>
  <si>
    <t>356/PA</t>
  </si>
  <si>
    <t>Huỳnh Thị Hương</t>
  </si>
  <si>
    <t>194/50/47 Bạch Đằng, P.Bình Thạnh (Phường 14, quận Bình Thạnh cũ)</t>
  </si>
  <si>
    <t>478/QĐ-UBND ngày 28/10/2025</t>
  </si>
  <si>
    <t>281/PA-HĐBT (RXT)</t>
  </si>
  <si>
    <t>Ninh Công Đức</t>
  </si>
  <si>
    <t>472/QĐ-UBND ngày 28/10/2025</t>
  </si>
  <si>
    <t>1291/QĐ-UBND ngày 08/7/2026</t>
  </si>
  <si>
    <t>284/PA-HĐBT (RXT)</t>
  </si>
  <si>
    <t>380/PA</t>
  </si>
  <si>
    <t>Đặng Tiến Minh</t>
  </si>
  <si>
    <t>194/50/41 Bạch Đằng, P.Bình Thạnh (Phường 14, quận Bình Thạnh cũ)</t>
  </si>
  <si>
    <t>475/QĐ-UBND ngày 28/10/2025</t>
  </si>
  <si>
    <t>288/PA-HĐBT (RXT)</t>
  </si>
  <si>
    <t>Hồ Văn Mỹ - Nguyễn Hoàng Thị Hồng Yến</t>
  </si>
  <si>
    <t>194/50/21 Bạch Đằng, P.Bình Thạnh (Phường 14, quận Bình Thạnh cũ)</t>
  </si>
  <si>
    <t>471/QĐ-UBND ngày 28/10/2025</t>
  </si>
  <si>
    <t>289/PA-HĐBT (RXT)</t>
  </si>
  <si>
    <t>437/PA</t>
  </si>
  <si>
    <t>Ngô Mạnh Hùng</t>
  </si>
  <si>
    <t>407 Xô Viết Nghệ Tĩnh, P.Bình Thạnh (Phường 14, quận Bình Thạnh cũ)</t>
  </si>
  <si>
    <t>477/QĐ-UBND ngày 28/10/2025</t>
  </si>
  <si>
    <t>290/PA-HĐBT (RXT)</t>
  </si>
  <si>
    <t>C</t>
  </si>
  <si>
    <t>Phạm Gia Mỹ - Châu Ngọc Mỹ</t>
  </si>
  <si>
    <t>427/67 Xô Viết Nghệ Tĩnh, P.Bình Thạnh (Phường 26, quận Bình Thạnh cũ)</t>
  </si>
  <si>
    <t>479/QĐ-UBND ngày 28/10/2025</t>
  </si>
  <si>
    <t>291/PA-HĐBT (RXT)</t>
  </si>
  <si>
    <t>Nguyễn Văn Thắng - Nguyễn Thị Phượng</t>
  </si>
  <si>
    <t>201/60/46 Nguyễn Xí, P.Bình Thạnh (Phường 26, quận Bình Thạnh cũ)</t>
  </si>
  <si>
    <t>476/QĐ-UBND ngày 28/10/2025</t>
  </si>
  <si>
    <t>292/PA-HĐBT (RXT)</t>
  </si>
  <si>
    <t>Nguyễn Trí Tôn - Mai Thị Sửu</t>
  </si>
  <si>
    <t>266/20 Bạch Đằng, P.Bình Thạnh (Phường 14, quận Bình Thạnh cũ)</t>
  </si>
  <si>
    <t>487/QĐ-UBND ngày 29/10/2025</t>
  </si>
  <si>
    <t>294/PA-HĐBT (RXT)</t>
  </si>
  <si>
    <t>Phan Thị Mĩnh và những người thừa kế của ông Nguyễn Văn Phương</t>
  </si>
  <si>
    <t>194/50/41A Bạch Đằng, P.Bình Thạnh (Phường 14, quận Bình Thạnh cũ)</t>
  </si>
  <si>
    <t>496/QĐ-UBND ngày 29/10/2025</t>
  </si>
  <si>
    <t>295/PA-HĐBT (RXT)</t>
  </si>
  <si>
    <t>Trịnh Xuân Hòa - Nguyễn Thị Hai</t>
  </si>
  <si>
    <t>194/56K Bạch Đằng, P.Bình Thạnh (Phường 14, quận Bình Thạnh cũ)</t>
  </si>
  <si>
    <t>495/QĐ-UBND ngày 29/10/2025</t>
  </si>
  <si>
    <t>296/PA-HĐBT (RXT)</t>
  </si>
  <si>
    <t>Võ Thị Mỹ Lệ (là người thừa kế theo văn bản thỏa thuận phân chia di sản tại Văn phòng công chứng Đông Thành Phố lập ngày 08/6/2024)</t>
  </si>
  <si>
    <t>58/22/34Y Phan Chu Trinh, P.Bình Thạnh (Phường 14, quận Bình Thạnh cũ)</t>
  </si>
  <si>
    <t>489/QĐ-UBND ngày 29/10/2025</t>
  </si>
  <si>
    <t>297/PA-HĐBT (RXT)</t>
  </si>
  <si>
    <t>Võ Minh Liêm - Đặng Thị Bảo Trân</t>
  </si>
  <si>
    <t>Không số (phía sau nhà 260B) Bạch Đằng, P.Bình Thạnh (Phường 14, quận Bình Thạnh cũ)</t>
  </si>
  <si>
    <t>483/QĐ-UBND ngày 29/10/2025</t>
  </si>
  <si>
    <t>298/PA-HĐBT (RXT)</t>
  </si>
  <si>
    <t>Lê Phước</t>
  </si>
  <si>
    <t>220/28 Nguyễn Xí, P.Bình Thạnh (Phường 26, quận Bình Thạnh cũ)</t>
  </si>
  <si>
    <t>493/QĐ-UBND ngày 29/10/2025</t>
  </si>
  <si>
    <t>299/PA-HĐBT (RXT)</t>
  </si>
  <si>
    <t>Công ty TNHH Tân Hoàng Thân (đang sử dụng)</t>
  </si>
  <si>
    <t>34 - 36B Đinh Bộ Lĩnh, P.Bình Thạnh (Phường 14, quận Bình Thạnh cũ)</t>
  </si>
  <si>
    <t>481/QĐ-UBND ngày 29/10/2025</t>
  </si>
  <si>
    <t>300/PA-HĐBT (RXT)</t>
  </si>
  <si>
    <t>Phạm Ngọc Châu</t>
  </si>
  <si>
    <t>125/110 Bùi Đình Túy, P.Bình Thạnh (Phường 14, quận Bình Thạnh cũ)</t>
  </si>
  <si>
    <t>484/QĐ-UBND ngày 29/10/2025</t>
  </si>
  <si>
    <t>301/PA-HĐBT (RXT)</t>
  </si>
  <si>
    <t>đóng dấu sai</t>
  </si>
  <si>
    <t>Phạm Thanh Ngọc - Võ Thị Yến</t>
  </si>
  <si>
    <t>40E Chu Văn An, P.Bình Thạnh (Phường 26, quận Bình Thạnh cũ)</t>
  </si>
  <si>
    <t>492/QĐ-UBND ngày 29/10/2025</t>
  </si>
  <si>
    <t>374/QĐ-UBND ngày 07/04/2026</t>
  </si>
  <si>
    <t>302/PA-HĐBT (RXT)</t>
  </si>
  <si>
    <t>Dương Thanh Khiết - Nguyễn Minh Ngọc Bích</t>
  </si>
  <si>
    <t>32/40/41 (số cũ 662/117) Bùi Đình Túy, P.Bình Thạnh (Phường 12, quận Bình Thạnh cũ)</t>
  </si>
  <si>
    <t>488/QĐ-UBND ngày 29/10/2025</t>
  </si>
  <si>
    <t>303/PA-HĐBT (RXT)</t>
  </si>
  <si>
    <t>Phan Xuân Hoàng - Nguyễn Thị Kim Hân</t>
  </si>
  <si>
    <t>220/2A Nguyễn Xí, P.Bình Thạnh (Phường 26, quận Bình Thạnh cũ)</t>
  </si>
  <si>
    <t>494/QĐ-UBND ngày 29/10/2025</t>
  </si>
  <si>
    <t>304/PA-HĐBT (RXT)</t>
  </si>
  <si>
    <t>Võ Minh Sơn - Hồ Thị A</t>
  </si>
  <si>
    <t>220/2 Nguyễn Xí, P.Bình Thạnh (Phường 26, quận Bình Thạnh cũ)</t>
  </si>
  <si>
    <t>498/QĐ-UBND ngày 29/10/2025</t>
  </si>
  <si>
    <t>306/PA-HĐBT (RXT)</t>
  </si>
  <si>
    <t>Các đồng thừa kế của bà Nguyễn Thị Sáu và ông Nguyễn Trung Phương</t>
  </si>
  <si>
    <t>427/39 Xô Viết Nghệ Tĩnh, P.Bình Thạnh (Phường 26, quận Bình Thạnh cũ)</t>
  </si>
  <si>
    <t>486/QĐ-UBND ngày 29/10/2025</t>
  </si>
  <si>
    <t>1336/QĐ-UBND ngày 16/7/2026</t>
  </si>
  <si>
    <t>307/PA-HĐBT (RXT)</t>
  </si>
  <si>
    <t>453/PA</t>
  </si>
  <si>
    <t>Bùi Thị Thanh Tuyền</t>
  </si>
  <si>
    <t>220/44A Nguyễn Xí, P.Bình Thạnh (Phường 26, quận Bình Thạnh cũ)</t>
  </si>
  <si>
    <t>491/QĐ-UBND ngày 29/10/2025</t>
  </si>
  <si>
    <t>929/QĐ-UBND ngày 26/05/2026; 1432/QĐ-UBND ngày 20/08/2026</t>
  </si>
  <si>
    <t>308/PA-HĐBT (RXT)</t>
  </si>
  <si>
    <t>Lê Ngọc Long - Phan Thị Thanh Tâm</t>
  </si>
  <si>
    <t>485/QĐ-UBND ngày 29/10/2025</t>
  </si>
  <si>
    <t>1389/QĐ-UBND ngày 06/8/2026</t>
  </si>
  <si>
    <t>309/PA-HĐBT (RXT)</t>
  </si>
  <si>
    <t>512/PA</t>
  </si>
  <si>
    <t>Nguyễn Đá - Chim Thị Lan</t>
  </si>
  <si>
    <t>47/51A Bùi Đình Túy, P.Bình Thạnh (Phường 14, quận Bình Thạnh cũ)</t>
  </si>
  <si>
    <t>490/QĐ-UBND ngày 29/10/2025</t>
  </si>
  <si>
    <t>1169/QĐ-UBND ngày 16/06/2026</t>
  </si>
  <si>
    <t>1121/QĐ-UBND ngày 11/6/2026</t>
  </si>
  <si>
    <t>311/PA-HĐBT (RXT)</t>
  </si>
  <si>
    <t>Đào Thị Bạch</t>
  </si>
  <si>
    <t>184/3/6B14 Nguyễn Xí, P.Bình Thạnh (Phường 26, quận Bình Thạnh cũ)</t>
  </si>
  <si>
    <t>506/QĐ-UBND ngày 30/10/2025</t>
  </si>
  <si>
    <t>315/PA-HĐBT (RXT)</t>
  </si>
  <si>
    <t>Nguyễn Hữu Vân - Lê Thị Tư</t>
  </si>
  <si>
    <t>194/50/62 Bạch Đằng, P.Bình Thạnh (Phường 14, quận Bình Thạnh cũ)</t>
  </si>
  <si>
    <t>503/QĐ-UBND ngày 30/10/2025</t>
  </si>
  <si>
    <t>316/PA-HĐBT (RXT)</t>
  </si>
  <si>
    <t>Nguyễn Thị Nhung</t>
  </si>
  <si>
    <t>662/76 Bùi Đình Túy, P.Bình Thạnh (Phường 12, quận Bình Thạnh cũ)</t>
  </si>
  <si>
    <t>507/QĐ-UBND ngày 30/10/2025</t>
  </si>
  <si>
    <t>317/PA-HĐBT (RXT)</t>
  </si>
  <si>
    <t>Mai Phong</t>
  </si>
  <si>
    <t>184/3/6B3 Nguyễn Xí, P.Bình Thạnh (Phường 26, quận Bình Thạnh cũ)</t>
  </si>
  <si>
    <t>502/QĐ-UBND ngày 30/10/2025</t>
  </si>
  <si>
    <t>318/PA-HĐBT (RXT)</t>
  </si>
  <si>
    <t>Nguyễn Thị Xứng</t>
  </si>
  <si>
    <t>125/77/20 Bùi Đình Túy, P.Bình Thạnh (Phường 14, quận Bình Thạnh cũ)</t>
  </si>
  <si>
    <t>501/QĐ-UBND ngày 30/10/2025</t>
  </si>
  <si>
    <t>319/PA-HĐBT (RXT)</t>
  </si>
  <si>
    <t>Phạm Văn Hùng - Nguyễn Thị Loan</t>
  </si>
  <si>
    <t>238/31 Bạch Đằng, P.Bình Thạnh (Phường 14, quận Bình Thạnh cũ)</t>
  </si>
  <si>
    <t>505/QĐ-UBND ngày 30/10/2025</t>
  </si>
  <si>
    <t>320/PA-HĐBT (RXT)</t>
  </si>
  <si>
    <t>Các đồng thừa kế của bà Nguyễn Thị Tới và ông Ngô Văn Quế</t>
  </si>
  <si>
    <t>413 Xô Viết Nghệ Tĩnh, P.Bình Thạnh (Phường 26, quận Bình Thạnh cũ)</t>
  </si>
  <si>
    <t>511/QĐ-UBND ngày 31/10/2025</t>
  </si>
  <si>
    <t>321/PA-HĐBT (RXT)</t>
  </si>
  <si>
    <t>Mai Thị Lương và các đồng thừa kế của ông Nguyễn Văn Chánh</t>
  </si>
  <si>
    <t>427/75 Xô Viết Nghệ Tĩnh, P.Bình Thạnh (Phường 26, quận Bình Thạnh cũ)</t>
  </si>
  <si>
    <t>513/QĐ-UBND ngày 31/10/2025</t>
  </si>
  <si>
    <t>325/PA-HĐBT (RXT)</t>
  </si>
  <si>
    <t>Các đồng thừa kế của ông Đặng Văn Một - bà Huỳnh Thị Thôi</t>
  </si>
  <si>
    <t>42/365 Huỳnh Đình Hai, P.Bình Thạnh (Phường 14, quận Bình Thạnh cũ)</t>
  </si>
  <si>
    <t>687/QĐ-UBND ngày 06/11/2025</t>
  </si>
  <si>
    <t>429/QĐ-UBND ngày 24/10/2025</t>
  </si>
  <si>
    <t>274/PA-HĐBT (RXT)</t>
  </si>
  <si>
    <t>Bùi Thành Phát - Nguyễn Thị Hoa</t>
  </si>
  <si>
    <t>508/QĐ-UBND ngày 30/10/2025</t>
  </si>
  <si>
    <t>1395/QĐ-UBND ngày 07/8/2026</t>
  </si>
  <si>
    <t>314/PA-HĐBT (RXT)</t>
  </si>
  <si>
    <t>517/PA</t>
  </si>
  <si>
    <t>Võ Thị Xuân và các đồng thừa kế của ông Nguyễn Thanh Trung</t>
  </si>
  <si>
    <t>184/3/6B12 Nguyễn Xí, P.Bình Thạnh (Phường 26, quận Bình Thạnh cũ)</t>
  </si>
  <si>
    <t>512/QĐ-UBND ngày 31/10/2025</t>
  </si>
  <si>
    <t>322/PA-HĐBT (RXT)</t>
  </si>
  <si>
    <t>514/QĐ-UBND ngày 31/10/2025</t>
  </si>
  <si>
    <t>324/PA-HĐBT(RXT)</t>
  </si>
  <si>
    <t>403/PA</t>
  </si>
  <si>
    <t>Đỗ Văn Chính - Phạm Minh Hương</t>
  </si>
  <si>
    <t>32/8/4
( số cũ 705I) Bùi Đình Túy, P.Bình Thạnh (Phường 12, quận Bình Thạnh cũ)</t>
  </si>
  <si>
    <t>517/QĐ-UBND ngày 03/11/2025</t>
  </si>
  <si>
    <t>328/PA-HĐBT(RXT)</t>
  </si>
  <si>
    <t>271/PA</t>
  </si>
  <si>
    <t>Các đồng thừa kế của ông Phú Canh và bà Lâm Thị Mười</t>
  </si>
  <si>
    <t>427/63 Xô Viết Nghệ Tĩnh, P.Bình Thạnh (Phường 26, quận Bình Thạnh cũ)</t>
  </si>
  <si>
    <t>520/QĐ-UBND ngày 03/11/2025</t>
  </si>
  <si>
    <t>1387/QĐ-UBND ngày 04/08/2026;1456/QĐ-UBND ngày 28/08/2026</t>
  </si>
  <si>
    <t>331/PA-HĐBT(RXT)</t>
  </si>
  <si>
    <t>Phạm Thị Bích Trang</t>
  </si>
  <si>
    <t>Không số (trong khuôn viên 234/7) Bạch Đằng, P.Bình Thạnh (Phường 14, quận Bình Thạnh cũ)</t>
  </si>
  <si>
    <t>521/QĐ-UBND ngày 03/11/2025</t>
  </si>
  <si>
    <t>336/PA-HĐBT(RXT)</t>
  </si>
  <si>
    <t>Nguyễn thị Kim Thoa</t>
  </si>
  <si>
    <t>519/QĐ-UBND ngày 03/11/2025</t>
  </si>
  <si>
    <t>340/PA-HĐBT(RXT)</t>
  </si>
  <si>
    <t xml:space="preserve">Nguyễn Thị Phương Minh và các đồng thừa kế của ông Nguyễn Bảo Hoàng
</t>
  </si>
  <si>
    <t>165/1 Xô Viết Nghệ Tĩnh, P.Bình Thạnh (Phường 26, quận Bình Thạnh cũ)</t>
  </si>
  <si>
    <t>518/QĐ-UBND ngày 03/11/2025</t>
  </si>
  <si>
    <t>342/PA-HĐBT(RXT)</t>
  </si>
  <si>
    <t xml:space="preserve">Nguyễn Thị Bích Hà - Nguyễn Thị Bích Ngọc - Nguyễn Thị Bích Hằng
</t>
  </si>
  <si>
    <t>47/15 Bùi Đình Túy, P.Bình Thạnh (Phường 14, quận Bình Thạnh cũ)</t>
  </si>
  <si>
    <t>732/QĐ-UBND ngày 10/11/2025</t>
  </si>
  <si>
    <t>586/QĐ-UBND ngày 04/11/2025</t>
  </si>
  <si>
    <t xml:space="preserve">1473/QĐ-UBND ngày 28/08/2026 
</t>
  </si>
  <si>
    <t>146/QĐ-UBND ngày 30/01/2026, 1223/QĐ-UBND ngày 22/6/2026</t>
  </si>
  <si>
    <t>375/PA-HĐBT (RXT)</t>
  </si>
  <si>
    <t>562/PA-HĐBT(RXT)</t>
  </si>
  <si>
    <t>Nguyễn Quang Hưng</t>
  </si>
  <si>
    <t>20/20 Đinh Bộ Lĩnh, P.Bình Thạnh (Phường 14, quận Bình Thạnh cũ)</t>
  </si>
  <si>
    <t>606/QĐ-UBND ngày 05/11/2025</t>
  </si>
  <si>
    <t>388/PA-HĐBT (RXT)</t>
  </si>
  <si>
    <t>273/PA</t>
  </si>
  <si>
    <t xml:space="preserve">Đinh Hương Thu Thủy
</t>
  </si>
  <si>
    <t>35/18G Đinh Bộ Lĩnh, P.Bình Thạnh (Phường 14, quận Bình Thạnh cũ)</t>
  </si>
  <si>
    <t>621/QĐ-UBND ngày 05/11/2025</t>
  </si>
  <si>
    <t>1172/QĐ-UBND ngày 16/06/2026</t>
  </si>
  <si>
    <t>1171/QĐ-UBND ngày 16/6/2026</t>
  </si>
  <si>
    <t>422/PA-HĐBT (RXT)</t>
  </si>
  <si>
    <t>Nguyễn Văn Long - Phạm Thị Loan</t>
  </si>
  <si>
    <t>79/52 Nguyễn Xí, P.Bình Thạnh (Phường 26, quận Bình Thạnh cũ)</t>
  </si>
  <si>
    <t>629/QĐ-UBND ngày 05/11/2025</t>
  </si>
  <si>
    <t>448/PA-HĐBT(RXT) bị sửa đổi, bổ sung và thay thế bơi 15/PA</t>
  </si>
  <si>
    <t>Lưu Thị Thu Hiền đổi thành Nguyễn Thị Thúy Hằng và Nguyễn Văn Út</t>
  </si>
  <si>
    <t>Không số Nơ Trang long, P.Bình Thạnh (Phường 12, quận Bình Thạnh cũ)</t>
  </si>
  <si>
    <t>69/QĐ-UBND ngày 22/01/2026</t>
  </si>
  <si>
    <t>15/PA-HĐBT(RXT) sửa đổi bổ sung thay thế 448/PA</t>
  </si>
  <si>
    <t>633/QĐ-UBND ngày 05/11/2025</t>
  </si>
  <si>
    <t>1304/QĐ-UBND ngày 09/7/2026</t>
  </si>
  <si>
    <t>308/PA</t>
  </si>
  <si>
    <t>Ngô Gia Hòa - Lê Thị Hằng</t>
  </si>
  <si>
    <t>Nhà thuộc khuôn viên số 79/43 Nguyễn Xí, P.Bình Thạnh (Phường 26, quận Bình Thạnh cũ)</t>
  </si>
  <si>
    <t>632/QĐ-UBND ngày 05/11/2025</t>
  </si>
  <si>
    <t>Đợi điểu chỉnh giảm</t>
  </si>
  <si>
    <t>470/PA-HĐBT(RXT) bị sửa đổi, bổ sung và thay thế bởi PA 473/PA-HĐBT(RXT)</t>
  </si>
  <si>
    <t>Bùi Thị Mỹ Nương</t>
  </si>
  <si>
    <t>Nhà đất nằm trong khuôn viên nhà số 79/43 Nguyễn Xí, P.Bình Thạnh (Phường 26, quận Bình Thạnh cũ)</t>
  </si>
  <si>
    <t>685/QĐ-UBND ngày 06/11/2025</t>
  </si>
  <si>
    <t>529/PA-HĐBT(RXT)</t>
  </si>
  <si>
    <t>Nguyễn Sơn Hùng - Lê Võ Thái Châu</t>
  </si>
  <si>
    <t>47/45 Bùi Đình Túy, P.Bình Thạnh (Phường 14, quận Bình Thạnh cũ)</t>
  </si>
  <si>
    <t>734/QĐ-UBND
ngày 12/11/2025</t>
  </si>
  <si>
    <t>430/QĐ-UBND ngày 24/10/2025</t>
  </si>
  <si>
    <t>1478/QĐ-UBND ngày 03/9/2026</t>
  </si>
  <si>
    <t>272/PA-HĐBT (RXT)</t>
  </si>
  <si>
    <t>565/PA</t>
  </si>
  <si>
    <t>Phạm Đông Phương - Nguyễn Thị Mai Hương</t>
  </si>
  <si>
    <t>374 Chu Văn An, P.Bình Thạnh (Phường 26, quận Bình Thạnh cũ)</t>
  </si>
  <si>
    <t>500/QĐ-UBND ngày 29/10/2025</t>
  </si>
  <si>
    <t>'280/PA-HĐBT (RXT)</t>
  </si>
  <si>
    <t>Nguyễn Thị Thanh Sơn và các đồng thừa kế của ông Phạm Như Mai</t>
  </si>
  <si>
    <t>238/29 Bạch Đằng, P.Bình Thạnh (Phường 14, quận Bình Thạnh cũ)</t>
  </si>
  <si>
    <t>474/QĐ-UBND ngày 28/10/2025</t>
  </si>
  <si>
    <t>282/PA-HĐBT (RXT)</t>
  </si>
  <si>
    <t>674/PA-HĐBT (RXT)</t>
  </si>
  <si>
    <t>Lê Văn Canh (đại diện các đồng thừa kế gồm: Lê Thị Hữu, Lê Văn Phước, Lê Văn Khải, Lê Thị Gian, Lê Thị Sơn, Lê Thị Gấm, Lê Văn Hùng, Lê Thị Ngọc).</t>
  </si>
  <si>
    <t>397 Đinh Bộ Lĩnh, P.Bình Thạnh (Phường 26, quận Bình Thạnh cũ)</t>
  </si>
  <si>
    <t>473/QĐ-UBND ngày 28/10/2025</t>
  </si>
  <si>
    <t>285/PA-HĐBT (RXT)</t>
  </si>
  <si>
    <t>Phạm Thị Tuyết Mai - Lê Thu Trang</t>
  </si>
  <si>
    <t>697 Bùi Đình Túy, P.Bình Thạnh (Phường 12, quận Bình Thạnh cũ)</t>
  </si>
  <si>
    <t>480/QĐ-UBND ngày 28/10/2025</t>
  </si>
  <si>
    <t>305/PA-HĐBT (RXT)</t>
  </si>
  <si>
    <t xml:space="preserve">Phạm Bá Minh
</t>
  </si>
  <si>
    <t>235 Chu Văn An, P.Bình Thạnh (Phường 26, quận Bình Thạnh cũ)</t>
  </si>
  <si>
    <t>482/QĐ-UBND ngày 28/10/2025</t>
  </si>
  <si>
    <t>312/PA-HĐBT (RXT)</t>
  </si>
  <si>
    <t>220/53 Nguyễn Xí, P.Bình Thạnh (Phường 26, quận Bình Thạnh cũ)</t>
  </si>
  <si>
    <t>497/QĐ-UBND ngày 29/10/2025</t>
  </si>
  <si>
    <t>313/PA-HĐBT (RXT)</t>
  </si>
  <si>
    <t>Nguyễn Thị Thìn và các đồng kế của ông Nguyễn Bá Tòng</t>
  </si>
  <si>
    <t>184/3/6B28 Nguyễn Xí, P.Bình Thạnh (Phường 26, quận Bình Thạnh cũ)</t>
  </si>
  <si>
    <t>515/QĐ-UBND ngày 31/10/2025</t>
  </si>
  <si>
    <t>326/PA-HĐBT (RXT)</t>
  </si>
  <si>
    <t>Đặng Văn Sơn - Trần Thị Hường</t>
  </si>
  <si>
    <t>194/50/58 Bạch Đằng, P.Bình Thạnh (Phường 14, quận Bình Thạnh cũ)</t>
  </si>
  <si>
    <t>529/QĐ-UBND ngày 03/11/2025</t>
  </si>
  <si>
    <t>329/PA-HĐBT (RXT)</t>
  </si>
  <si>
    <t>Bùi Văn Sơn - Lê Thị Nguyệt An</t>
  </si>
  <si>
    <t>184/3/6B4 Nguyễn Xí, P.'Bình Thạnh (Phường 26, quận Bình Thạnh cũ</t>
  </si>
  <si>
    <t>527/QĐ-UBND ngày 03/11/2025</t>
  </si>
  <si>
    <t>330/PA-HĐBT (RXT)</t>
  </si>
  <si>
    <t>Tam Quan Thiên Hương (là người đại diện của những người được thừa kế gồm : Lee Yin Cheng, Lee Yin Yi)</t>
  </si>
  <si>
    <t>705F Bùi Đình Túy, P.Bình Thạnh
(Phường 12, quận Bình Thạnh cũ)</t>
  </si>
  <si>
    <t>525/QĐ-UBND ngày 03/11/2025</t>
  </si>
  <si>
    <t>332/PA-HĐBT (RXT)</t>
  </si>
  <si>
    <t>220/34A Nguyễn Xí, P.Bình Thạnh 
(Phường 26 quận Bình Thạnh cũ)</t>
  </si>
  <si>
    <t>524/QĐ-UBND ngày 03/11/2025</t>
  </si>
  <si>
    <t>333/PA-HĐBT (RXT)</t>
  </si>
  <si>
    <t>Nguyễn Thị Kim Thoa</t>
  </si>
  <si>
    <t>Không số (trong khuôn viên nhà đất số 234/7) Bạch Đằng, P.Bình Thạnh 
(Phường 14 quận Bình Thạnh cũ)</t>
  </si>
  <si>
    <t>523/QĐ-UBND ngày 03/11/2025</t>
  </si>
  <si>
    <t>334/PA-HĐBT (RXT)</t>
  </si>
  <si>
    <t>Nguyễn Đức Bằng - Nguyễn Thị Kim Thủy</t>
  </si>
  <si>
    <t>Không số (trong khuôn viên 234/7) Bạch Đằng, P.Bình Thạnh 
(Phường 14 quận Bình Thạnh cũ)</t>
  </si>
  <si>
    <t>538/QĐ-UBND ngày 03/11/2025</t>
  </si>
  <si>
    <t>818/QĐ-UBND ngày 11/05/2026;1388/QĐ-UBND ngày 04/08/2026</t>
  </si>
  <si>
    <t>335/PA-HĐBT (RXT)</t>
  </si>
  <si>
    <t>Không số (trong khuôn viên nhà 234/7) Bạch Đằng, P.Bình Thạnh (Phường 14, quận Bình Thạnh cũ)</t>
  </si>
  <si>
    <t>528/QĐ-UBND ngày 03/11/2025</t>
  </si>
  <si>
    <t>337/PA-HĐBT (RXT)</t>
  </si>
  <si>
    <t>Nguyễn Duy Tòng - Nguyễn Thị Tư</t>
  </si>
  <si>
    <t>201/126 Nguyễn Xí, P.Bình Thạnh 
(Phường 26 quận Bình Thạnh cũ)</t>
  </si>
  <si>
    <t>526/QĐ-UBND ngày 03/11/2025</t>
  </si>
  <si>
    <t>Đợi điều chỉnh giảm</t>
  </si>
  <si>
    <t>338/PA-HĐBT (RXT) bị 132/PA-HĐBT(RXT) ngày 07/6/2026 thay thế</t>
  </si>
  <si>
    <t>Phạm Lân</t>
  </si>
  <si>
    <t>Không số (trong khuôn viên nhà đất 234/7) Bạch Đằng, P.Bình Thạnh 
( Phường 14 quận Bình Thạnh cũ)</t>
  </si>
  <si>
    <t>530/QĐ-UBND ngày 03/11/2025</t>
  </si>
  <si>
    <t>339/PA-HĐBT (RXT) bị thay thế 221/PA-HĐBT(RXT) ngày 24/4/2026</t>
  </si>
  <si>
    <t>522/QĐ-UBND ngày 03/11/2025</t>
  </si>
  <si>
    <t>341/PA-HĐBT (RXT)</t>
  </si>
  <si>
    <t>631/PA-HĐBT (RXT)</t>
  </si>
  <si>
    <t>Hồ Thị Thơm - Nguyễn Phú Quốc</t>
  </si>
  <si>
    <t>Không số (phía sau nhà 234/7 ) Bạch Đằng, P.Bình Thạnh 
( Phường 14 quận Bình Thạnh cũ)</t>
  </si>
  <si>
    <t>533/QĐ-UBND ngày 04/11/2025</t>
  </si>
  <si>
    <t>343/PA-HĐBT (RXT)</t>
  </si>
  <si>
    <t>Lê Văn Nhân - Huỳnh Thị Tánh</t>
  </si>
  <si>
    <t>220/7 Nguyễn Xí, P.Bình Thạnh (Phường 26, quận Bình Thạnh cũ)</t>
  </si>
  <si>
    <t>572/QĐ-UBND ngày 04/11/2025</t>
  </si>
  <si>
    <t>344/PA-HĐBT (RXT)</t>
  </si>
  <si>
    <t>Phan Văn Hiếp - Đỗ Thị Nhôm</t>
  </si>
  <si>
    <t>290/45/20/47 Nơ Trang Long, P.Bình Thạnh 
(Phường 12, quận Bình Thạnh cũ)</t>
  </si>
  <si>
    <t>567/QĐ-UBND ngày 04/11/2025</t>
  </si>
  <si>
    <t>345/PA-HĐBT (RXT)</t>
  </si>
  <si>
    <t>Huỳnh Kim Ánh - Dương Minh Tiến</t>
  </si>
  <si>
    <t>220/44B Nguyễn Xí, P.Bình Thạnh 
(Phường 26, quận Bình Thạnh cũ)</t>
  </si>
  <si>
    <t>562/QĐ-UBND ngày 04/11/2025</t>
  </si>
  <si>
    <t>116/QĐ-UBND ngày 23/01/2026, 821/QĐ-UBND ngày 11/05/2026,819/QĐ-UBND ngày 11/05/2026; 1415/QĐ-UBND ngày 14/8/2026</t>
  </si>
  <si>
    <t>346/PA-HĐBT (RXT)</t>
  </si>
  <si>
    <t>Trịnh Hoàng Dũng</t>
  </si>
  <si>
    <t>Không số Nơ Trang Long, P.Bình Thạnh 
(Phường 12, quận Bình Thạnh cũ)</t>
  </si>
  <si>
    <t>532/QĐ-UBND ngày 04/11/2025</t>
  </si>
  <si>
    <t>347/PA-HĐBT (RXT)</t>
  </si>
  <si>
    <t>Võ Văn Hay - Lê Thị Dung</t>
  </si>
  <si>
    <t>360 Chu Văn An, P.Bình Thạnh (Phường 26, quận Bình Thạnh cũ)</t>
  </si>
  <si>
    <t>571/QĐ-UBND ngày 04/11/2025</t>
  </si>
  <si>
    <t>348/PA-HĐBT (RXT)</t>
  </si>
  <si>
    <t>Bùi Mạnh Tường - Phù Mỹ Dung</t>
  </si>
  <si>
    <t>220/44 Nguyễn Xí, P.Bình Thạnh 
(Phường 26, quận Bình Thạnh cũ)</t>
  </si>
  <si>
    <t>537/QĐ-UBND ngày 04/11/2025</t>
  </si>
  <si>
    <t>349/PA-HĐBT (RXT)</t>
  </si>
  <si>
    <t>Các đồng thừa kế của ông Bùi Văn Hoàng và bà Lê Thị Mai</t>
  </si>
  <si>
    <t>58/22/34H Phan Chu Trinh, P.Bình Thạnh (Phường 14, quận Bình Thạnh cũ)</t>
  </si>
  <si>
    <t>553/QĐ-UBND ngày 04/11/2025</t>
  </si>
  <si>
    <t>351/PA-HĐBT (RXT)</t>
  </si>
  <si>
    <t>Phạm Văn Quân - Trần Cúc Thu</t>
  </si>
  <si>
    <t>234/9B1 Bạch Đằng, P.Bình Thạnh (Phường 14, quận Bình Thạnh cũ)</t>
  </si>
  <si>
    <t>545/QĐ-UBND ngày 04/11/2025</t>
  </si>
  <si>
    <t>352/PA-HĐBT (RXT)</t>
  </si>
  <si>
    <t>382/PA</t>
  </si>
  <si>
    <t>Đặng Thị Hiền</t>
  </si>
  <si>
    <t>238/30 Bạch Đằng, P.Bình Thạnh (Phường 14, quận Bình Thạnh cũ)</t>
  </si>
  <si>
    <t>536/QĐ-UBND ngày 04/11/2025</t>
  </si>
  <si>
    <t>1219/QĐ-UBND ngày 20/06/2026</t>
  </si>
  <si>
    <t>353/PA-HĐBT (RXT)</t>
  </si>
  <si>
    <t>270/PA</t>
  </si>
  <si>
    <t>Nguyễn Từ Thu Trang</t>
  </si>
  <si>
    <t>234/11A Bạch Đằng, P.Bình Thạnh (Phường 14, quận Bình Thạnh cũ)</t>
  </si>
  <si>
    <t>544/QĐ-UBND ngày 04/11/2025</t>
  </si>
  <si>
    <t>354/PA-HĐBT (RXT)</t>
  </si>
  <si>
    <t>Lê Thị Hồng</t>
  </si>
  <si>
    <t>234/9C Bạch Đằng, P.Bình Thạnh 
(Phường 14, quận Bình Thạnh cũ)</t>
  </si>
  <si>
    <t>555/QĐ-UBND ngày 04/11/2025</t>
  </si>
  <si>
    <t>355/PA-HĐBT (RXT)</t>
  </si>
  <si>
    <t>Nguyễn Thị Thu Vân</t>
  </si>
  <si>
    <t>234/11D1 Bạch Đằng, P.Bình Thạnh (Phường 14, quận Bình Thạnh cũ)</t>
  </si>
  <si>
    <t>556/QĐ-UBND ngày 04/11/2025</t>
  </si>
  <si>
    <t>356/PA-HĐBT (RXT)</t>
  </si>
  <si>
    <t>Lưu Vĩnh Trung</t>
  </si>
  <si>
    <t>234/9G Bạch Đằng, P.Bình Thạnh (Phường 14, quận Bình Thạnh cũ)</t>
  </si>
  <si>
    <t>534/QĐ-UBND ngày 04/11/2025</t>
  </si>
  <si>
    <t>1429/QĐ-UBND ngày 20/8/2026</t>
  </si>
  <si>
    <t>357/PA-HĐBT (RXT)</t>
  </si>
  <si>
    <t>528/PA</t>
  </si>
  <si>
    <t>Trần Thị Thu Hồng - Nguyễn Văn Hiền</t>
  </si>
  <si>
    <t>234/11D Bạch Đằng, P.Bình Thạnh (Phường 14, quận Bình Thạnh cũ)</t>
  </si>
  <si>
    <t>539/QĐ-UBND ngày 04/11/2025</t>
  </si>
  <si>
    <t>1161/QĐ-UBND ngày 15/06/2026</t>
  </si>
  <si>
    <t>358/PA-HĐBT (RXT)</t>
  </si>
  <si>
    <t>Lê Thị Đan Thanh</t>
  </si>
  <si>
    <t>234/9B Bạch Đằng, P.Bình Thạnh (Phường 14, quận Bình Thạnh cũ)</t>
  </si>
  <si>
    <t>552/QĐ-UBND ngày 04/11/2025</t>
  </si>
  <si>
    <t>359/PA-HĐBT (RXT)</t>
  </si>
  <si>
    <t>Hoàng Đức Chính - Vũ Thị Hậu</t>
  </si>
  <si>
    <t>194/50/46 Bạch Đằng, P.Bình Thạnh (Phường 14, quận Bình Thạnh cũ)</t>
  </si>
  <si>
    <t>540/QĐ-UBND ngày 04/11/2025</t>
  </si>
  <si>
    <t>360/PA-HĐBT(RXT)</t>
  </si>
  <si>
    <t>Võ Thị Thân - Nguyễn Trọng Dũng</t>
  </si>
  <si>
    <t>234/9F Bạch Đằng, P.Bình Thạnh (Phường 14, quận Bình Thạnh cũ)</t>
  </si>
  <si>
    <t>543/QĐ-UBND ngày 04/11/2025</t>
  </si>
  <si>
    <t>361/PA-HĐBT (RXT)</t>
  </si>
  <si>
    <t>Trần Thị Mộng Tuyền - Nguyễn Hoàng Cường</t>
  </si>
  <si>
    <t>234/9A Bạch Đằng, P.Bình Thạnh (Phường 14, quận Bình Thạnh cũ)</t>
  </si>
  <si>
    <t>535/QĐ-UBND ngày 04/11/2025</t>
  </si>
  <si>
    <t>362/PA-HĐBT (RXT)</t>
  </si>
  <si>
    <t>Hoàng Thị Hương Trang - Nguyễn Xuân Châu</t>
  </si>
  <si>
    <t>Không số (phía sau nhà 234/7) Bạch Đằng, P.Bình Thạnh (Phường 14, quận Bình Thạnh cũ)</t>
  </si>
  <si>
    <t>542/QĐ-UBND ngày 04/11/2025</t>
  </si>
  <si>
    <t>363/PA-HĐBT (RXT)</t>
  </si>
  <si>
    <t>Nguyễn Thị Trực - Nguyễn Thanh Hồng</t>
  </si>
  <si>
    <t>125/77/16A Bùi Đình Túy, P.Bình Thạnh 
(Phường 14, quận Bình Thạnh cũ)</t>
  </si>
  <si>
    <t>554/QĐ-UBND ngày 04/11/2025</t>
  </si>
  <si>
    <t>364/PA-HĐBT (RXT)</t>
  </si>
  <si>
    <t>698/PA-HĐBT(RXT)</t>
  </si>
  <si>
    <t>Trần Thị Tố Huyền</t>
  </si>
  <si>
    <t>582/QĐ-UBND ngày 04/11/2025</t>
  </si>
  <si>
    <t>365/PA-HĐBT (RXT)</t>
  </si>
  <si>
    <t>Trương Kim Minh Nhựt - Lê Hải Hoàng Trang</t>
  </si>
  <si>
    <t>220/60 Nguyễn Xí, P.Bình Thạnh (Phường 26, quận Bình Thạnh cũ)</t>
  </si>
  <si>
    <t>541/QĐ-UBND ngày 04/11/2025</t>
  </si>
  <si>
    <t>1313/QĐ-UBND ngày 13/07/2026; 1480/QĐ-UBND ngày 07/09/2026</t>
  </si>
  <si>
    <t>366/PA-HĐBT (RXT)</t>
  </si>
  <si>
    <t>Phạm Thị Lượm</t>
  </si>
  <si>
    <t>234/15 Bạch Đằng, P.Bình Thạnh (Phường 14, quận Bình Thạnh cũ)</t>
  </si>
  <si>
    <t>585/QĐ-UBND ngày 04/11/2025</t>
  </si>
  <si>
    <t>1226A/QĐ-UBND ngày 23/6/2026</t>
  </si>
  <si>
    <t>367/PA-HĐBT (RXT)</t>
  </si>
  <si>
    <t>651/PA-HĐBT (RXT); 397/PA</t>
  </si>
  <si>
    <t xml:space="preserve">Nguyễn Thị Bích Tuyền - Lê Văn Dũng
</t>
  </si>
  <si>
    <t>559/QĐ-UBND ngày 04/11/2025</t>
  </si>
  <si>
    <t>1160/QĐ-UBND ngày 15/6/2026</t>
  </si>
  <si>
    <t>368/PA-HĐBT (RXT)</t>
  </si>
  <si>
    <t>229/PA</t>
  </si>
  <si>
    <t>Nguyễn Kỳ Phát - Trần Thị Kim Mai</t>
  </si>
  <si>
    <t>234/13 Bạch Đằng, P.Bình Thạnh (Phường 14, quận Bình Thạnh cũ)</t>
  </si>
  <si>
    <t>584/QĐ-UBND ngày 04/11/2025</t>
  </si>
  <si>
    <t>1419/QĐ-UBND ngày 17/8/2026</t>
  </si>
  <si>
    <t>369/PA-HĐBT (RXT)</t>
  </si>
  <si>
    <t>494/PA</t>
  </si>
  <si>
    <t>Đào Thị Lai</t>
  </si>
  <si>
    <t>79/52 Nguyên Xí, P.Bình Thạnh (Phường 26, quận Bình Thạnh cũ)</t>
  </si>
  <si>
    <t>546/QĐ-UBND ngày 04/11/2025</t>
  </si>
  <si>
    <t>370/PA-HĐBT (RXT)</t>
  </si>
  <si>
    <t>Lê Thị Chiếu và các đồng thừa kế của ông Nguyễn Thành Cao</t>
  </si>
  <si>
    <t>42/371 (Số tự cho 58/165 đường Phan Chu Trinh) Huỳnh Đình Hai, P.Bình Thạnh (Phường 14, quận Bình Thạnh cũ)</t>
  </si>
  <si>
    <t>568/QĐ-UBND ngày 04/11/2025</t>
  </si>
  <si>
    <t>1489/QĐ-UBND ngày 11/9/2026</t>
  </si>
  <si>
    <t>372/PA-HĐBT (RXT)</t>
  </si>
  <si>
    <t>543/PA</t>
  </si>
  <si>
    <t>58/165 (Số cũ 42/371 Huỳnh Đình Hai) Phan Chu Trinh, P.Bình Thạnh 
(Phường 14, quận Bình Thạnh cũ)</t>
  </si>
  <si>
    <t>577/QĐ-UBND ngày 04/11/2025</t>
  </si>
  <si>
    <t>821/QĐ-UBND ngày 11/05/2026; 1494/QĐ-UBND ngày 11/09/2026</t>
  </si>
  <si>
    <t>1191/QĐ-UBND ngày 19/6/2026</t>
  </si>
  <si>
    <t>373/PA-HĐBT (RXT)</t>
  </si>
  <si>
    <t>310/PA</t>
  </si>
  <si>
    <t>Lê Thị Thanh Vân</t>
  </si>
  <si>
    <t>Không số (cạnh 47/25) Bùi Đình Túy, P.Bình Thạnh 
(Phường 14, quận Bình Thạnh cũ)</t>
  </si>
  <si>
    <t>563/QĐ-UBND ngày 04/11/2025</t>
  </si>
  <si>
    <t>374/PA-HĐBT (RXT)</t>
  </si>
  <si>
    <t>Các đồng thừa kế của bà Phan Thị Ngọc Liên</t>
  </si>
  <si>
    <t>260 Bạch Đằng, P.Bình Thạnh 
(Phường 14, quận Bình Thạnh cũ)</t>
  </si>
  <si>
    <t>548/QĐ-UBND ngày 04/11/2025</t>
  </si>
  <si>
    <t>1163/QĐ-UBND ngày 15/06/2026; 1494/QĐ-UBND ngày 11/09/2026</t>
  </si>
  <si>
    <t>377/PA-HĐBT (RXT)</t>
  </si>
  <si>
    <t>Phan Mai Hương</t>
  </si>
  <si>
    <t>Không số (STC 47/25B) Bùi Đình Túy, P.Bình Thạnh (Phường 14, quận Bình Thạnh cũ)</t>
  </si>
  <si>
    <t>547/QĐ-UBND ngày 04/11/2025</t>
  </si>
  <si>
    <t>378/PA-HĐBT (RXT)</t>
  </si>
  <si>
    <t>Võ Thị Kim Loan và các đồng thừa kế của ông Nguyễn Văn Hùng</t>
  </si>
  <si>
    <t>246/13/21 Bạch Đằng, P.Bình Thạnh (Phường 14, quận Bình Thạnh cũ)</t>
  </si>
  <si>
    <t>587/QĐ-UBND ngày 04/11/2025</t>
  </si>
  <si>
    <t>1279/QĐ-UBND ngày 03/7/2026</t>
  </si>
  <si>
    <t>379/PA-HĐBT (RXT)</t>
  </si>
  <si>
    <t>696/PA-HĐBT (RXT); 433/PA</t>
  </si>
  <si>
    <t>Trần Đại Thành</t>
  </si>
  <si>
    <t>561/QĐ-UBND ngày 04/11/2025</t>
  </si>
  <si>
    <t>380/PA-HĐBT (RXT)</t>
  </si>
  <si>
    <t>Nguyễn Thế Hùng - Đặng Thị Ngọc Lan</t>
  </si>
  <si>
    <t>79/1 Xô Viết Nghệ Tĩnh, P.Bình Thạnh (Phường 26, quận Bình Thạnh cũ)</t>
  </si>
  <si>
    <t>550/QĐ-UBND ngày 04/11/2025</t>
  </si>
  <si>
    <t>381/PA-HĐBT (RXT)</t>
  </si>
  <si>
    <t>Lê Văn Hậu - Nguyễn Thị Thùy Ngân</t>
  </si>
  <si>
    <t>35/2F Đinh Bộ Lĩnh, P.Bình Thạnh (Phường 14, quận Bình Thạnh cũ)</t>
  </si>
  <si>
    <t>566/QĐ-UBND ngày 04/11/2025</t>
  </si>
  <si>
    <t>384/PA-HĐBT (RXT)</t>
  </si>
  <si>
    <t>Các đồng thừa kế bà Nguyễn Thị Hoài Mỹ</t>
  </si>
  <si>
    <t>58/22/34L1 Phan Chu Trinh, P.Bình Thạnh (Phường 14, quận Bình Thạnh cũ)</t>
  </si>
  <si>
    <t>565/QĐ-UBND ngày 04/11/2025</t>
  </si>
  <si>
    <t>818/QĐ-UBND ngày 11/05/2026; 1456/QĐ-UBND ngày 28/08/2026</t>
  </si>
  <si>
    <t>385/PA-HĐBT (RXT)</t>
  </si>
  <si>
    <t>Không số (trong khuôn viên 234/7)
Bạch Đằng, P.Bình Thạnh (Phường 14, quận Bình Thạnh cũ)</t>
  </si>
  <si>
    <t>564/QĐ-UBND ngày 04/11/2025</t>
  </si>
  <si>
    <t>883/QĐ-UBND ngày 18/5/2026; 1456/QĐ-UBND ngày 28/08/2026</t>
  </si>
  <si>
    <t>386/PA-HĐBT (RXT)</t>
  </si>
  <si>
    <t>Ngô Văn Tuấn - Trần Thị Sáng</t>
  </si>
  <si>
    <t>234/9H Bạch Đằng, P.Bình Thạnh (Phường 14, quận Bình Thạnh cũ)</t>
  </si>
  <si>
    <t>549/QĐ-UBND ngày 04/11/2025</t>
  </si>
  <si>
    <t>387/PA-HĐBT (RXT) bị thay thế bởi PA 131/PA ngày 07/4/2026</t>
  </si>
  <si>
    <t>Phạm Thị Thúy Nga</t>
  </si>
  <si>
    <t>576/QĐ-UBND ngày 04/11/2025</t>
  </si>
  <si>
    <t>389/PA-HĐBT (RXT)</t>
  </si>
  <si>
    <t>Nguyễn Ngọc Phương Tuyền</t>
  </si>
  <si>
    <t>234/7A1 Bạch Đằng, P.Bình Thạnh 
(Phường 14, quận Bình Thạnh cũ)</t>
  </si>
  <si>
    <t>570/QĐ-UBND ngày 04/11/2025</t>
  </si>
  <si>
    <t>390/PA-HĐBT (RXT)</t>
  </si>
  <si>
    <t>Mai Xuân Thành - Trần Ngọc Hòa</t>
  </si>
  <si>
    <t>Không số (trong khuôn viên 234/7) Bạch Đằng, P.Bình Thạnh 
(Phường 14, quận Bình Thạnh cũ)</t>
  </si>
  <si>
    <t>557/QĐ-UBND ngày 04/11/2025</t>
  </si>
  <si>
    <t>391/PA-HĐBT (RXT)</t>
  </si>
  <si>
    <t>Nguyễn Văn Phi Vân - Nguyễn Thị Bích Trang</t>
  </si>
  <si>
    <t>Không số (trong khuôn viên nhà đất số 234/7) Bạch Đằng, P.Bình Thạnh (Phường 14, quận Bình Thạnh cũ)</t>
  </si>
  <si>
    <t>578/QĐ-UBND ngày 04/11/2025</t>
  </si>
  <si>
    <t>1344/QĐ-UBND ngày 17/7/2026</t>
  </si>
  <si>
    <t>393/PA-HĐBT (RXT)</t>
  </si>
  <si>
    <t>555/PA-HĐBT (RXT); 428/PA</t>
  </si>
  <si>
    <t>Nguyễn Thanh Trí - Nguyễn Thị Ánh Xuân</t>
  </si>
  <si>
    <t>427/15 Xô Viết Nghệ Tĩnh, P.Bình Thạnh 
(Phường 26, quận Bình Thạnh cũ)</t>
  </si>
  <si>
    <t>622/QĐ-UBND ngày 05/11/2025</t>
  </si>
  <si>
    <t>1201/QĐ-UBND ngày 20/06/2026</t>
  </si>
  <si>
    <t>396/PA-HĐBT (RXT)</t>
  </si>
  <si>
    <t>563/PA-HĐBT (RXT)</t>
  </si>
  <si>
    <t>Các đồng thừa kế của ông Nguyễn Để và bà Phan Thị Bảy</t>
  </si>
  <si>
    <t>Số 51 và 55 Đinh Bộ Lĩnh, P.Bình Thạnh (Phường 26, quận Bình Thạnh cũ)</t>
  </si>
  <si>
    <t>579/QĐ-UBND ngày 04/11/2025</t>
  </si>
  <si>
    <t>1303/QĐ-UBND ngày 09/07/2026</t>
  </si>
  <si>
    <t>1320/QĐ-UBND ngày 14/7/2026</t>
  </si>
  <si>
    <t>398/PA-HĐBT (RXT)</t>
  </si>
  <si>
    <t>355/PA</t>
  </si>
  <si>
    <t>Nguyễn Thị Tuyết Nga</t>
  </si>
  <si>
    <t>58/153F (số cũ 42/387) Phan Chu Trinh, P.Bình Thạnh 
(Phường 14, quận Bình Thạnh cũ)</t>
  </si>
  <si>
    <t>636/QĐ-UBND ngày 05/11/2025</t>
  </si>
  <si>
    <t>399/PA-HĐBT (RXT)</t>
  </si>
  <si>
    <t>Các đồng thừa kế của ông Phạm Văn Út - bà Đỗ Thị Nhơn</t>
  </si>
  <si>
    <t>125/77/16 Bùi Đình Túy, P.Bình Thạnh (Phường 14, quận Bình Thạnh cũ)</t>
  </si>
  <si>
    <t>573/QĐ-UBND ngày 04/11/2025</t>
  </si>
  <si>
    <t>400/PA-HĐBT (RXT)</t>
  </si>
  <si>
    <t>Lương Văn Sang - Phan Thị Ngọc Vân</t>
  </si>
  <si>
    <t>234/11B Bạch Đằng, P.Bình Thạnh 
(Phường 14, quận Bình Thạnh cũ)</t>
  </si>
  <si>
    <t>574/QĐ-UBND ngày 04/11/2025</t>
  </si>
  <si>
    <t>401/PA-HĐBT (RXT)</t>
  </si>
  <si>
    <t>Nguyễn Thị Thủy Tiên</t>
  </si>
  <si>
    <t>234/11E Bạch Đằng, P.Bình Thạnh 
(Phường 14, quận Bình Thạnh cũ)</t>
  </si>
  <si>
    <t>575/QĐ-UBND ngày 04/11/2025</t>
  </si>
  <si>
    <t>402/PA-HĐBT (RXT)</t>
  </si>
  <si>
    <t>Nguyễn Thị Hoa và các đồng thừa kế của ông Võ Thành Long</t>
  </si>
  <si>
    <t>Không số (phía sau nhà 125/94) Bùi Đình Túy, P.Bình Thạnh 
(Phường 14, quận Bình Thạnh cũ)</t>
  </si>
  <si>
    <t>607/QĐ-UBND ngày 05/11/2025</t>
  </si>
  <si>
    <t>403/PA-HĐBT (RXT)</t>
  </si>
  <si>
    <t>Nguyễn Xuân Để và các đồng thừa kế của bà Nguyễn Thị Sáu</t>
  </si>
  <si>
    <t>194/43/32 Bạch đằng, P.Bình Thạnh (Phường 14, quận Bình Thạnh cũ)</t>
  </si>
  <si>
    <t>581/QĐ-UBND ngày 04/11/2025</t>
  </si>
  <si>
    <t>404/PA-HĐBT (RXT)</t>
  </si>
  <si>
    <t>Lương Đại Thành - Nguyễn Thu Huyền</t>
  </si>
  <si>
    <t>125/77/26 Bùi Đình Túy, P.Bình Thạnh 
(Phường 14, quận Bình Thạnh cũ)</t>
  </si>
  <si>
    <t>604/QĐ-UBND ngày 05/11/2025</t>
  </si>
  <si>
    <t>405/PA-HĐBT (RXT)</t>
  </si>
  <si>
    <t>549/PA-HĐBT (RXT)</t>
  </si>
  <si>
    <t>Nguyễn Thị Thông và các đồng thừa kế của ông Nguyễn Bình</t>
  </si>
  <si>
    <t>125/94 Bùi Đình Túy, P.Bình Thạnh (Phường 14, quận Bình Thạnh cũ)</t>
  </si>
  <si>
    <t>605/QĐ-UBND ngày 05/11/2025</t>
  </si>
  <si>
    <t>406/PA-HĐBT (RXT)</t>
  </si>
  <si>
    <t>Nguyễn Thị Bích Nga</t>
  </si>
  <si>
    <t>234/11B1 Bạch Đằng, P.Bình Thạnh (Phường 14, quận Bình Thạnh cũ)</t>
  </si>
  <si>
    <t>580/QĐ-UBND ngày 04/11/2025</t>
  </si>
  <si>
    <t>407/PA-HĐBT (RXT)</t>
  </si>
  <si>
    <t>Đặng Thị Ngọc Thu và các đồng thừa kế của ông Huỳnh Hữu Trí</t>
  </si>
  <si>
    <t>125/100A Bùi Đình Túy
, P.Bình Thạnh 
(Phường 14, quận Bình Thạnh cũ)</t>
  </si>
  <si>
    <t>620/QĐ-UBND ngày 05/11/2025</t>
  </si>
  <si>
    <t>999/QĐ-UBND ngày 04/06/2026; 1457/QĐ-UBND ngày 28/08/2026</t>
  </si>
  <si>
    <t>409/PA-HĐBT (RXT)</t>
  </si>
  <si>
    <t>Hồ Minh Hoàng - Huỳnh Thị Sen</t>
  </si>
  <si>
    <t>184/3/6B22 Nguyễn Xí, P.Bình Thạnh (Phường 26, quận Bình Thạnh cũ)</t>
  </si>
  <si>
    <t>600/QĐ-UBND ngày 05/11/2025</t>
  </si>
  <si>
    <t>410/PA-HĐBT (RXT)</t>
  </si>
  <si>
    <t>246/13/27B Bạch Đằng, P.Bình Thạnh (Phường 14, quận Bình Thạnh cũ)</t>
  </si>
  <si>
    <t>630/QĐ-UBND ngày 05/11/2025</t>
  </si>
  <si>
    <t>411/PA-HĐBT (RXT)</t>
  </si>
  <si>
    <t>407/PA</t>
  </si>
  <si>
    <t xml:space="preserve">Trần Thành
</t>
  </si>
  <si>
    <t>Không số (trong khuôn viên 20/12) Đinh Bộ Lĩnh, P.Bình Thạnh (Phường 14, quận Bình Thạnh cũ)</t>
  </si>
  <si>
    <t>616/QĐ-UBND ngày 05/11/2025</t>
  </si>
  <si>
    <t>915/QĐ-UBND ngày 22/05/2026; 1292/QĐ-UBND ngày 08/07/2026; 1495/QĐ-UBND ngày 11/09/2026</t>
  </si>
  <si>
    <t>412/PA-HĐBT (RXT)</t>
  </si>
  <si>
    <t>,</t>
  </si>
  <si>
    <t>Trần Nguyễn Trường Nghĩa - Lê Thị Xuân Diệu</t>
  </si>
  <si>
    <t>246/13/27C Bạch đằng, P.Bình Thạnh (Phường 14, quận Bình Thạnh cũ)</t>
  </si>
  <si>
    <t>617/QĐ-UBND ngày 05/11/2025</t>
  </si>
  <si>
    <t>413/PA-HĐBT (RXT)</t>
  </si>
  <si>
    <t xml:space="preserve">Vũ Thị Thu Hương
</t>
  </si>
  <si>
    <t>220/35 Nguyễn Xí, P.Bình Thạnh (Phường 26, quận Bình Thạnh cũ)</t>
  </si>
  <si>
    <t>608/QĐ-UBND ngày 05/11/2025</t>
  </si>
  <si>
    <t>414/PA-HĐBT (RXT)</t>
  </si>
  <si>
    <t>Nguyễn Văn Triều - Trần Thị Ngọc</t>
  </si>
  <si>
    <t>614/QĐ-UBND ngày 05/11/2025</t>
  </si>
  <si>
    <t>498/QĐ-UBND ngày 09/04/2026; 1432/QĐ-UBND ngày 20/08/2026</t>
  </si>
  <si>
    <t>1183/QĐ-UBND ngày 17/6/2026</t>
  </si>
  <si>
    <t>417/PA-HĐBT(RXT)</t>
  </si>
  <si>
    <t>336/PA</t>
  </si>
  <si>
    <t>Tô Thanh Thủy - đồng thừa kế ông Từ Hải Sơn</t>
  </si>
  <si>
    <t>Không số trong khuôn viên 20/12 (STC: 20/41B) Đinh Bộ Lĩnh , P.Bình Thạnh (Phường 14, quận Bình Thạnh cũ)</t>
  </si>
  <si>
    <t>628/QĐ-UBND ngày 05/11/2025</t>
  </si>
  <si>
    <t>418/PA-HĐBT (RXT)</t>
  </si>
  <si>
    <t>Dương Thị Nguyệt Quới</t>
  </si>
  <si>
    <t>184/3/6B29A Nguyễn Xí, P.Bình Thạnh (Phường 26, quận Bình Thạnh cũ)</t>
  </si>
  <si>
    <t>602/QĐ-UBND ngày 05/11/2025</t>
  </si>
  <si>
    <t>419/PA-HĐBT (RXT)</t>
  </si>
  <si>
    <t>690/PA-HĐBT (RXT)</t>
  </si>
  <si>
    <t>Huỳnh Thị Bé và các đồng thừa kế của ông Trần Văn Đạo (Trần Văn Nam được UQ)</t>
  </si>
  <si>
    <t>47/37 Bùi Đình Túy, P.Bình Thạnh (Phường 14, quận Bình Thạnh cũ)</t>
  </si>
  <si>
    <t>603/QĐ-UBND ngày 05/11/2025</t>
  </si>
  <si>
    <t>420/PA-HĐBT (RXT)</t>
  </si>
  <si>
    <t>Đinh Tiến Cường - Nguyễn Thị Mỹ Hường</t>
  </si>
  <si>
    <t>184/3/6B21 Nguyễn Xí, P.Bình Thạnh (Phường 26, quận Bình Thạnh cũ)</t>
  </si>
  <si>
    <t>601/QĐ-UBND ngày 05/11/2025</t>
  </si>
  <si>
    <t>421/PA-HĐBT (RXT)</t>
  </si>
  <si>
    <t>618/PA sửa tên</t>
  </si>
  <si>
    <t>Trần Thị Lệ - Bùi Quang Hoàng</t>
  </si>
  <si>
    <t>59/38 Đinh Bộ Lĩnh, P.Bình Thạnh (Phường 26, quận Bình Thạnh cũ)</t>
  </si>
  <si>
    <t>624/QĐ-UBND ngày 05/11/2025</t>
  </si>
  <si>
    <t>425/PA-HĐBT (RXT)</t>
  </si>
  <si>
    <t xml:space="preserve">Nguyễn Thị Mỹ Phượng
</t>
  </si>
  <si>
    <t>615/QĐ-UBND ngày 05/11/2025</t>
  </si>
  <si>
    <t xml:space="preserve">1101/QĐ-UBND ngày 10/06/2026;1454/QĐ-UBND ngày 26/08/2026 
</t>
  </si>
  <si>
    <t>427/PA-HĐBT (RXT)</t>
  </si>
  <si>
    <t>Lê Thị Ngọc Khanh</t>
  </si>
  <si>
    <t>184/3/6B12A Nguyễn Xí, P.Bình Thạnh (Phường 26, quận Bình Thạnh cũ)</t>
  </si>
  <si>
    <t>634/QĐ-UBND ngày 05/11/2025</t>
  </si>
  <si>
    <t>369/QĐ-UBND ngày 03/04/2026; 1495/QĐ-UBND ngày 11/09/2026</t>
  </si>
  <si>
    <t>1099/QĐ-UBND ngày 10/6/2026, 1223/QĐ-UBND ngày 22/6/2026</t>
  </si>
  <si>
    <t>428/PA-HĐBT (RXT)</t>
  </si>
  <si>
    <t>237/PA</t>
  </si>
  <si>
    <t xml:space="preserve">Lê Thị Thanh và đồng thừa kế ông Nguyễn Hà
</t>
  </si>
  <si>
    <t>Không số trong khuôn viên 20/12 (STC: 20/41) Đinh Bộ Lĩnh, P.Bình Thạnh (Phường 14, quận Bình Thạnh cũ)</t>
  </si>
  <si>
    <t>627/QĐ-UBND ngày 05/11/2025</t>
  </si>
  <si>
    <t>430/PA-HĐBT(RXT)</t>
  </si>
  <si>
    <t>Huỳnh Thị Tây và các đồng thừa kế ông Phạm Minh Luyến</t>
  </si>
  <si>
    <t>47/35 Bùi Đình Túy, P.Bình Thạnh (Phường 14, quận Bình Thạnh cũ)</t>
  </si>
  <si>
    <t>619/QĐ-UBND ngày 05/11/2025</t>
  </si>
  <si>
    <t>431/PA-HĐBT (RXT)</t>
  </si>
  <si>
    <t xml:space="preserve">Trần Phúc Thịnh - Nguyễn Thị Mỹ Trinh
</t>
  </si>
  <si>
    <t>Nhà không số (số cũ 47/37) Bùi Đình Túy, P.Bình Thạnh (Phường 14, quận Bình Thạnh cũ)</t>
  </si>
  <si>
    <t>610/QĐ-UBND ngày 05/11/2025</t>
  </si>
  <si>
    <t>434/PA-HĐBT (RXT)</t>
  </si>
  <si>
    <t>623/QĐ-UBND ngày 05/11/2025</t>
  </si>
  <si>
    <t>1237/QĐ-UBND ngày 24/06/2026; 1493/QĐ-UBND ngày 11/09/2026</t>
  </si>
  <si>
    <t>435/PA-HĐBT (RXT) và 652/PA-HĐBT (RXT)</t>
  </si>
  <si>
    <t>Trần Vũ Đàn - Đặng Thanh Tuyền</t>
  </si>
  <si>
    <t>613/QĐ-UBND ngày 05/11/2025</t>
  </si>
  <si>
    <t>1029/QĐ-UBND ngày 05/6/2026</t>
  </si>
  <si>
    <t>437/PA-HĐBT (RXT)</t>
  </si>
  <si>
    <t xml:space="preserve">Nguyễn Thành Sơn - Lê Thùy Ái Nữ Huyền Trang
</t>
  </si>
  <si>
    <t>618/QĐ-UBND ngày 05/11/2025</t>
  </si>
  <si>
    <t>438/PA-HĐBT (RXT)</t>
  </si>
  <si>
    <t xml:space="preserve">Nguyễn Văn Long
Nguyễn Thị Thùy Vân
</t>
  </si>
  <si>
    <t>40/40 Phan Chu Trinh, P.Bình Thạnh (Phường 14, quận Bình Thạnh cũ)</t>
  </si>
  <si>
    <t>609/QĐ-UBND ngày 05/11/2025</t>
  </si>
  <si>
    <t>440/PA-HĐBT (RXT)</t>
  </si>
  <si>
    <t>Hồ Thị Thu - Hồ Thị Hoa - Hồ Thị Liên</t>
  </si>
  <si>
    <t>42/287A Huỳnh Đình Hai, P.Bình Thạnh (Phường 14, quận Bình Thạnh cũ)</t>
  </si>
  <si>
    <t>612/QĐ-UBND ngày 05/11/2025</t>
  </si>
  <si>
    <t>441/PA-HĐBT (RXT)</t>
  </si>
  <si>
    <t xml:space="preserve">Các đồng thừa kế của ông Trần Ngọc Duy và bà Phùng Thị Nở
</t>
  </si>
  <si>
    <t>125/77/2 Bùi Đình Túy, P.Bình Thạnh (Phường 14, quận Bình Thạnh cũ)</t>
  </si>
  <si>
    <t>625/QĐ-UBND ngày 05/11/2025</t>
  </si>
  <si>
    <t>445/PA-HĐBT (RXT)</t>
  </si>
  <si>
    <t>Mai Xuân Thành - Trần Ngọc Hoà</t>
  </si>
  <si>
    <t>626/QĐ-UBND ngày 05/11/2025</t>
  </si>
  <si>
    <t>446/PA-HĐBT (RXT)</t>
  </si>
  <si>
    <t>Dương Thị Phải 
và các đồng thừa kế của ông Nguyễn Văn Thịnh</t>
  </si>
  <si>
    <t>382 Bùi Đình Túy, P.Bình Thạnh (Phường 14, quận Bình Thạnh cũ)</t>
  </si>
  <si>
    <t>640/QĐ-UBND ngày 05/11/2025</t>
  </si>
  <si>
    <t>450/PA-HĐBT (RXT)</t>
  </si>
  <si>
    <t>Nguyễn Thị Hòa</t>
  </si>
  <si>
    <t>184/3/6B8A Nguyễn Xí, P.Bình Thạnh (Phường 26, quận Bình Thạnh cũ)</t>
  </si>
  <si>
    <t>631/QĐ-UBND ngày 05/11/2025</t>
  </si>
  <si>
    <t>1158/QĐ-UBND ngày 15/6/2026</t>
  </si>
  <si>
    <t>451/PA-HĐBT (RXT)</t>
  </si>
  <si>
    <t>368/PA</t>
  </si>
  <si>
    <t>Võ Thành Quý - Phùng Ánh Hồng</t>
  </si>
  <si>
    <t>Không số cạnh 35/18C Đinh Bộ Lĩnh, P.Bình Thạnh (Phường 14, quận Bình Thạnh cũ)</t>
  </si>
  <si>
    <t>639/QĐ-UBND ngày 05/11/2025</t>
  </si>
  <si>
    <t>1497/QĐ-UBND ngày 11/9/2026</t>
  </si>
  <si>
    <t>471/PA-HĐBT (RXT)</t>
  </si>
  <si>
    <t>569/PA</t>
  </si>
  <si>
    <t>Nguyễn Bích Hằng</t>
  </si>
  <si>
    <t>194/50/72 Bạch Đằng, P.Bình Thạnh (Phường 14, quận Bình Thạnh cũ)</t>
  </si>
  <si>
    <t>812/QĐ-UBND ngày 18/11/2025</t>
  </si>
  <si>
    <t>611/QĐ-UBND ngày 05/11/2025</t>
  </si>
  <si>
    <t>397/PA-HĐBT (RXT)</t>
  </si>
  <si>
    <t>Phạm Thị Phúc và Các đồng thừa kế của ông Nguyễn Minh Đức</t>
  </si>
  <si>
    <t>58/153F (số cũ 42/387) Phan Chu Trinh, P.Bình Thạnh (Phường 14, quận Bình Thạnh cũ)</t>
  </si>
  <si>
    <t>681/QĐ-UBND ngày 06/11/2025</t>
  </si>
  <si>
    <t>1442/QĐ-UBND ngày 24/8/2026</t>
  </si>
  <si>
    <t>476/PA</t>
  </si>
  <si>
    <t>220/13 Nguyễn Xí, P.Bình Thạnh (Phường 26, quận Bình Thạnh cũ)</t>
  </si>
  <si>
    <t>677/QĐ-UBND ngày 06/11/2025</t>
  </si>
  <si>
    <t>424/PA-HĐBT(RXT)</t>
  </si>
  <si>
    <t>c</t>
  </si>
  <si>
    <t>Phan Ngọc Dung</t>
  </si>
  <si>
    <t>669/QĐ-UBND ngày 06/11/2025</t>
  </si>
  <si>
    <t>1277/QĐ-UBND ngày 03/7/2026</t>
  </si>
  <si>
    <t>426/PA-HĐBT (RXT)</t>
  </si>
  <si>
    <t>422/PA</t>
  </si>
  <si>
    <t>Đỗ Hoài Nam</t>
  </si>
  <si>
    <t>649/QĐ-UBND ngày 05/11/2025</t>
  </si>
  <si>
    <t>429/PA-HĐBT (RXT)</t>
  </si>
  <si>
    <t>Nguyễn Thị Tuyết Dung - Nguyễn Thị Thu Hồng</t>
  </si>
  <si>
    <t>75/58 Đinh Bộ Lĩnh, P.Bình Thạnh (Phường 26, quận Bình Thạnh cũ)</t>
  </si>
  <si>
    <t>647/QĐ-UBND ngày 05/11/2025</t>
  </si>
  <si>
    <t>1123/QĐ-UBND Ngày 12/6/2026</t>
  </si>
  <si>
    <t>432/PA-HĐBT (RXT)</t>
  </si>
  <si>
    <t>364/PA</t>
  </si>
  <si>
    <t>Nguyễn Trọng Vinh</t>
  </si>
  <si>
    <t>648/QĐ-UBND ngày 05/11/2025</t>
  </si>
  <si>
    <t>1420/QD-UBND ngày 18/8/2026</t>
  </si>
  <si>
    <t>433/PA-HĐBT (RXT)</t>
  </si>
  <si>
    <t>489/PA</t>
  </si>
  <si>
    <t>Lê Thị Ánh</t>
  </si>
  <si>
    <t>651/QĐ-UBND ngày 05/11/2025</t>
  </si>
  <si>
    <t>1423/QĐ-UBND ngày 19/08/2026</t>
  </si>
  <si>
    <t>436/PA-HĐBT (RXT)</t>
  </si>
  <si>
    <t>Đỗ Thị Thùy Liên</t>
  </si>
  <si>
    <t>674/QĐ-UBND ngày 06/11/2025</t>
  </si>
  <si>
    <t>442/PA-HĐBT (RXT)</t>
  </si>
  <si>
    <t xml:space="preserve">Đinh Duy Hiếu
</t>
  </si>
  <si>
    <t>Nhà không số (cạnh nhà 47/35) Bùi Đình Túy, P.Bình Thạnh (Phường 14, quận Bình Thạnh cũ)</t>
  </si>
  <si>
    <t>682/QĐ-UBND ngày 06/11/2025</t>
  </si>
  <si>
    <t>443/PA-HĐBT (RXT)</t>
  </si>
  <si>
    <t>Lê Thị Thanh</t>
  </si>
  <si>
    <t>Không số (cạnh nhà 58/165B) Phan Chu Trinh, P.Bình Thạnh (Phường 14, quận Bình Thạnh cũ)</t>
  </si>
  <si>
    <t>673/QĐ-UBND ngày 06/11/2025</t>
  </si>
  <si>
    <t>444/PA-HĐBT (RXT)</t>
  </si>
  <si>
    <t>350/PA</t>
  </si>
  <si>
    <t>Hoàng Lê Minh - Nguyễn Thị Ngọc Hồng</t>
  </si>
  <si>
    <t>Không số (cạnh nhà 58/22/34L2) Phan Chu Trinh, P.Bình Thạnh (Phường 14, quận Bình Thạnh cũ)</t>
  </si>
  <si>
    <t>650/QĐ-UBND ngày 05/11/2025</t>
  </si>
  <si>
    <t>1289/QĐ-UBND ngày 07/7/2026</t>
  </si>
  <si>
    <t>447/PA-HĐBT (RXT)</t>
  </si>
  <si>
    <t>383/PA</t>
  </si>
  <si>
    <t>Trương Minh Hùng</t>
  </si>
  <si>
    <t>220/5 Nguyễn Xí, P.Bình Thạnh (Phường 26, quận Bình Thạnh cũ)</t>
  </si>
  <si>
    <t>642/QĐ-UBND ngày 05/11/2025</t>
  </si>
  <si>
    <t>452/PA-HĐBT (RXT)</t>
  </si>
  <si>
    <t>Đinh Đức Viên - Lê Nguyệt Hồng</t>
  </si>
  <si>
    <t>194/50/29 Bạch Đằng, P.Bình Thạnh (Phường 14, quận Bình Thạnh cũ)</t>
  </si>
  <si>
    <t>643/QĐ-UBND ngày 05/11/2025</t>
  </si>
  <si>
    <t>1162/QĐ-UBND ngày 15/06/2026; 1313/QĐ-UBND ngày 13/07/2026; 1480/QĐ-UBND ngày 07/09/2026</t>
  </si>
  <si>
    <t>453/PA-HĐBT (RXT)</t>
  </si>
  <si>
    <t>Trương Ngọc Diện - Phạm Thị Thanh Nhung</t>
  </si>
  <si>
    <t>246/13/23 Bạch Đằng, P.Bình Thạnh (Phường 14, quận Bình Thạnh cũ)</t>
  </si>
  <si>
    <t>644/QĐ-UBND ngày 05/11/2025</t>
  </si>
  <si>
    <t>454/PA-HĐBT (RXT)</t>
  </si>
  <si>
    <t>Nguyễn Thị Bích Ly</t>
  </si>
  <si>
    <t>Không số (cạnh 427/87) Xô Viết Nghệ Tĩnh, P.Bình Thạnh (Phường 26, quận Bình Thạnh cũ)</t>
  </si>
  <si>
    <t>676/QĐ-UBND ngày 06/11/2025</t>
  </si>
  <si>
    <t>1333/QĐ-UBND ngày 14/7/2026</t>
  </si>
  <si>
    <t>456/PA-HĐBT (RXT)</t>
  </si>
  <si>
    <t>434/PA</t>
  </si>
  <si>
    <t>657/QĐ-UBND ngày 06/11/2025</t>
  </si>
  <si>
    <t>1254/QĐ-UBND ngày 26/06/2026</t>
  </si>
  <si>
    <t>1210/QĐ-UBND ngày 20/6/2026</t>
  </si>
  <si>
    <t>460/PA-HĐBT (RXT)</t>
  </si>
  <si>
    <t>402/PA</t>
  </si>
  <si>
    <t xml:space="preserve">Trương Phú Cường - Mạch Thị Huỳnh Loan
</t>
  </si>
  <si>
    <t>125/77/2A Bùi Đình Túy, P.Bình Thạnh (Phường 14, quận Bình Thạnh cũ)</t>
  </si>
  <si>
    <t>664/QĐ-UBND ngày 06/11/2025</t>
  </si>
  <si>
    <t xml:space="preserve">1101/QĐ-UBND ngày 10/06/2026; 1454/QĐ-UBND ngày 26/08/2026 
</t>
  </si>
  <si>
    <t>461/PA-HĐBT (RXT)</t>
  </si>
  <si>
    <t xml:space="preserve">Lê Thị Mỹ Hạnh
</t>
  </si>
  <si>
    <t>Thuộc khuôn viên nhà số 79/43 Nguyễn Xí, P.Bình Thạnh (Phường 26, quận Bình Thạnh cũ)</t>
  </si>
  <si>
    <t>646/QĐ-UBND ngày 05/11/2025</t>
  </si>
  <si>
    <t>462/PA-HĐBT (RXT)</t>
  </si>
  <si>
    <t>22/PA-HĐBT (RXT)</t>
  </si>
  <si>
    <t>Nguyễn Viết Hoàng Tuấn - Phùng Thanh Hoa</t>
  </si>
  <si>
    <t>125/77/30 Bùi Đình Túy, P.Bình Thạnh (Phường 14, quận Bình Thạnh cũ)</t>
  </si>
  <si>
    <t>675/QĐ-UBND ngày 06/11/2025</t>
  </si>
  <si>
    <t>1331/QĐ-UBND ngày 14/7/2026</t>
  </si>
  <si>
    <t>466/PA-HĐBT (RXT)</t>
  </si>
  <si>
    <t>445/PA</t>
  </si>
  <si>
    <t>668/QĐ-UBND ngày 06/11/2025</t>
  </si>
  <si>
    <t>468/PA-HĐBT (RXT)</t>
  </si>
  <si>
    <t>352/PA</t>
  </si>
  <si>
    <t xml:space="preserve">Nguyễn Thùy Uyên - Nguyễn Trọng Tuần
</t>
  </si>
  <si>
    <t>645/QĐ-UBND ngày 05/11/2025</t>
  </si>
  <si>
    <t>469/PA-HĐBT (RXT)</t>
  </si>
  <si>
    <t>Phạm Thúy Quyên (chưa xác định tình trạng hôn nhân)</t>
  </si>
  <si>
    <t>Một phần nhà đất số 194/50/53C Bạch Đằng, P.Bình Thạnh (Phường 14, quận Bình Thạnh cũ)</t>
  </si>
  <si>
    <t>658/QĐ-UBND ngày 06/11/2025</t>
  </si>
  <si>
    <t>472/PA-HĐBT (RXT)</t>
  </si>
  <si>
    <t xml:space="preserve">Nguyễn Văn Đức - Trần Thị Thanh Hường
</t>
  </si>
  <si>
    <t>662/QĐ-UBND ngày 06/11/2025</t>
  </si>
  <si>
    <t>476/PA-HĐBT (RXT)</t>
  </si>
  <si>
    <t xml:space="preserve">Nguyễn Thị Thu Hương
</t>
  </si>
  <si>
    <t>671/QĐ-UBND ngày 06/11/2025</t>
  </si>
  <si>
    <t>1321/QĐ-UBND ngày 14/7/2026</t>
  </si>
  <si>
    <t>477/PA-HĐBT (RXT)</t>
  </si>
  <si>
    <t>314/PA</t>
  </si>
  <si>
    <t>Phan Thị Nghinh</t>
  </si>
  <si>
    <t>79/43 Nguyễn Xí, P.Bình Thạnh (Phường 26, quận Bình Thạnh cũ)</t>
  </si>
  <si>
    <t>663/QĐ-UBND ngày 06/11/2025</t>
  </si>
  <si>
    <t>478/PA-HĐBT (RXT)</t>
  </si>
  <si>
    <t>282/PA</t>
  </si>
  <si>
    <t xml:space="preserve">Nguyễn Thị Toàn
</t>
  </si>
  <si>
    <t>79/24K Nguyễn Xí, P.Bình Thạnh (Phường 26, quận Bình Thạnh cũ)</t>
  </si>
  <si>
    <t>660/QĐ-UBND ngày 06/11/2025</t>
  </si>
  <si>
    <t>915/QĐ-UBND ngày 22/05/2026; 1495/QĐ-UBND ngày 11/09/2026</t>
  </si>
  <si>
    <t>480/PA-HĐBT (RXT)</t>
  </si>
  <si>
    <t>Đoàn Thị Kim Chi</t>
  </si>
  <si>
    <t>246/13/25 Bạch Đằng, P.Bình Thạnh (Phường 14, quận Bình Thạnh cũ)</t>
  </si>
  <si>
    <t>653/QĐ-UBND ngày 06/11/2025</t>
  </si>
  <si>
    <t>482/PA-HĐBT (RXT)</t>
  </si>
  <si>
    <t>Nguyễn Cao Thắng</t>
  </si>
  <si>
    <t>Một phần nhà đất 194/50/53C Bạch Đằng, P.Bình Thạnh (Phường 14, quận Bình Thạnh cũ)</t>
  </si>
  <si>
    <t>652/QĐ-UBND ngày 06/11/2025</t>
  </si>
  <si>
    <t>489/PA-HĐBT (RXT)</t>
  </si>
  <si>
    <t>Thuộc khuôn viên nhà đất số 79/43 Nguyễn Xí, P.Bình Thạnh (Phường 26, quận Bình Thạnh cũ)</t>
  </si>
  <si>
    <t>670/QĐ-UBND ngày 06/11/2025</t>
  </si>
  <si>
    <t>492/PA-HĐBT (RXT)</t>
  </si>
  <si>
    <t>Nguyễn Thị Thanh Thảo</t>
  </si>
  <si>
    <t>220/66 Nguyễn Xí, P.Bình Thạnh (Phường 26, quận Bình Thạnh cũ)</t>
  </si>
  <si>
    <t>684/QĐ-UBND ngày 06/11/2025</t>
  </si>
  <si>
    <t>820/QĐ-UBND ngày 11/05/2026</t>
  </si>
  <si>
    <t>494/PA-HĐBT (RXT)</t>
  </si>
  <si>
    <t>19/PA-HĐBT (RXT)</t>
  </si>
  <si>
    <t>Lê Thị Dung</t>
  </si>
  <si>
    <t>Nhà không số (số cũ 47/53) Bùi Đình Túy, P.Bình Thạnh (Phường 14, quận Bình Thạnh cũ)</t>
  </si>
  <si>
    <t>655/QĐ-UBND ngày 06/11/2025</t>
  </si>
  <si>
    <t>1334/QĐ-UBND ngày 16/7/2026</t>
  </si>
  <si>
    <t>495/PA-HĐBT (RXT)</t>
  </si>
  <si>
    <t>Đinh Ngọc Cường - Nguyễn Thị Chính</t>
  </si>
  <si>
    <t>672/QĐ-UBND ngày 06/11/2025</t>
  </si>
  <si>
    <t xml:space="preserve">1220/QĐ-UBND ngày 20/06/2026; 1457/QĐ-UBND ngày 28/08/2026 
</t>
  </si>
  <si>
    <t>497/PA-HĐBT (RXT)</t>
  </si>
  <si>
    <t>Đặng Thanh Nhàn</t>
  </si>
  <si>
    <t>679/QĐ-UBND ngày 06/11/2025</t>
  </si>
  <si>
    <t>499/PA-HĐBT (RXT)</t>
  </si>
  <si>
    <t>06/PA-HĐBT (RXT)</t>
  </si>
  <si>
    <t>Đoàn Văn Thuận - Ngô Thị Hồng</t>
  </si>
  <si>
    <t>Không số (số tự cho 47/47B) Bùi Đình Túy, P.Bình Thạnh (Phường 14, quận Bình Thạnh cũ)</t>
  </si>
  <si>
    <t>656/QĐ-UBND ngày 06/11/2025</t>
  </si>
  <si>
    <t>894/QĐ-UBND ngày 19/5/2026, 1256/QĐ-UBND ngày 29/6/2026; 1370/QĐ-UBND ngày 29/7/2026</t>
  </si>
  <si>
    <t>500/PA-HĐBT (RXT)</t>
  </si>
  <si>
    <t>464/PA</t>
  </si>
  <si>
    <t>Phạm Ngọc Lâm - Vũ Thị Thuý</t>
  </si>
  <si>
    <t>47/51 Bùi Đình Túy, P.Bình Thạnh (Phường 14, quận Bình Thạnh cũ)</t>
  </si>
  <si>
    <t>667/QĐ-UBND ngày 06/11/2025</t>
  </si>
  <si>
    <t>1252/QĐ-UBND ngày 26/6/2026</t>
  </si>
  <si>
    <t>505/PA-HĐBT (RXT)</t>
  </si>
  <si>
    <t>Trần Thị Tố Huyền và các đồng thừa kế của ông Đặng Văn Ngọc</t>
  </si>
  <si>
    <t>659/QĐ-UBND ngày 06/11/2025</t>
  </si>
  <si>
    <t>915/QĐ-UBND ngày 22/05/2026</t>
  </si>
  <si>
    <t>507/PA-HĐBT (RXT)</t>
  </si>
  <si>
    <t xml:space="preserve">Nguyễn Thị Ngọc Mai
</t>
  </si>
  <si>
    <t>246/13/27 Bạch Đằng, P.Bình Thạnh (Phường 14, quận Bình Thạnh cũ)</t>
  </si>
  <si>
    <t>686/QĐ-UBND ngày 06/11/2025</t>
  </si>
  <si>
    <t>1165/QĐ-UBND ngày 16/6/2026</t>
  </si>
  <si>
    <t>511/PA-HĐBT (RXT)</t>
  </si>
  <si>
    <t>Ngô Phi Hiệp - Lê Thị Tá</t>
  </si>
  <si>
    <t>246/13/33 Bạch Đằng, P.Bình Thạnh (Phường 14, quận Bình Thạnh cũ)</t>
  </si>
  <si>
    <t>665/QĐ-UBND ngày 06/11/2025</t>
  </si>
  <si>
    <t>732/QĐ-UBND ngày 28/4/2026; 1207/QĐ-UBND ngày 20/6/2026</t>
  </si>
  <si>
    <t>515/PA-HĐBT (RXT)</t>
  </si>
  <si>
    <t>602/PA-HĐBT (RXT)</t>
  </si>
  <si>
    <t>11/26/2025</t>
  </si>
  <si>
    <t xml:space="preserve">Hà Quang Huấn - Nguyễn Ngọc Lệ
</t>
  </si>
  <si>
    <t>666/QĐ-UBND ngày 06/11/2025</t>
  </si>
  <si>
    <t>516/PA-HĐBT (RXT)</t>
  </si>
  <si>
    <t>Võ Thị Bích Liên - Đỗ Duy Khánh</t>
  </si>
  <si>
    <t>Không số (cạnh 35/18G) Đinh Bộ Lĩnh, P.Bình Thạnh (Phường 14, quận Bình Thạnh cũ)</t>
  </si>
  <si>
    <t>678/QĐ-UBND ngày 06/11/2025</t>
  </si>
  <si>
    <t>519/PA-HĐBT (RXT)</t>
  </si>
  <si>
    <t>678/PA-HĐBT (RXT)</t>
  </si>
  <si>
    <t>Trần Thị Dầu - Vũ Trọng Dinh</t>
  </si>
  <si>
    <t>47/7 Bùi Đình Túy, P.Bình Thạnh (Phường 14, quận Bình Thạnh cũ)</t>
  </si>
  <si>
    <t>661/QĐ-UBND ngày 06/11/2025</t>
  </si>
  <si>
    <t>1484/QĐ-UBND ngày 08/9/2026</t>
  </si>
  <si>
    <t>521/PA-HĐBT (RXT)</t>
  </si>
  <si>
    <t>574/PA</t>
  </si>
  <si>
    <t>Lý Thị Tố Nga</t>
  </si>
  <si>
    <t>811/QĐ-UBND ngày 17/11/2025</t>
  </si>
  <si>
    <t>257/QĐ-UBND ngày 16/10/2025</t>
  </si>
  <si>
    <t>1145/QĐ-UBND ngày 13/6/2026</t>
  </si>
  <si>
    <t>114/PA-HĐBT (RXT)</t>
  </si>
  <si>
    <t>254/PA</t>
  </si>
  <si>
    <t>Nguyễn Thị Kim Thư</t>
  </si>
  <si>
    <t>194/50/61 Bạch Đằng, P.Bình Thạnh (Phường 14, quận Bình Thạnh cũ)</t>
  </si>
  <si>
    <t>697/QĐ-UBND ngày 06/11/2025</t>
  </si>
  <si>
    <t>248/PA-HĐBT (RXT)</t>
  </si>
  <si>
    <t>Các đồng thừa kế của ông Ngô Văn Minh và các đồng thừa kế của bà Ngô Thị Tùng</t>
  </si>
  <si>
    <t>391 Đinh Bộ Lĩnh, P.Bình Thạnh (Phường 26, quận Bình Thạnh cũ)</t>
  </si>
  <si>
    <t>583/QĐ-UBND ngày 04/11/2025</t>
  </si>
  <si>
    <t>350/PA-HĐBT (RXT)</t>
  </si>
  <si>
    <t>Đào Công Nghiệp - Trương Thị Phượng</t>
  </si>
  <si>
    <t>209E1 Nguyễn Xí, P.Bình Thạnh (Phường 26, quận Bình Thạnh cũ)</t>
  </si>
  <si>
    <t>551/QĐ-UBND ngày 04/11/2025</t>
  </si>
  <si>
    <t>371/PA-HĐBT (RXT)</t>
  </si>
  <si>
    <t>42/371 Huỳnh Đình Hai, P.Bình Thạnh (Phường 14, quận Bình Thạnh cũ)</t>
  </si>
  <si>
    <t>588/QĐ-UBND ngày 04/11/2025</t>
  </si>
  <si>
    <t>376/PA-HĐBT (RXT)</t>
  </si>
  <si>
    <t>Nguyễn Văn Thái, Nguyễn Thị Mì, Nguyễn Bảy, Nguyễn Thị Tám, Nguyễn Mười Một, Nguyễn Thị Nga, Nguyễn Thị Hằng, Trần Văn Tiến</t>
  </si>
  <si>
    <t>125/86 Bùi Đình Túy, P.Bình Thạnh (Phường 14, quận Bình Thạnh cũ)</t>
  </si>
  <si>
    <t>558/QĐ-UBND ngày 04/11/2025</t>
  </si>
  <si>
    <t>382/PA-HĐBT (RXT)</t>
  </si>
  <si>
    <t>Lê Ngọc Yến - Nguyễn Văn Oanh</t>
  </si>
  <si>
    <t>Không số (trong khuôn viên 450/4) Xô Viết Nghệ Tĩnh, P.Bình Thạnh (Phường 14, quận Bình Thạnh cũ)</t>
  </si>
  <si>
    <t>560/QĐ-UBND ngày 04/11/2025</t>
  </si>
  <si>
    <t>383/PA-HĐBT (RXT)</t>
  </si>
  <si>
    <t>Cao Văn Thành - Lê Thị Ngọc Anh</t>
  </si>
  <si>
    <t>Không số (trong khuôn viên nhà 405/4) Xô Viết Nghệ Tĩnh, P.Bình Thạnh (Phường 14, quận Bình Thạnh cũ)</t>
  </si>
  <si>
    <t>569/QĐ-UBND ngày 04/11/2025</t>
  </si>
  <si>
    <t>392/PA-HĐBT (RXT)</t>
  </si>
  <si>
    <t>Lê Thanh Hoàng và các đồng thừa kế bà Nguyễn Thị Ngọc Mai</t>
  </si>
  <si>
    <t>Không số (trong khuôn viên 405/4) Xô Viết Nghệ Tĩnh, P.Bình Thạnh (Phường 14, quận Bình Thạnh cũ)</t>
  </si>
  <si>
    <t>638/QĐ-UBND ngày 05/11/2025</t>
  </si>
  <si>
    <t>1238/QĐ-UBND ngày 24/6/2026</t>
  </si>
  <si>
    <t>394/PA-HĐBT (RXT)</t>
  </si>
  <si>
    <t>Tu Hội Nhập Thể Tận Hiến Truyền Giáo</t>
  </si>
  <si>
    <t>59/3/3 Đinh Bộ Lĩnh, P.Bình Thạnh (Phường 26, quận Bình Thạnh cũ)</t>
  </si>
  <si>
    <t>637/QĐ-UBND ngày 06/11/2025</t>
  </si>
  <si>
    <t>395/PA-HĐBT (RXT)</t>
  </si>
  <si>
    <t>Công ty TNHH MTV Địa ốc Bình Thạnh</t>
  </si>
  <si>
    <t>701/QĐ-UBND ngày 06/11/2025</t>
  </si>
  <si>
    <t>1380/QĐ-UBND ngày 31/7/2026</t>
  </si>
  <si>
    <t>415/PA-HĐBT (RXT)</t>
  </si>
  <si>
    <t>415/PA</t>
  </si>
  <si>
    <t>Dương Thị Dư</t>
  </si>
  <si>
    <t>184/3/6B16 Nguyễn Xí, P.Bình Thạnh (Phường 26, quận Bình Thạnh cũ)</t>
  </si>
  <si>
    <t>683/QĐ-UBND ngày 06/11/2025</t>
  </si>
  <si>
    <t>423/PA-HĐBT (RXT)</t>
  </si>
  <si>
    <t>315/PA</t>
  </si>
  <si>
    <t>Lê Trần Hưng - Hoàng Khánh Trang</t>
  </si>
  <si>
    <t>Không số cạnh số 184/3/6B21 Nguyễn Xí, P.Bình Thạnh (P.26 cũ)</t>
  </si>
  <si>
    <t>635/QĐ-UBND ngày 05/11/2025</t>
  </si>
  <si>
    <t>1298/QĐ-UBND ngày 08/7/2026</t>
  </si>
  <si>
    <t>439/PA-HĐBT (RXT)</t>
  </si>
  <si>
    <t>Bùi Minh An - Phạm Thị Lựu</t>
  </si>
  <si>
    <t>Không số (số tự cho: 184/3/8A5) Nguyễn Xí, P.Bình Thạnh (Phường 26, quận Bình Thạnh cũ)</t>
  </si>
  <si>
    <t>449/PA-HĐBT (RXT)</t>
  </si>
  <si>
    <t>299/PA-HĐBT(RXT)</t>
  </si>
  <si>
    <t>Nguyễn Thị Hồng Vân</t>
  </si>
  <si>
    <t>58/153F Phan Chu Trinh, P.Bình Thạnh (Phường 14, quận Bình Thạnh cũ)</t>
  </si>
  <si>
    <t>698/QĐ-UBND ngày 06/11/2025</t>
  </si>
  <si>
    <t>996/QĐ-UBND ngày 04/6/2026</t>
  </si>
  <si>
    <t>455/PA-HĐBT (RXT)</t>
  </si>
  <si>
    <t>239/PA</t>
  </si>
  <si>
    <t xml:space="preserve">Lý Anh Vũ (chưa xác định tình trạng hôn nhân)
</t>
  </si>
  <si>
    <t>246/13/27A Bạch Đằng, P.Bình Thạnh (Phường 14, quận Bình Thạnh cũ)</t>
  </si>
  <si>
    <t>641/QĐ-UBND ngày 05/11/2025</t>
  </si>
  <si>
    <t>457/PA-HĐBT (RXT)</t>
  </si>
  <si>
    <t xml:space="preserve">Nguyễn Thị Hằng và các đồng thừa kế của ông Dương Ca 
</t>
  </si>
  <si>
    <t>Không số (khuôn viên 405/4) Xô Viết Nghệ Tĩnh, P.Bình Thạnh (Phường 14, quận Bình Thạnh cũ)</t>
  </si>
  <si>
    <t>700/QĐ-UBND ngày 06/11/2025</t>
  </si>
  <si>
    <t>458/PA-HĐBT (RXT)</t>
  </si>
  <si>
    <t>Phan Kim Mai 
(chưa xác định tình trạng hôn nhân)</t>
  </si>
  <si>
    <t>220/33 Nguyễn Xí, P.Bình Thạnh (Phường 26, quận Bình Thạnh cũ)</t>
  </si>
  <si>
    <t>721/QĐ-UBND ngày 06/11/2025</t>
  </si>
  <si>
    <t>459/PA-HĐBT (RXT)</t>
  </si>
  <si>
    <t xml:space="preserve">Từ Thị Trang
</t>
  </si>
  <si>
    <t>719/QĐ-UBND ngày 06/11/2025</t>
  </si>
  <si>
    <t>463/PA-HĐBT
(RXT)</t>
  </si>
  <si>
    <t>427/79 - 81 Xô Viết Nghệ Tĩnh, P.Bình Thạnh (Phường 26, quận Bình Thạnh cũ)</t>
  </si>
  <si>
    <t>706/QĐ-UBND ngày 06/11/2025</t>
  </si>
  <si>
    <t>1206/QĐ-UBND ngày 20/6/2026</t>
  </si>
  <si>
    <t>464/PA-HĐBT (RXT)</t>
  </si>
  <si>
    <t>Lê Thanh Tâm - Đỗ Thị Hà</t>
  </si>
  <si>
    <t>Nhà, đất thuộc khuôn viên nhà số 79/43 Nguyễn Xí, P.Bình Thạnh (Phường 26, quận Bình Thạnh cũ)</t>
  </si>
  <si>
    <t>692/QĐ-UBND ngày 06/11/2025</t>
  </si>
  <si>
    <t>467/PA-HĐBT (RXT)</t>
  </si>
  <si>
    <t>Thái Lam Sơn - Nguyễn Thị Thanh Hòa</t>
  </si>
  <si>
    <t>690/QĐ-UBND ngày 06/11/2025</t>
  </si>
  <si>
    <t>1312/QĐ-UBND ngày 13/7/2026</t>
  </si>
  <si>
    <t>473/PA-HĐBT (RXT)</t>
  </si>
  <si>
    <t>349/PA</t>
  </si>
  <si>
    <t>Nguyễn Hoàng Việt (chưa xác định tình trạng hôn nhân)</t>
  </si>
  <si>
    <t>718/QĐ-UBND ngày 06/11/2025</t>
  </si>
  <si>
    <t>475/PA-HĐBT (RXT)</t>
  </si>
  <si>
    <t>Đoàn Văn Thân</t>
  </si>
  <si>
    <t>59/50 Đinh Bộ Lĩnh, P.Bình Thạnh (Phường 26, quận Bình Thạnh cũ)</t>
  </si>
  <si>
    <t>702/QĐ-UBND ngày 06/11/2025</t>
  </si>
  <si>
    <t>479/PA-HĐBT (RXT)</t>
  </si>
  <si>
    <t>Trần Thị Thanh Hương và các đồng thừa kế của ông Mai Xuân Dũng</t>
  </si>
  <si>
    <t>722/QĐ-UBND ngày 06/11/2025</t>
  </si>
  <si>
    <t>481/PA-HĐBT (RXT)</t>
  </si>
  <si>
    <t>Phạm Huy Hoàng - Nguyễn Thị Hiền</t>
  </si>
  <si>
    <t>Không số (cạnh số 194/50/46) Bạch Đằng, P.Bình Thạnh (Phường 14, quận Bình Thạnh cũ)</t>
  </si>
  <si>
    <t>703/QĐ-UBND ngày 06/11/2025</t>
  </si>
  <si>
    <t>483/PA-HĐBT (RXT)</t>
  </si>
  <si>
    <t>316/PA</t>
  </si>
  <si>
    <t>Trần Kim Yến - Nguyễn Ngọc Chiếu</t>
  </si>
  <si>
    <t>Không số (số tự cho: 79/43) Nguyễn Xí, P.Bình Thạnh (Phường 26, quận Bình Thạnh cũ)</t>
  </si>
  <si>
    <t>709/QĐ-UBND ngày 06/11/2025</t>
  </si>
  <si>
    <t>1162/QĐ-UBND ngày 15/06/2026</t>
  </si>
  <si>
    <t>1126/QĐ-UBND ngày 12/6/2026; 1322/QĐ-UBND ngày 14/7/2026</t>
  </si>
  <si>
    <t>484/PA-HĐBT (RXT)</t>
  </si>
  <si>
    <t>342/PA; 425/PA</t>
  </si>
  <si>
    <t>Lê Huy Phong và các đồng thừa kế của bà Lê Thị Hồng Phượng</t>
  </si>
  <si>
    <t>707/QĐ-UBND ngày 06/11/2025</t>
  </si>
  <si>
    <t>485/PA-HĐBT (RXT) bị thay thế bởi 347/PA-HĐBT(RXT)</t>
  </si>
  <si>
    <t>Trần Ngọc Quang - Lê Tuyết Linh</t>
  </si>
  <si>
    <t>699/QĐ-UBND ngày 06/11/2025</t>
  </si>
  <si>
    <t>486/PA-HĐBT (RXT)</t>
  </si>
  <si>
    <t>Trần Ngọc Thêm - Trương Hải Hưng</t>
  </si>
  <si>
    <t>220/31 Nguyễn Xí, P.Bình Thạnh (Phường 26, quận Bình Thạnh cũ)</t>
  </si>
  <si>
    <t>688/QĐ-UBND ngày 06/11/2025</t>
  </si>
  <si>
    <t>487/PA-HĐBT (RXT)</t>
  </si>
  <si>
    <t>Các đồng thừa kế của ông Châu Văn Nguyên</t>
  </si>
  <si>
    <t>720/QĐ-UBND ngày 06/11/2025</t>
  </si>
  <si>
    <t>488/PA-HĐBT (RXT)</t>
  </si>
  <si>
    <t>Phan Thị Nặng (chưa xác định tình trạng hôn nhân)</t>
  </si>
  <si>
    <t>Nhà, đất nằm trong khuôn viên nhà số 79/43 Nguyễn Xí, P.Bình Thạnh (Phường 26, quận Bình Thạnh cũ)</t>
  </si>
  <si>
    <t>693/QĐ-UBND ngày 06/11/2025</t>
  </si>
  <si>
    <t>490/PA-HĐBT (RXT)</t>
  </si>
  <si>
    <t>Các đồng thừa kế của ông Huỳnh Ngọc Ẩn - bà Lê Thị Vân</t>
  </si>
  <si>
    <t>Không số phía sau nhà 125/102 Bùi Đình Túy, P.Bình Thạnh (Phường 14, quận Bình Thạnh cũ)</t>
  </si>
  <si>
    <t>714/QĐ-UBND ngày 06/11/2025</t>
  </si>
  <si>
    <t>491/PA-HĐBT (RXT) bị sửa đổi, bổ sung và thay thế 251/PA-HĐBT(RXT)</t>
  </si>
  <si>
    <t>Trần Thị Dĩnh (chưa xác định tình trạng hôn nhân)</t>
  </si>
  <si>
    <t>725/QĐ-UBND ngày 06/11/2025</t>
  </si>
  <si>
    <t>1154/QĐ-UBND ngày 13/6/2026</t>
  </si>
  <si>
    <t>496/PA-HĐBT (RXT)</t>
  </si>
  <si>
    <t>269/PA</t>
  </si>
  <si>
    <t>Nguyễn Tiến Nam - Dương Kim Thủy</t>
  </si>
  <si>
    <t>Một phần nhà đất số 58/22/34L2 Phan Chu Trinh, P.Bình Thạnh (Phường 14, quận Bình Thạnh cũ)</t>
  </si>
  <si>
    <t>715/QĐ-UBND ngày 06/11/2025</t>
  </si>
  <si>
    <t>498/PA-HĐBT (RXT)</t>
  </si>
  <si>
    <t>262/PA</t>
  </si>
  <si>
    <t>Nguyễn Văn Mười - Lê Thị Hoà</t>
  </si>
  <si>
    <t>194/45 Bạch Đằng, P.Bình Thạnh (Phường 14, quận Bình Thạnh cũ)</t>
  </si>
  <si>
    <t>501/PA-HĐBT (RXT)</t>
  </si>
  <si>
    <t xml:space="preserve">Nguyễn Thị Thanh Vương - Vũ Xuân Hải
</t>
  </si>
  <si>
    <t>58/22/34L Phan Chu Trinh, P.Bình Thạnh (Phường 14, quận Bình Thạnh cũ)</t>
  </si>
  <si>
    <t>713/QĐ-UBND ngày 06/11/2025</t>
  </si>
  <si>
    <t>502/PA-HĐBT (RXT)</t>
  </si>
  <si>
    <t>256/PA</t>
  </si>
  <si>
    <t>Trần Thị Kim Oanh và các đồng thừa kế ông Nguyễn Xuân Ánh</t>
  </si>
  <si>
    <t>723/QĐ-UBND ngày 06/11/2025</t>
  </si>
  <si>
    <t>503/PA-HĐBT (RXT)</t>
  </si>
  <si>
    <t>306/PA</t>
  </si>
  <si>
    <t>Võ Thị Diễm 
(chưa xác định tình trạng hôn nhân)</t>
  </si>
  <si>
    <t>194/50/57 Bạch Đằng, P.Bình Thạnh (Phường 14, quận Bình Thạnh cũ)</t>
  </si>
  <si>
    <t>696/QĐ-UBND ngày 06/11/2025</t>
  </si>
  <si>
    <t>1266/QĐ-UBND ngày 01/7/2026</t>
  </si>
  <si>
    <t>506/PA-HĐBT (RXT)</t>
  </si>
  <si>
    <t>417/PA</t>
  </si>
  <si>
    <t>Bùi Thanh Hoàng - Nguyễn Thị Thanh Huyền</t>
  </si>
  <si>
    <t>Không số cạnh nhà 58/22/34L2 Phan Chu Trinh, P.Bình Thạnh (Phường 14, quận Bình Thạnh cũ)</t>
  </si>
  <si>
    <t>695/QĐ-UBND ngày 06/11/2025</t>
  </si>
  <si>
    <t>508/PA-HĐBT (RXT)</t>
  </si>
  <si>
    <t>Nguyễn Thị Mỹ Ngọc</t>
  </si>
  <si>
    <t>Số tự cho 58/22/34L3 Phan Chu Trinh, P.Bình Thạnh (Phường 14, quận Bình Thạnh cũ)</t>
  </si>
  <si>
    <t>704/QĐ-UBND ngày 06/11/2025</t>
  </si>
  <si>
    <t>509/PA-HĐBT (RXT) bị thay thế 472/PA-HĐBT(RXT)</t>
  </si>
  <si>
    <t>Trương Huyền Thu (chưa xác định tình trạng hôn nhân)</t>
  </si>
  <si>
    <t>710/QĐ-UBND ngày 06/11/2025</t>
  </si>
  <si>
    <t>1444/QĐ-UBND ngày 24/8/2026</t>
  </si>
  <si>
    <t>510/PA-HĐBT (RXT)</t>
  </si>
  <si>
    <t>477/PA</t>
  </si>
  <si>
    <t xml:space="preserve">Nguyễn Thị Ngọc Trân
</t>
  </si>
  <si>
    <t>220/9A Nguyễn Xí, P.Bình Thạnh (Phường 26, quận Bình Thạnh cũ)</t>
  </si>
  <si>
    <t>724/QĐ-UBND ngày 06/11/2025</t>
  </si>
  <si>
    <t>373/QĐ-UBND ngày 07/04/2026; 1323/QĐ-UBND ngày 14/07/2026</t>
  </si>
  <si>
    <t>512/PA-HĐBT (RXT)</t>
  </si>
  <si>
    <t>Huỳnh Thị Mỹ Xinh</t>
  </si>
  <si>
    <t>691/QĐ-UBND ngày 06/11/2025</t>
  </si>
  <si>
    <t>513/PA-HĐBT (RXT)</t>
  </si>
  <si>
    <t>Nguyễn Văn Nghiêm - Võ Thị Gái</t>
  </si>
  <si>
    <t>Không số (số tự cho 239; 241; 243) Chu Văn An, P.Bình Thạnh (Phường 26, quận Bình Thạnh cũ)</t>
  </si>
  <si>
    <t>694/QĐ-UBND ngày 06/11/2025</t>
  </si>
  <si>
    <t>514/PA-HĐBT (RXT)</t>
  </si>
  <si>
    <t>Nguyễn Văn Nghiêm- Võ Thị Gái</t>
  </si>
  <si>
    <t>213 Chu Văn An, P.Bình Thạnh (Phường 26, quận Bình Thạnh cũ)</t>
  </si>
  <si>
    <t>708/QĐ-UBND ngày 06/11/2025</t>
  </si>
  <si>
    <t>550/QĐ-UBND ngày 13/04/2026; 1495/QĐ-UBND ngày 11/09/2026</t>
  </si>
  <si>
    <t>517/PA-HĐBT (RXT)</t>
  </si>
  <si>
    <t>Lê Chí Toại - Nguyễn Thị Bé Tư</t>
  </si>
  <si>
    <t>194/56D Bạch Đằng, P.Bình Thạnh (Phường 14, quận Bình Thạnh cũ)</t>
  </si>
  <si>
    <t>716/QĐ-UBND ngày 06/11/2025</t>
  </si>
  <si>
    <t>1017/QĐ-UBND ngày 04/6/2026</t>
  </si>
  <si>
    <t>518/PA-HĐBT (RXT)</t>
  </si>
  <si>
    <t>Đặng Thế Lâm (chưa xác định tình trạng hôn nhân)</t>
  </si>
  <si>
    <t>717/QĐ-UBND ngày 06/11/2025</t>
  </si>
  <si>
    <t>522/PA-HĐBT (RXT)</t>
  </si>
  <si>
    <t>260/PA</t>
  </si>
  <si>
    <t>Nguyễn Thị Ngọc Sang</t>
  </si>
  <si>
    <t>194/60B Bạch Đằng, P.Bình Thạnh (Phường 14, quận Bình Thạnh cũ)</t>
  </si>
  <si>
    <t>705/QĐ-UBND ngày 06/11/2025</t>
  </si>
  <si>
    <t>523/PA-HĐBT (RXT)</t>
  </si>
  <si>
    <t>Nguyễn Thị Tăng và các đồng thừa kế của ông Hứa Văn Hơn</t>
  </si>
  <si>
    <t>680/QĐ-UBND ngày 06/11/2025</t>
  </si>
  <si>
    <t>525/PA-HĐBT (RXT)</t>
  </si>
  <si>
    <t>Võ Văn Ngọc - Lê Thị Hương</t>
  </si>
  <si>
    <t>Không số (cạnh số 194/45) Bạch Đằng, P.Bình Thạnh (Phường 14, quận Bình Thạnh cũ)</t>
  </si>
  <si>
    <t>712/QĐ-UBND ngày 06/11/2025</t>
  </si>
  <si>
    <t>526/PA-HĐBT (RXT)</t>
  </si>
  <si>
    <t>Trần Xuân Kỷ - Trần Thị Từ Liêm</t>
  </si>
  <si>
    <t>711/QĐ-UBND ngày 06/11/2025</t>
  </si>
  <si>
    <t>527/PA-HĐBT (RXT)</t>
  </si>
  <si>
    <t>Không số (trước 35/18B) Đinh Bộ Lĩnh, P.Bình Thạnh (Phường 14, quận Bình Thạnh cũ)</t>
  </si>
  <si>
    <t>829/QĐ-UBND ngày 19/11/2025</t>
  </si>
  <si>
    <t>733/QĐ-UBND ngày 11/11/2025</t>
  </si>
  <si>
    <t>1319/QĐ-UBND ngày 14/07/2026</t>
  </si>
  <si>
    <t>1318/QĐ-UBND ngày 14/7/2026</t>
  </si>
  <si>
    <t>238/PA-HĐBT (RXT)</t>
  </si>
  <si>
    <t>704/PA-HĐBT (RXT); 414/PA</t>
  </si>
  <si>
    <t>Lê Thị Hương và các đồng thừa kế của ông Nguyễn Văn Tùng</t>
  </si>
  <si>
    <t>516/QĐ-UBND ngày 03/11/2025</t>
  </si>
  <si>
    <t>882/QĐ-UBND Ngày 18/05/2026</t>
  </si>
  <si>
    <t>1199/QĐ-UBND ngày 19/6/2026</t>
  </si>
  <si>
    <t>327/PA-HĐBT (RXT)</t>
  </si>
  <si>
    <t>330/PA</t>
  </si>
  <si>
    <t>Nguyễn Minh Tùng - Võ Thị Minh Kiều</t>
  </si>
  <si>
    <t>405/6 Xô Viết Nghệ Tĩnh, P.Bình Thạnh (Phường 14, quận Bình Thạnh cũ)</t>
  </si>
  <si>
    <t>730/QĐ-UBND ngày 06/11/2025</t>
  </si>
  <si>
    <t>474/PA-HĐBT (RXT)</t>
  </si>
  <si>
    <t>682/PA-HĐBT (RXT); 370/PA</t>
  </si>
  <si>
    <t>Nguyễn Văn Chiến - Nguyễn Ánh Nguyệt</t>
  </si>
  <si>
    <t>58/22/32 Phan Chu Trinh, P.Bình Thạnh (Phường 14, quận Bình Thạnh cũ)</t>
  </si>
  <si>
    <t>654/QĐ-UBND ngày 06/11/2025</t>
  </si>
  <si>
    <t>493/PA-HĐBT (RXT)</t>
  </si>
  <si>
    <t>557/PA-HĐBT (RXT)</t>
  </si>
  <si>
    <t>Đồng Thế Nam Hà - Ngô Tuyết Phượng</t>
  </si>
  <si>
    <t>728/QĐ-UBND ngày 06/11/2025</t>
  </si>
  <si>
    <t>1363/QĐ-UBND ngày 28/7/2026</t>
  </si>
  <si>
    <t>504/PA-HĐBT (RXT)</t>
  </si>
  <si>
    <t>523/PA</t>
  </si>
  <si>
    <t>Võ Công Minh - Phạm Ngọc Thúy</t>
  </si>
  <si>
    <t>726/QĐ-UBND ngày 06/11/2025</t>
  </si>
  <si>
    <t>520/PA-HĐBT (RXT)</t>
  </si>
  <si>
    <t>686/PA-HĐBT (RXT)</t>
  </si>
  <si>
    <t>Các đồng thừa kế của ông Nguyễn Văn Dưỡng và bà Châu Thị Linh</t>
  </si>
  <si>
    <t>Không số gần nhà 58/96/25 (Số tự cho: 58/96/27) Phan Chu Trinh, P.Bình Thạnh (Phường 14, quận Bình Thạnh cũ)</t>
  </si>
  <si>
    <t>729/QĐ-UBND ngày 06/11/2025</t>
  </si>
  <si>
    <t>1471/QĐ-UBND ngày 28/8/2026</t>
  </si>
  <si>
    <t>524/PA-HĐBT (RXT)</t>
  </si>
  <si>
    <t>552/PA</t>
  </si>
  <si>
    <t>Trần Văn Trung - Nguyễn Thị Pôline</t>
  </si>
  <si>
    <t>58/165B Phan Chu Trinh, P.Bình Thạnh (Phường 14, quận Bình Thạnh cũ)</t>
  </si>
  <si>
    <t>727/QĐ-UBND ngày 06/11/2025</t>
  </si>
  <si>
    <t>Đợi Điều chỉnh giảm</t>
  </si>
  <si>
    <t>695/PA-HĐBT (RXT)</t>
  </si>
  <si>
    <t>528/PA-HĐBT (RXT) (ĐẪ BỊ THAY THẾ BỞI 359/PA-HĐBT (RXT))</t>
  </si>
  <si>
    <t>Hứa Văn Tửng và các đồng thừa kế của bà Nguyễn Thị Hảo</t>
  </si>
  <si>
    <t>58/96/34 Phan Chu Trinh, P.Bình Thạnh (Phường 14, quận Bình Thạnh cũ)</t>
  </si>
  <si>
    <t>731/QĐ-UBND ngày 06/11/2025</t>
  </si>
  <si>
    <t>1163/QĐ-UBND ngày 15/06/2026; 1323/QĐ-UBND ngày 14/07/2026</t>
  </si>
  <si>
    <t>537/PA-HĐBT (RXT)</t>
  </si>
  <si>
    <t>Phạm Thị Sáng và các đồng thừa kế của ông Trần Văn Hoàn</t>
  </si>
  <si>
    <t>47/47 Bùi Đình Túy, P.Bình Thạnh (Phường 14, quận Bình Thạnh cũ)</t>
  </si>
  <si>
    <t>1170/QĐ-UBND ngày 16/6/2026</t>
  </si>
  <si>
    <t>1243/QĐ-UBND ngày 25/06/2026</t>
  </si>
  <si>
    <t>1492/QĐ-UBND ngày 11/9/2026</t>
  </si>
  <si>
    <t>359/PA-HĐBT (RXT) THAY THẾ 528/PA-HĐBT (RXT)</t>
  </si>
  <si>
    <t>1151/QĐ-UBND ngày 13/6/2026</t>
  </si>
  <si>
    <t>360/PA-HĐBT (RXT)</t>
  </si>
  <si>
    <t>Hứa Văn Khoa - Hồng Thị Kim Sang</t>
  </si>
  <si>
    <t>1150/QĐ-UBND ngày 13/6/2026</t>
  </si>
  <si>
    <t>Hứa Thành Tâm - Hồ Thị Tường</t>
  </si>
  <si>
    <t>1049/QĐ-UBND ngày 08/6/2026</t>
  </si>
  <si>
    <t>926/QĐ-UBND ngày 26/5/2026</t>
  </si>
  <si>
    <t>221/PA-HĐBT(RXT) thay thế PA 339/PA-HĐBT (RXT)</t>
  </si>
  <si>
    <t>Mai Xuân Thành - Trần Ngọc Hòa (tên cũ là Lê Thị Hương)</t>
  </si>
  <si>
    <t>925/QĐ-UBND ngày 26/5/2026</t>
  </si>
  <si>
    <t>132/PA-HĐBT(RXT) thay thế PA 338/PA-HĐBT (RXT)</t>
  </si>
  <si>
    <t>Phạm Thị Hằng ( tên cũ là Phạm Lân)</t>
  </si>
  <si>
    <t>924/QĐ-UBND ngày 26/5/2026</t>
  </si>
  <si>
    <t>131/PA-HĐBT(RXT) thay thế 387/PA-HĐBT (RXT)</t>
  </si>
  <si>
    <t>Phạm Thị Hằng (Tên cũ Phạm Thị Thúy Nga)</t>
  </si>
  <si>
    <t>251/PA-HĐBT(RXT) sửa đổi, bổ sung và thay thế 491/PA-HĐBT (RXT)</t>
  </si>
  <si>
    <t>Nguyễn Thị Thúy Hồng (tên cũ là Trần Thị Dĩnh)</t>
  </si>
  <si>
    <t>1399/QĐ-UBND ngày 07/8/2026</t>
  </si>
  <si>
    <t>473/PA-HĐBT(RXT) sửa đổi, bổ sung và thay thế 470/PA-HĐBT(RXT)</t>
  </si>
  <si>
    <t>Trần Văn Hà (tên cũ là Bùi Thị Mỹ Nương)</t>
  </si>
  <si>
    <t>472/PA-HĐBT(RXT) sửa đổi, bổ sung và thay thế 509/PA-HĐBT (RXT)</t>
  </si>
  <si>
    <t>Trần Văn Hà (tên cũ là Trương Huyền Thu (chưa xác định tình trạng hôn nhân)</t>
  </si>
  <si>
    <t>347/PA-HĐBT(RXT) sửa đổi, bổ sung và thay thế 485/PA-HĐBT (RXT)</t>
  </si>
  <si>
    <t>Trần Nguyễn Thị Thu (tên cũ là Trần Ngọc Quang - Lê Tuyết Linh)</t>
  </si>
  <si>
    <t>1427/QĐ-UBND ngày 20/8/2026</t>
  </si>
  <si>
    <t>513/PA-HĐBT(RXT)</t>
  </si>
  <si>
    <t>Ban Quản lý dự án đầu tư xây dựng phường Bình Thạnh</t>
  </si>
  <si>
    <t>20/29 Đinh Bộ Lĩnh, Phường Bình Thạnh (Phường 14, quận Bình Thạnh cũ)</t>
  </si>
  <si>
    <t>194/50/45 Bạch Đằng, Phường Bình Thạnh (Phường 14, quận Bình Thạnh cũ)</t>
  </si>
  <si>
    <t xml:space="preserve">TỒN GỬI NGÂN HÀNG </t>
  </si>
  <si>
    <t>DỰ TOÁN</t>
  </si>
  <si>
    <t>ĐÃ CHI</t>
  </si>
  <si>
    <t>Địa chỉ</t>
  </si>
  <si>
    <t>Dự Toán</t>
  </si>
  <si>
    <t>Còn tồn 10.000.000đ +15.000.000 do chi từ NH 10.000.0000 và thường 15.000.000đ theo QĐ DT 732=&gt; PHẢI ĐIỀU CHỈNH GIẢM DỰ TOÁN</t>
  </si>
  <si>
    <t>TỔNG HỢP BỒI THƯỜNG HỖ TRỢ, TÁI ĐỊNH CƯ DỰ ÁN RẠCH XUYÊN TÂM - PHƯỜNG BÌNH THẠNH</t>
  </si>
  <si>
    <t>Thời điểm báo cáo:</t>
  </si>
  <si>
    <t>Bồi thường Bổ sung, NVTC</t>
  </si>
  <si>
    <t>Bồi thường lần đầu</t>
  </si>
  <si>
    <t>CHỈ TIÊU</t>
  </si>
  <si>
    <t>Tổng PA: 877, trong đó: 35 hộ 0 đồng; Trong chưa chi 51: 5 PA bị thay thế đợi giảm dự toán</t>
  </si>
  <si>
    <t>Điều chỉnh giảm dự toán</t>
  </si>
  <si>
    <t>GHI CHÚ</t>
  </si>
  <si>
    <t>ĐÃ NHẬN BÀN GIAO</t>
  </si>
  <si>
    <t>1387/QĐ-UBND ngày 04/08/2026</t>
  </si>
  <si>
    <t>1456/QĐ-UBND ngày 28/08/2026</t>
  </si>
  <si>
    <t>1507/QĐ-UBND</t>
  </si>
  <si>
    <t>Các đồng thừa kế của ông Nguyễn Văn Sáu (Nguyễn Thị Lài)</t>
  </si>
  <si>
    <t>dvc</t>
  </si>
  <si>
    <t xml:space="preserve"> DVC GRV 1915</t>
  </si>
  <si>
    <t>1495/QĐ-UBND ngày 11/09/2026</t>
  </si>
  <si>
    <t xml:space="preserve">1388/QĐ-UBND ngày 04/08/2026 
</t>
  </si>
  <si>
    <t>929/QĐ-UBND ngày 26/05/2026</t>
  </si>
  <si>
    <t xml:space="preserve"> 1388/QĐ-UBND ngày 04/08/2026</t>
  </si>
  <si>
    <t>1089/QĐ-UBND ngày 09/06/2026</t>
  </si>
  <si>
    <t xml:space="preserve"> 1495/QĐ-UBND ngày 11/09/2026</t>
  </si>
  <si>
    <t xml:space="preserve">915/QĐ-UBND ngày 22/05/2026; </t>
  </si>
  <si>
    <t xml:space="preserve">1292/QĐ-UBND ngày 08/07/2026; </t>
  </si>
  <si>
    <t xml:space="preserve">369/QĐ-UBND ngày 03/04/2026; </t>
  </si>
  <si>
    <t>1493/QĐ-UBND ngày 11/09/2026</t>
  </si>
  <si>
    <t xml:space="preserve">1237/QĐ-UBND ngày 24/06/2026; </t>
  </si>
  <si>
    <t>1048/QĐ-UBND ngày 06/06/2026</t>
  </si>
  <si>
    <t>550/QĐ-UBND ngày 13/04/2026;</t>
  </si>
  <si>
    <t>Lê Thị Thanh và đồng thừa kế ông Nguyễn Hà</t>
  </si>
  <si>
    <t>Các đồng thừa kế của ông Trần Ngọc Duy và bà Phùng Thị Nở</t>
  </si>
  <si>
    <t>Đinh Duy Hiếu</t>
  </si>
  <si>
    <t>Nhận bàn giao từ a Thủy: Đợi QĐ giao nền đất</t>
  </si>
  <si>
    <t xml:space="preserve">Nhận bàn giao từ a Thủy: Đã ký =&gt; đợi chỉnh QĐ </t>
  </si>
  <si>
    <t>Nhận bàn giao từ a Thủy: Đợi QĐ giao nền đất =&gt; hết hạn GUQ</t>
  </si>
  <si>
    <t>1323/QĐ-UBND ngày 14/07/2026</t>
  </si>
  <si>
    <t>373/QĐ-UBND ngày 07/04/2026</t>
  </si>
  <si>
    <t>dvc-24-9</t>
  </si>
  <si>
    <t>dvc - 24-9</t>
  </si>
  <si>
    <t>dvc 24-9</t>
  </si>
  <si>
    <t>DVC 24-9</t>
  </si>
  <si>
    <t>DVC - 24-9</t>
  </si>
  <si>
    <t>1432/QĐ-UBND ngày 20/08/2026</t>
  </si>
  <si>
    <t>Dương Thị Nguyệt Quới (Võ Kim Trước nhận UQ)</t>
  </si>
  <si>
    <t xml:space="preserve">1454/QĐ-UBND ngày 26/08/2026 
</t>
  </si>
  <si>
    <t>1453/QĐ-UBND ngày 26/08/2026</t>
  </si>
  <si>
    <t>Các đồng thừa kế của ông Trần Văn Lợi và bà Huỳnh Thị Bảy (Trần Chí Dũng nhận tiền)</t>
  </si>
  <si>
    <t>Đã chi 24/9</t>
  </si>
  <si>
    <t>Đã chi 23/9</t>
  </si>
  <si>
    <t>DVC - 25-9</t>
  </si>
  <si>
    <t>DVC 25-9</t>
  </si>
  <si>
    <t>ĐÃ KÝ DSC</t>
  </si>
  <si>
    <t>1480/QĐ-UBND ngày 07/09/2026</t>
  </si>
  <si>
    <t>1313/QĐ-UBND ngày 13/07/2026</t>
  </si>
  <si>
    <t>818/QĐ-UBND ngày 11/05/2026</t>
  </si>
  <si>
    <t>1502/QĐ-UBND ngày 11/09/2026</t>
  </si>
  <si>
    <t>914/QĐ-UBND ngày 22/5/2026; 1507/QĐ-UBND ngày 16/09/2026</t>
  </si>
  <si>
    <t>883/QĐ-UBND ngày 18/5/2026; 1507/QĐ-UBND ngày 16/09/2026</t>
  </si>
  <si>
    <t>499/QĐ-UBND ngày 09/04/2026; 1507/QĐ-UBND ngày 16/09/2026</t>
  </si>
  <si>
    <t>1329/QĐ-UBND ngày 14/7/2026; 1521/QĐ-UBND ngày 21/9/2026</t>
  </si>
  <si>
    <t>1520/QĐ-UBND ngày 18/9/2026</t>
  </si>
  <si>
    <t>1509/QĐ-UBND ngày 16/9/2026</t>
  </si>
  <si>
    <t>1347/QĐ-UBND ngày 21/7/2026; 1517/QĐ-UBND ngày 18/9/2026</t>
  </si>
  <si>
    <t>1517/QĐ-UBND ngày 18/9/2026</t>
  </si>
  <si>
    <t>1522/QĐ-UBND ngày 21/9/2026</t>
  </si>
  <si>
    <t xml:space="preserve">374/QĐ-UBND ngày 07/04/2026; 1398/QĐ-UBND ngày 07/8/2026; 1505/QĐ-UBND ngày 16/09/2026
</t>
  </si>
  <si>
    <t xml:space="preserve">914/QĐ-UBND ngày 22/5/2026; 1507/QĐ-UBND ngày 16/09/2026
</t>
  </si>
  <si>
    <t xml:space="preserve">1268/QĐ-UBND ngày 01/07/2026; 1518/QĐ-UBND ngày 18/09/2026 
</t>
  </si>
  <si>
    <t xml:space="preserve">1051/QĐ-UBND ngày 08/06/2026; 1507/QĐ-UBND ngày 16/09/2026
</t>
  </si>
  <si>
    <t>1132/QĐ-UBND ngày 12/06/2026; 1518/QĐ-UBND ngày 18/09/2026</t>
  </si>
  <si>
    <t>1169/QĐ-UBND ngày 16/06/2026; 1518/QĐ-UBND ngày 18/09/2026</t>
  </si>
  <si>
    <t>1516/QĐ-UBND ngày 17/09/2026</t>
  </si>
  <si>
    <t>1506/QĐ-UBND ngày 16/09/2026</t>
  </si>
  <si>
    <t>1534/QĐ-UBND ngày 25/9/2026</t>
  </si>
  <si>
    <t>1533/QĐ-UBND ngày 25/9/2026</t>
  </si>
  <si>
    <t>Đợi QĐ giao căn hộ</t>
  </si>
  <si>
    <t xml:space="preserve">1184/QĐ-UBND ngày 17/06/2026; 1531/QĐ-UBND ngày 24/09/2026
</t>
  </si>
  <si>
    <t>1538/QĐ-UBND ngày 25/09/2026</t>
  </si>
  <si>
    <t>729/QĐ-UBND ngày 24/4/2026; 1532/QĐ-UBND ngày 24/09/2026</t>
  </si>
  <si>
    <t xml:space="preserve">1219/QĐ-UBND ngày 20/06/2026; 1532/QĐ-UBND ngày 24/09/2026 
</t>
  </si>
  <si>
    <t xml:space="preserve">1161/QĐ-UBND ngày 15/06/2026;1532/QĐ-UBND ngày 24/09/2026 
</t>
  </si>
  <si>
    <t>915/QĐ-UBND ngày 22/05/2026;1532/QĐ-UBND ngày 24/09/2026</t>
  </si>
  <si>
    <t>915/QĐ-UBND ngày 22/05/2026; 1532/QĐ-UBND ngày 24/09/2026</t>
  </si>
  <si>
    <t xml:space="preserve">915/QĐ-UBND ngày 22/05/2026; 1532/QĐ-UBND ngày 24/09/2026 
</t>
  </si>
  <si>
    <t>1529/QĐ-UBND ngày 24/9/2026</t>
  </si>
  <si>
    <t>585/PA</t>
  </si>
  <si>
    <t>363/PA</t>
  </si>
  <si>
    <t>446/PA; 558/PA</t>
  </si>
  <si>
    <t>598/PA</t>
  </si>
  <si>
    <t>590/PA</t>
  </si>
  <si>
    <t>451/PA; 626/PA</t>
  </si>
  <si>
    <t>551/PA</t>
  </si>
  <si>
    <t>577/PA</t>
  </si>
  <si>
    <t>610/PA</t>
  </si>
  <si>
    <t>1000/QĐ-UBND ngày 04/06/2026; 1566/QĐ-UBND ngày 05/10/2026</t>
  </si>
  <si>
    <t xml:space="preserve">448/PA-HĐBT(RXT) </t>
  </si>
  <si>
    <t>Đã chi xong, bị dư dự toán phải điều chỉnh giảm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</si>
</sst>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7" x14ac:knownFonts="1">
    <font>
      <sz val="11"/>
      <color theme="1"/>
      <name val="Calibri"/>
      <family val="2"/>
      <scheme val="minor"/>
    </font>
    <font>
      <sz val="11"/>
      <color theme="1"/>
      <name val="Calibri"/>
      <family val="2"/>
      <scheme val="minor"/>
    </font>
    <font>
      <b/>
      <sz val="20"/>
      <color theme="1"/>
      <name val="Times New Roman"/>
      <family val="1"/>
    </font>
    <font>
      <sz val="12"/>
      <color theme="1"/>
      <name val="Times New Roman"/>
      <family val="1"/>
    </font>
    <font>
      <b/>
      <sz val="14"/>
      <color theme="1"/>
      <name val="Times New Roman"/>
      <family val="1"/>
    </font>
    <font>
      <b/>
      <sz val="14"/>
      <color rgb="FFFF0000"/>
      <name val="Times New Roman"/>
      <family val="1"/>
    </font>
    <font>
      <b/>
      <sz val="12"/>
      <color rgb="FFFF0000"/>
      <name val="Times New Roman"/>
      <family val="1"/>
    </font>
    <font>
      <b/>
      <sz val="12"/>
      <color theme="1"/>
      <name val="Times New Roman"/>
      <family val="1"/>
    </font>
    <font>
      <b/>
      <sz val="14"/>
      <color rgb="FF0C0C0C"/>
      <name val="Times New Roman"/>
      <family val="1"/>
    </font>
    <font>
      <b/>
      <sz val="12"/>
      <color rgb="FF0C0C0C"/>
      <name val="Times New Roman"/>
      <family val="1"/>
    </font>
    <font>
      <sz val="16"/>
      <color theme="1"/>
      <name val="Times New Roman"/>
      <family val="1"/>
    </font>
    <font>
      <b/>
      <sz val="13"/>
      <color rgb="FFFF0000"/>
      <name val="Times New Roman"/>
      <family val="1"/>
    </font>
    <font>
      <sz val="12"/>
      <color rgb="FFFF0000"/>
      <name val="Times New Roman"/>
      <family val="1"/>
    </font>
    <font>
      <sz val="13"/>
      <color theme="1"/>
      <name val="Times New Roman"/>
      <family val="1"/>
    </font>
    <font>
      <sz val="11"/>
      <color theme="1"/>
      <name val="Times New Roman"/>
      <family val="1"/>
    </font>
    <font>
      <sz val="14"/>
      <color theme="1"/>
      <name val="Times New Roman"/>
      <family val="1"/>
    </font>
    <font>
      <sz val="15"/>
      <color theme="1"/>
      <name val="Times New Roman"/>
      <family val="1"/>
    </font>
    <font>
      <sz val="16"/>
      <color rgb="FFFF0000"/>
      <name val="Times New Roman"/>
      <family val="1"/>
    </font>
    <font>
      <sz val="18"/>
      <color theme="1"/>
      <name val="Times New Roman"/>
      <family val="1"/>
    </font>
    <font>
      <sz val="10"/>
      <color theme="1"/>
      <name val="Times New Roman"/>
      <family val="1"/>
    </font>
    <font>
      <b/>
      <sz val="11"/>
      <color theme="1"/>
      <name val="Times New Roman"/>
      <family val="1"/>
    </font>
    <font>
      <b/>
      <sz val="11"/>
      <name val="Times New Roman"/>
      <family val="1"/>
    </font>
    <font>
      <b/>
      <sz val="12"/>
      <name val="Times New Roman"/>
      <family val="1"/>
    </font>
    <font>
      <b/>
      <sz val="14"/>
      <name val="Times New Roman"/>
      <family val="1"/>
    </font>
    <font>
      <b/>
      <sz val="16"/>
      <color theme="1"/>
      <name val="Times New Roman"/>
      <family val="1"/>
    </font>
    <font>
      <b/>
      <sz val="10"/>
      <color theme="1"/>
      <name val="Times New Roman"/>
      <family val="1"/>
    </font>
    <font>
      <sz val="12"/>
      <color theme="1"/>
      <name val="Calibri"/>
      <family val="2"/>
      <scheme val="minor"/>
    </font>
  </fonts>
  <fills count="7">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1">
    <xf numFmtId="0" fontId="0" fillId="0" borderId="0" xfId="0"/>
    <xf numFmtId="0" fontId="0" fillId="0" borderId="0" xfId="0" applyAlignment="1">
      <alignment wrapText="1"/>
    </xf>
    <xf numFmtId="0" fontId="0" fillId="0" borderId="1" xfId="0" applyBorder="1"/>
    <xf numFmtId="3" fontId="3" fillId="0" borderId="1" xfId="0" applyNumberFormat="1" applyFont="1" applyBorder="1" applyAlignment="1">
      <alignment horizontal="right" vertical="center" wrapText="1"/>
    </xf>
    <xf numFmtId="0" fontId="19" fillId="0" borderId="1" xfId="0" applyFont="1" applyBorder="1" applyAlignment="1">
      <alignment wrapText="1"/>
    </xf>
    <xf numFmtId="0" fontId="19" fillId="0" borderId="1" xfId="0" applyFont="1" applyBorder="1" applyAlignment="1">
      <alignment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3" fontId="3" fillId="0" borderId="1" xfId="0" applyNumberFormat="1" applyFont="1" applyBorder="1" applyAlignment="1">
      <alignment wrapText="1"/>
    </xf>
    <xf numFmtId="3" fontId="12" fillId="0" borderId="1" xfId="0" applyNumberFormat="1" applyFont="1" applyBorder="1" applyAlignment="1">
      <alignment horizontal="right" vertical="center" wrapText="1"/>
    </xf>
    <xf numFmtId="3" fontId="3" fillId="0" borderId="1" xfId="0" applyNumberFormat="1" applyFont="1" applyBorder="1" applyAlignment="1">
      <alignment horizontal="right" wrapText="1"/>
    </xf>
    <xf numFmtId="3" fontId="13" fillId="0" borderId="1" xfId="0" applyNumberFormat="1" applyFont="1" applyBorder="1" applyAlignment="1">
      <alignment horizontal="right" wrapText="1"/>
    </xf>
    <xf numFmtId="3" fontId="11" fillId="0" borderId="1" xfId="0" applyNumberFormat="1" applyFont="1" applyBorder="1" applyAlignment="1">
      <alignment horizontal="right" vertical="center" wrapText="1"/>
    </xf>
    <xf numFmtId="3" fontId="12" fillId="0" borderId="1" xfId="0" applyNumberFormat="1" applyFont="1" applyBorder="1" applyAlignment="1">
      <alignment wrapText="1"/>
    </xf>
    <xf numFmtId="3" fontId="10" fillId="0" borderId="1" xfId="0" applyNumberFormat="1" applyFont="1" applyBorder="1" applyAlignment="1">
      <alignment horizontal="right" vertical="center" wrapText="1"/>
    </xf>
    <xf numFmtId="3" fontId="15" fillId="0" borderId="1" xfId="0" applyNumberFormat="1" applyFont="1" applyBorder="1" applyAlignment="1">
      <alignment horizontal="right" vertical="center" wrapText="1"/>
    </xf>
    <xf numFmtId="3" fontId="10" fillId="0" borderId="1" xfId="0" applyNumberFormat="1" applyFont="1" applyBorder="1" applyAlignment="1">
      <alignment horizontal="right" wrapText="1"/>
    </xf>
    <xf numFmtId="3" fontId="16" fillId="0" borderId="1" xfId="0" applyNumberFormat="1" applyFont="1" applyBorder="1" applyAlignment="1">
      <alignment horizontal="right" vertical="center" wrapText="1"/>
    </xf>
    <xf numFmtId="3" fontId="17" fillId="0" borderId="1" xfId="0" applyNumberFormat="1" applyFont="1" applyBorder="1" applyAlignment="1">
      <alignment horizontal="right" vertical="center" wrapText="1"/>
    </xf>
    <xf numFmtId="0" fontId="10" fillId="0" borderId="1" xfId="0" applyFont="1" applyBorder="1" applyAlignment="1">
      <alignment horizontal="right" vertical="center" wrapText="1"/>
    </xf>
    <xf numFmtId="3" fontId="18" fillId="0" borderId="1" xfId="0" applyNumberFormat="1" applyFont="1" applyBorder="1" applyAlignment="1">
      <alignment horizontal="right" vertical="center" wrapText="1"/>
    </xf>
    <xf numFmtId="0" fontId="10" fillId="0" borderId="1" xfId="0" applyFont="1" applyBorder="1" applyAlignment="1">
      <alignment vertical="center" wrapText="1"/>
    </xf>
    <xf numFmtId="0" fontId="20" fillId="3" borderId="1" xfId="0" applyFont="1" applyFill="1" applyBorder="1" applyAlignment="1">
      <alignment horizont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3" fontId="19" fillId="0" borderId="1" xfId="0" applyNumberFormat="1" applyFont="1" applyBorder="1" applyAlignment="1">
      <alignment vertical="center" wrapText="1"/>
    </xf>
    <xf numFmtId="164" fontId="22" fillId="4" borderId="1" xfId="1" applyNumberFormat="1" applyFont="1" applyFill="1" applyBorder="1" applyAlignment="1">
      <alignment horizontal="center" vertical="center" wrapText="1"/>
    </xf>
    <xf numFmtId="164" fontId="3" fillId="0" borderId="1" xfId="1" applyNumberFormat="1" applyFont="1" applyFill="1" applyBorder="1" applyAlignment="1">
      <alignment horizontal="right" vertical="center" wrapText="1"/>
    </xf>
    <xf numFmtId="164" fontId="19" fillId="0" borderId="1" xfId="1" applyNumberFormat="1" applyFont="1" applyFill="1" applyBorder="1" applyAlignment="1">
      <alignment vertical="center" wrapText="1"/>
    </xf>
    <xf numFmtId="164" fontId="12" fillId="0" borderId="1" xfId="1" applyNumberFormat="1" applyFont="1" applyFill="1" applyBorder="1" applyAlignment="1">
      <alignment horizontal="right" vertical="center" wrapText="1"/>
    </xf>
    <xf numFmtId="164" fontId="10" fillId="0" borderId="1" xfId="1" applyNumberFormat="1" applyFont="1" applyFill="1" applyBorder="1" applyAlignment="1">
      <alignment horizontal="right" vertical="center" wrapText="1"/>
    </xf>
    <xf numFmtId="0" fontId="0" fillId="0" borderId="0" xfId="0" applyAlignment="1">
      <alignment vertical="center"/>
    </xf>
    <xf numFmtId="164" fontId="0" fillId="0" borderId="0" xfId="1" applyNumberFormat="1" applyFont="1" applyAlignment="1">
      <alignment vertical="center"/>
    </xf>
    <xf numFmtId="3" fontId="3" fillId="0" borderId="1" xfId="0" applyNumberFormat="1" applyFont="1" applyBorder="1" applyAlignment="1">
      <alignment vertical="center" wrapText="1"/>
    </xf>
    <xf numFmtId="3" fontId="10" fillId="0" borderId="1" xfId="0" applyNumberFormat="1" applyFont="1" applyBorder="1" applyAlignment="1">
      <alignment vertical="center" wrapText="1"/>
    </xf>
    <xf numFmtId="3" fontId="18"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3" fillId="0" borderId="1" xfId="0" applyFont="1" applyBorder="1" applyAlignment="1">
      <alignment wrapText="1"/>
    </xf>
    <xf numFmtId="0" fontId="12" fillId="0" borderId="1" xfId="0" applyFont="1" applyBorder="1" applyAlignment="1">
      <alignment vertical="center" wrapText="1"/>
    </xf>
    <xf numFmtId="0" fontId="7" fillId="0" borderId="1" xfId="0" applyFont="1" applyBorder="1" applyAlignment="1">
      <alignment vertical="center" wrapText="1"/>
    </xf>
    <xf numFmtId="0" fontId="14" fillId="0" borderId="1" xfId="0" applyFont="1" applyBorder="1" applyAlignment="1">
      <alignment vertical="center" wrapText="1"/>
    </xf>
    <xf numFmtId="0" fontId="6" fillId="0" borderId="1" xfId="0" applyFont="1" applyBorder="1" applyAlignment="1">
      <alignment vertical="center" wrapText="1"/>
    </xf>
    <xf numFmtId="0" fontId="17" fillId="0" borderId="1" xfId="0" applyFont="1" applyBorder="1" applyAlignment="1">
      <alignment vertical="center" wrapText="1"/>
    </xf>
    <xf numFmtId="0" fontId="15" fillId="0" borderId="1" xfId="0" applyFont="1" applyBorder="1" applyAlignment="1">
      <alignment vertical="center" wrapText="1"/>
    </xf>
    <xf numFmtId="0" fontId="10" fillId="0" borderId="1" xfId="0" applyFont="1" applyBorder="1" applyAlignment="1">
      <alignment wrapText="1"/>
    </xf>
    <xf numFmtId="0" fontId="11" fillId="0" borderId="1" xfId="0" applyFont="1" applyBorder="1" applyAlignment="1">
      <alignment horizontal="right" vertical="center" wrapText="1"/>
    </xf>
    <xf numFmtId="0" fontId="0" fillId="0" borderId="0" xfId="0" applyAlignment="1">
      <alignment horizontal="center" vertical="center"/>
    </xf>
    <xf numFmtId="0" fontId="24" fillId="3"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0" fontId="0" fillId="6" borderId="0" xfId="0" applyFill="1" applyAlignment="1">
      <alignment horizontal="center"/>
    </xf>
    <xf numFmtId="165" fontId="11" fillId="0" borderId="1" xfId="0" applyNumberFormat="1" applyFont="1" applyBorder="1" applyAlignment="1">
      <alignment horizontal="right" vertical="center" wrapText="1"/>
    </xf>
    <xf numFmtId="0" fontId="2" fillId="0" borderId="0" xfId="0" applyFont="1" applyAlignment="1">
      <alignment horizontal="left" vertical="center"/>
    </xf>
    <xf numFmtId="14" fontId="2" fillId="0" borderId="0" xfId="0" applyNumberFormat="1" applyFont="1" applyAlignment="1">
      <alignment horizontal="left" vertical="center"/>
    </xf>
    <xf numFmtId="0" fontId="20" fillId="0" borderId="1" xfId="0" applyFont="1" applyBorder="1" applyAlignment="1">
      <alignment horizontal="center"/>
    </xf>
    <xf numFmtId="0" fontId="20" fillId="0" borderId="1" xfId="0" applyFont="1" applyBorder="1" applyAlignment="1">
      <alignment horizontal="center" wrapText="1"/>
    </xf>
    <xf numFmtId="0" fontId="20" fillId="0" borderId="1" xfId="0" applyFont="1" applyBorder="1" applyAlignment="1">
      <alignment horizontal="center" vertical="center"/>
    </xf>
    <xf numFmtId="0" fontId="0" fillId="0" borderId="0" xfId="0" applyAlignment="1">
      <alignment vertical="center" wrapText="1"/>
    </xf>
    <xf numFmtId="0" fontId="26" fillId="0" borderId="0" xfId="0" applyFont="1"/>
    <xf numFmtId="0" fontId="26" fillId="0" borderId="0" xfId="0" applyFont="1" applyAlignment="1">
      <alignment vertical="center"/>
    </xf>
    <xf numFmtId="0" fontId="3" fillId="6" borderId="1" xfId="0" applyFont="1" applyFill="1" applyBorder="1" applyAlignment="1">
      <alignment horizontal="center" vertical="center" wrapText="1"/>
    </xf>
    <xf numFmtId="164" fontId="26" fillId="0" borderId="0" xfId="1" applyNumberFormat="1" applyFont="1" applyAlignment="1">
      <alignment vertical="center"/>
    </xf>
    <xf numFmtId="0" fontId="7" fillId="3" borderId="1" xfId="0" applyFont="1" applyFill="1" applyBorder="1" applyAlignment="1">
      <alignment horizontal="center"/>
    </xf>
    <xf numFmtId="0" fontId="7" fillId="3"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3" fontId="6" fillId="0" borderId="1" xfId="0" applyNumberFormat="1" applyFont="1" applyBorder="1" applyAlignment="1">
      <alignment horizontal="right" vertical="center" wrapText="1"/>
    </xf>
    <xf numFmtId="164" fontId="6" fillId="0" borderId="1" xfId="1" applyNumberFormat="1" applyFont="1" applyFill="1" applyBorder="1" applyAlignment="1">
      <alignment horizontal="right" vertical="center" wrapText="1"/>
    </xf>
    <xf numFmtId="165" fontId="6" fillId="0" borderId="1" xfId="0" applyNumberFormat="1" applyFont="1" applyBorder="1" applyAlignment="1">
      <alignment horizontal="right" vertical="center" wrapText="1"/>
    </xf>
    <xf numFmtId="3" fontId="6" fillId="6" borderId="1" xfId="0" applyNumberFormat="1" applyFont="1" applyFill="1" applyBorder="1" applyAlignment="1">
      <alignment horizontal="center" vertical="center" wrapText="1"/>
    </xf>
    <xf numFmtId="164" fontId="3" fillId="0" borderId="1" xfId="1" applyNumberFormat="1" applyFont="1" applyFill="1" applyBorder="1" applyAlignment="1">
      <alignment vertical="center" wrapText="1"/>
    </xf>
    <xf numFmtId="164" fontId="3" fillId="0" borderId="1" xfId="1" applyNumberFormat="1" applyFont="1" applyBorder="1" applyAlignment="1">
      <alignment wrapText="1"/>
    </xf>
    <xf numFmtId="164" fontId="3" fillId="0" borderId="1" xfId="1" applyNumberFormat="1" applyFont="1" applyBorder="1" applyAlignment="1">
      <alignment vertical="center" wrapText="1"/>
    </xf>
    <xf numFmtId="164" fontId="3" fillId="0" borderId="1" xfId="1" applyNumberFormat="1" applyFont="1" applyBorder="1" applyAlignment="1">
      <alignment horizontal="right" wrapText="1"/>
    </xf>
    <xf numFmtId="0" fontId="3" fillId="0" borderId="1" xfId="0" applyFont="1" applyBorder="1" applyAlignment="1">
      <alignment horizontal="right" wrapText="1"/>
    </xf>
    <xf numFmtId="0" fontId="26" fillId="0" borderId="0" xfId="0" applyFont="1" applyAlignment="1">
      <alignment wrapText="1"/>
    </xf>
    <xf numFmtId="0" fontId="26" fillId="0" borderId="0" xfId="0" applyFont="1" applyAlignment="1">
      <alignment vertical="center" wrapText="1"/>
    </xf>
    <xf numFmtId="3" fontId="26" fillId="0" borderId="1" xfId="0" applyNumberFormat="1" applyFont="1" applyBorder="1"/>
    <xf numFmtId="3" fontId="26" fillId="0" borderId="1" xfId="0" applyNumberFormat="1" applyFont="1" applyBorder="1" applyAlignment="1">
      <alignment wrapText="1"/>
    </xf>
    <xf numFmtId="0" fontId="7" fillId="3" borderId="1" xfId="0" applyFont="1" applyFill="1" applyBorder="1" applyAlignment="1">
      <alignment horizontal="center" vertical="center"/>
    </xf>
    <xf numFmtId="0" fontId="26" fillId="0" borderId="1" xfId="0" applyFont="1" applyBorder="1" applyAlignment="1">
      <alignment vertical="center" wrapText="1"/>
    </xf>
    <xf numFmtId="3" fontId="26" fillId="0" borderId="1" xfId="0" applyNumberFormat="1" applyFont="1" applyBorder="1" applyAlignment="1">
      <alignment vertical="center" wrapText="1"/>
    </xf>
    <xf numFmtId="14" fontId="2" fillId="0" borderId="0" xfId="0" applyNumberFormat="1" applyFont="1" applyAlignment="1">
      <alignment vertical="center"/>
    </xf>
    <xf numFmtId="0" fontId="20" fillId="0" borderId="1" xfId="0" applyFont="1" applyBorder="1" applyAlignment="1">
      <alignment vertical="center"/>
    </xf>
    <xf numFmtId="0" fontId="20" fillId="0" borderId="1" xfId="0" applyFont="1" applyBorder="1" applyAlignment="1">
      <alignment vertical="center" wrapText="1"/>
    </xf>
    <xf numFmtId="0" fontId="11" fillId="0" borderId="1" xfId="0" applyFont="1" applyBorder="1" applyAlignment="1">
      <alignment vertical="center" wrapText="1"/>
    </xf>
    <xf numFmtId="0" fontId="19" fillId="6" borderId="1" xfId="0" applyFont="1" applyFill="1" applyBorder="1" applyAlignment="1">
      <alignment vertical="center" wrapText="1"/>
    </xf>
    <xf numFmtId="0" fontId="3" fillId="3" borderId="1" xfId="0" applyFont="1" applyFill="1" applyBorder="1" applyAlignment="1">
      <alignment vertical="center" wrapText="1"/>
    </xf>
    <xf numFmtId="3" fontId="10" fillId="3" borderId="1" xfId="0" applyNumberFormat="1" applyFont="1" applyFill="1" applyBorder="1" applyAlignment="1">
      <alignment horizontal="right" vertical="center" wrapText="1"/>
    </xf>
    <xf numFmtId="0" fontId="3" fillId="3" borderId="1" xfId="0" applyFont="1" applyFill="1" applyBorder="1" applyAlignment="1">
      <alignment wrapText="1"/>
    </xf>
    <xf numFmtId="164" fontId="3" fillId="3" borderId="1" xfId="1" applyNumberFormat="1" applyFont="1" applyFill="1" applyBorder="1" applyAlignment="1">
      <alignment wrapText="1"/>
    </xf>
    <xf numFmtId="3" fontId="3" fillId="3" borderId="1" xfId="0" applyNumberFormat="1" applyFont="1" applyFill="1" applyBorder="1" applyAlignment="1">
      <alignment horizontal="right" vertical="center" wrapText="1"/>
    </xf>
    <xf numFmtId="164" fontId="3" fillId="3" borderId="1" xfId="1" applyNumberFormat="1" applyFont="1" applyFill="1" applyBorder="1" applyAlignment="1">
      <alignment horizontal="right" vertical="center" wrapText="1"/>
    </xf>
    <xf numFmtId="3" fontId="3" fillId="3" borderId="1" xfId="0" applyNumberFormat="1" applyFont="1" applyFill="1" applyBorder="1" applyAlignment="1">
      <alignment vertical="center" wrapText="1"/>
    </xf>
    <xf numFmtId="0" fontId="19" fillId="3" borderId="1" xfId="0" applyFont="1" applyFill="1" applyBorder="1" applyAlignment="1">
      <alignment wrapText="1"/>
    </xf>
    <xf numFmtId="3" fontId="26" fillId="3" borderId="1" xfId="0" applyNumberFormat="1" applyFont="1" applyFill="1" applyBorder="1" applyAlignment="1">
      <alignment wrapText="1"/>
    </xf>
    <xf numFmtId="0" fontId="0" fillId="3" borderId="0" xfId="0" applyFill="1"/>
    <xf numFmtId="0" fontId="3" fillId="3" borderId="1" xfId="0" applyFont="1" applyFill="1" applyBorder="1" applyAlignment="1">
      <alignment horizontal="right" vertical="center" wrapText="1"/>
    </xf>
    <xf numFmtId="0" fontId="19" fillId="3" borderId="1" xfId="0" applyFont="1" applyFill="1" applyBorder="1" applyAlignment="1">
      <alignment vertical="center" wrapText="1"/>
    </xf>
    <xf numFmtId="0" fontId="10" fillId="3" borderId="1" xfId="0" applyFont="1" applyFill="1" applyBorder="1" applyAlignment="1">
      <alignment vertical="center" wrapText="1"/>
    </xf>
    <xf numFmtId="3" fontId="16" fillId="3" borderId="1" xfId="0" applyNumberFormat="1" applyFont="1" applyFill="1" applyBorder="1" applyAlignment="1">
      <alignment horizontal="right" vertical="center" wrapText="1"/>
    </xf>
    <xf numFmtId="3" fontId="3" fillId="3" borderId="1" xfId="0" applyNumberFormat="1" applyFont="1" applyFill="1" applyBorder="1" applyAlignment="1">
      <alignment horizontal="right" wrapText="1"/>
    </xf>
    <xf numFmtId="164" fontId="3" fillId="3" borderId="1" xfId="1" applyNumberFormat="1" applyFont="1" applyFill="1" applyBorder="1" applyAlignment="1">
      <alignment vertical="center" wrapText="1"/>
    </xf>
    <xf numFmtId="3" fontId="3" fillId="3" borderId="1" xfId="0" applyNumberFormat="1" applyFont="1" applyFill="1" applyBorder="1" applyAlignment="1">
      <alignment wrapText="1"/>
    </xf>
    <xf numFmtId="3" fontId="15" fillId="3" borderId="1" xfId="0" applyNumberFormat="1" applyFont="1" applyFill="1" applyBorder="1" applyAlignment="1">
      <alignment horizontal="right" vertical="center" wrapText="1"/>
    </xf>
    <xf numFmtId="3" fontId="20" fillId="0" borderId="1" xfId="0" applyNumberFormat="1" applyFont="1" applyBorder="1" applyAlignment="1">
      <alignment horizontal="center" wrapText="1"/>
    </xf>
    <xf numFmtId="3" fontId="20" fillId="0" borderId="1" xfId="0" applyNumberFormat="1" applyFont="1" applyBorder="1" applyAlignment="1">
      <alignment horizontal="center"/>
    </xf>
    <xf numFmtId="164" fontId="3" fillId="0" borderId="1" xfId="1" applyNumberFormat="1" applyFont="1" applyBorder="1" applyAlignment="1">
      <alignment horizontal="right" vertical="center" wrapText="1"/>
    </xf>
    <xf numFmtId="164" fontId="19" fillId="0" borderId="1" xfId="1" applyNumberFormat="1" applyFont="1" applyBorder="1" applyAlignment="1">
      <alignment wrapText="1"/>
    </xf>
    <xf numFmtId="164" fontId="19" fillId="0" borderId="1" xfId="1" applyNumberFormat="1" applyFont="1" applyBorder="1" applyAlignment="1">
      <alignment vertical="center" wrapText="1"/>
    </xf>
    <xf numFmtId="164" fontId="13" fillId="0" borderId="1" xfId="1" applyNumberFormat="1" applyFont="1" applyBorder="1" applyAlignment="1">
      <alignment horizontal="right" wrapText="1"/>
    </xf>
    <xf numFmtId="164" fontId="12" fillId="0" borderId="1" xfId="1" applyNumberFormat="1" applyFont="1" applyBorder="1" applyAlignment="1">
      <alignment horizontal="right" vertical="center" wrapText="1"/>
    </xf>
    <xf numFmtId="164" fontId="10" fillId="0" borderId="1" xfId="1" applyNumberFormat="1" applyFont="1" applyBorder="1" applyAlignment="1">
      <alignment horizontal="right" vertical="center" wrapText="1"/>
    </xf>
    <xf numFmtId="164" fontId="15" fillId="0" borderId="1" xfId="1" applyNumberFormat="1" applyFont="1" applyBorder="1" applyAlignment="1">
      <alignment horizontal="right" vertical="center" wrapText="1"/>
    </xf>
    <xf numFmtId="164" fontId="16" fillId="0" borderId="1" xfId="1" applyNumberFormat="1" applyFont="1" applyBorder="1" applyAlignment="1">
      <alignment horizontal="right" vertical="center" wrapText="1"/>
    </xf>
    <xf numFmtId="164" fontId="17" fillId="0" borderId="1" xfId="1" applyNumberFormat="1" applyFont="1" applyBorder="1" applyAlignment="1">
      <alignment horizontal="right" vertical="center" wrapText="1"/>
    </xf>
    <xf numFmtId="164" fontId="10" fillId="0" borderId="1" xfId="1" applyNumberFormat="1" applyFont="1" applyBorder="1" applyAlignment="1">
      <alignment horizontal="right" wrapText="1"/>
    </xf>
    <xf numFmtId="164" fontId="10" fillId="0" borderId="1" xfId="1" applyNumberFormat="1" applyFont="1" applyBorder="1" applyAlignment="1">
      <alignment vertical="center" wrapText="1"/>
    </xf>
    <xf numFmtId="0" fontId="6" fillId="0" borderId="1" xfId="0" applyFont="1" applyBorder="1" applyAlignment="1">
      <alignment horizontal="right" vertical="center" wrapText="1"/>
    </xf>
    <xf numFmtId="0" fontId="3" fillId="0" borderId="0" xfId="0" applyFont="1"/>
    <xf numFmtId="0" fontId="3" fillId="0" borderId="0" xfId="0" applyFont="1" applyAlignment="1">
      <alignment horizontal="center" vertical="center"/>
    </xf>
    <xf numFmtId="0" fontId="3" fillId="6" borderId="0" xfId="0" applyFont="1" applyFill="1" applyAlignment="1">
      <alignment horizont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25" fillId="0" borderId="2"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3" xfId="0" applyFont="1" applyBorder="1" applyAlignment="1">
      <alignment horizontal="center" vertical="center" wrapText="1"/>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9" xfId="0" applyFont="1" applyBorder="1" applyAlignment="1">
      <alignment horizontal="center" vertical="center"/>
    </xf>
    <xf numFmtId="0" fontId="8" fillId="0" borderId="7" xfId="0" applyFont="1" applyBorder="1" applyAlignment="1">
      <alignment horizontal="left" vertical="center"/>
    </xf>
    <xf numFmtId="0" fontId="7" fillId="3" borderId="1" xfId="0" applyFont="1" applyFill="1" applyBorder="1" applyAlignment="1">
      <alignment horizontal="center"/>
    </xf>
    <xf numFmtId="0" fontId="20" fillId="3" borderId="1" xfId="0" applyFont="1" applyFill="1" applyBorder="1" applyAlignment="1">
      <alignment horizontal="center"/>
    </xf>
    <xf numFmtId="0" fontId="21" fillId="4" borderId="1" xfId="0" applyFont="1" applyFill="1" applyBorder="1" applyAlignment="1">
      <alignment horizontal="center"/>
    </xf>
    <xf numFmtId="0" fontId="22" fillId="4" borderId="1" xfId="0" applyFont="1" applyFill="1" applyBorder="1" applyAlignment="1">
      <alignment horizontal="center"/>
    </xf>
    <xf numFmtId="0" fontId="8"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22" fillId="4" borderId="1" xfId="0" applyFont="1" applyFill="1" applyBorder="1" applyAlignment="1">
      <alignment horizontal="center" vertical="center"/>
    </xf>
    <xf numFmtId="0" fontId="9" fillId="2" borderId="4" xfId="0"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8" fillId="0" borderId="2" xfId="0" applyFont="1" applyBorder="1" applyAlignment="1">
      <alignment vertical="center" wrapText="1"/>
    </xf>
    <xf numFmtId="0" fontId="8" fillId="0" borderId="3" xfId="0" applyFont="1" applyBorder="1" applyAlignment="1">
      <alignment vertical="center" wrapText="1"/>
    </xf>
    <xf numFmtId="0" fontId="5" fillId="0" borderId="1" xfId="0" applyFont="1" applyBorder="1" applyAlignment="1">
      <alignment horizontal="center" vertical="center" wrapText="1"/>
    </xf>
    <xf numFmtId="0" fontId="3" fillId="0" borderId="3" xfId="0" applyFont="1" applyBorder="1" applyAlignment="1">
      <alignmen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10" fillId="0" borderId="3" xfId="0" applyFont="1" applyBorder="1" applyAlignment="1">
      <alignment vertical="center" wrapText="1"/>
    </xf>
    <xf numFmtId="0" fontId="3"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26" fillId="0" borderId="0" xfId="0" applyFont="1" applyAlignment="1">
      <alignment horizontal="center" vertical="center"/>
    </xf>
    <xf numFmtId="0" fontId="26" fillId="6"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7B45-2CDF-43A5-A8CA-E88B6367DD9C}">
  <dimension ref="A1:AD897"/>
  <sheetViews>
    <sheetView tabSelected="1" topLeftCell="B4" zoomScale="70" zoomScaleNormal="70" workbookViewId="0">
      <selection activeCell="J13" sqref="J13"/>
    </sheetView>
  </sheetViews>
  <sheetFormatPr defaultRowHeight="14.4" x14ac:dyDescent="0.3"/>
  <cols>
    <col min="1" max="1" width="8.88671875" hidden="1" customWidth="1"/>
    <col min="2" max="2" width="6.21875" customWidth="1"/>
    <col min="3" max="3" width="18.21875" customWidth="1"/>
    <col min="4" max="4" width="18.21875" hidden="1" customWidth="1"/>
    <col min="5" max="5" width="17.5546875" customWidth="1"/>
    <col min="6" max="6" width="18.5546875" customWidth="1"/>
    <col min="7" max="7" width="14.88671875" customWidth="1"/>
    <col min="8" max="8" width="13.6640625" customWidth="1"/>
    <col min="9" max="9" width="19.6640625" customWidth="1"/>
    <col min="10" max="10" width="40.44140625" style="1" customWidth="1"/>
    <col min="11" max="11" width="7.109375" customWidth="1"/>
    <col min="12" max="12" width="38.21875" customWidth="1"/>
    <col min="13" max="13" width="21.44140625" customWidth="1"/>
    <col min="14" max="14" width="20.77734375" customWidth="1"/>
    <col min="15" max="17" width="23.44140625" customWidth="1"/>
    <col min="18" max="18" width="23.44140625" style="34" customWidth="1"/>
    <col min="19" max="19" width="19.44140625" style="34" customWidth="1"/>
    <col min="20" max="20" width="23.44140625" style="35" customWidth="1"/>
    <col min="21" max="21" width="23.44140625" customWidth="1"/>
    <col min="22" max="22" width="19.33203125" customWidth="1"/>
    <col min="23" max="23" width="23.44140625" customWidth="1"/>
    <col min="24" max="24" width="21.88671875" customWidth="1"/>
    <col min="25" max="26" width="23.44140625" customWidth="1"/>
    <col min="27" max="27" width="17.77734375" customWidth="1"/>
    <col min="28" max="28" width="12.109375" customWidth="1"/>
  </cols>
  <sheetData>
    <row r="1" spans="1:30" ht="24.6" x14ac:dyDescent="0.3">
      <c r="B1" s="55" t="s">
        <v>3814</v>
      </c>
    </row>
    <row r="2" spans="1:30" ht="24.6" x14ac:dyDescent="0.3">
      <c r="B2" s="55" t="s">
        <v>3815</v>
      </c>
      <c r="F2" s="56">
        <v>46303</v>
      </c>
    </row>
    <row r="3" spans="1:30" ht="24.6" x14ac:dyDescent="0.3">
      <c r="B3" s="55"/>
      <c r="F3" s="56"/>
    </row>
    <row r="4" spans="1:30" s="34" customFormat="1" ht="22.2" customHeight="1" x14ac:dyDescent="0.3">
      <c r="B4" s="129" t="s">
        <v>3818</v>
      </c>
      <c r="C4" s="130"/>
      <c r="D4" s="130"/>
      <c r="E4" s="131"/>
      <c r="F4" s="59" t="s">
        <v>3809</v>
      </c>
      <c r="G4" s="59" t="s">
        <v>3810</v>
      </c>
      <c r="H4" s="59" t="s">
        <v>16</v>
      </c>
      <c r="I4" s="59" t="s">
        <v>3821</v>
      </c>
      <c r="J4" s="60"/>
      <c r="T4" s="35"/>
    </row>
    <row r="5" spans="1:30" ht="27.6" customHeight="1" x14ac:dyDescent="0.3">
      <c r="B5" s="132" t="s">
        <v>3817</v>
      </c>
      <c r="C5" s="133"/>
      <c r="D5" s="134"/>
      <c r="E5" s="135"/>
      <c r="F5" s="108">
        <f>M13</f>
        <v>841</v>
      </c>
      <c r="G5" s="107">
        <f>R13</f>
        <v>796</v>
      </c>
      <c r="H5" s="107">
        <f>W13</f>
        <v>45</v>
      </c>
      <c r="I5" s="126" t="s">
        <v>3819</v>
      </c>
    </row>
    <row r="6" spans="1:30" ht="17.399999999999999" x14ac:dyDescent="0.3">
      <c r="B6" s="132" t="s">
        <v>3816</v>
      </c>
      <c r="C6" s="133"/>
      <c r="D6" s="134"/>
      <c r="E6" s="135"/>
      <c r="F6" s="108">
        <f>N13</f>
        <v>241</v>
      </c>
      <c r="G6" s="108">
        <f>S13</f>
        <v>223</v>
      </c>
      <c r="H6" s="108">
        <f>X13</f>
        <v>19</v>
      </c>
      <c r="I6" s="127"/>
    </row>
    <row r="7" spans="1:30" ht="17.399999999999999" x14ac:dyDescent="0.3">
      <c r="B7" s="132" t="s">
        <v>14</v>
      </c>
      <c r="C7" s="133"/>
      <c r="D7" s="134"/>
      <c r="E7" s="135"/>
      <c r="F7" s="107">
        <f>O13</f>
        <v>865</v>
      </c>
      <c r="G7" s="108">
        <f>T13</f>
        <v>744</v>
      </c>
      <c r="H7" s="108">
        <f>Y13</f>
        <v>122</v>
      </c>
      <c r="I7" s="127"/>
    </row>
    <row r="8" spans="1:30" ht="20.399999999999999" customHeight="1" x14ac:dyDescent="0.3">
      <c r="B8" s="132" t="s">
        <v>15</v>
      </c>
      <c r="C8" s="133"/>
      <c r="D8" s="134"/>
      <c r="E8" s="135"/>
      <c r="F8" s="108">
        <f>P13</f>
        <v>201</v>
      </c>
      <c r="G8" s="108">
        <f>U13</f>
        <v>173</v>
      </c>
      <c r="H8" s="108">
        <f>Z13</f>
        <v>38</v>
      </c>
      <c r="I8" s="128"/>
    </row>
    <row r="10" spans="1:30" ht="31.2" customHeight="1" x14ac:dyDescent="0.3">
      <c r="A10" s="146" t="s">
        <v>1</v>
      </c>
      <c r="B10" s="145" t="s">
        <v>2</v>
      </c>
      <c r="C10" s="143" t="s">
        <v>3</v>
      </c>
      <c r="D10" s="2"/>
      <c r="E10" s="143" t="s">
        <v>6</v>
      </c>
      <c r="F10" s="147" t="s">
        <v>5</v>
      </c>
      <c r="G10" s="143" t="s">
        <v>7</v>
      </c>
      <c r="H10" s="143" t="s">
        <v>8</v>
      </c>
      <c r="I10" s="143" t="s">
        <v>9</v>
      </c>
      <c r="J10" s="143" t="s">
        <v>10</v>
      </c>
      <c r="K10" s="144" t="s">
        <v>11</v>
      </c>
      <c r="L10" s="145" t="s">
        <v>3811</v>
      </c>
      <c r="M10" s="136" t="s">
        <v>3809</v>
      </c>
      <c r="N10" s="136"/>
      <c r="O10" s="136"/>
      <c r="P10" s="137"/>
      <c r="Q10" s="137"/>
      <c r="R10" s="138" t="s">
        <v>3810</v>
      </c>
      <c r="S10" s="139"/>
      <c r="T10" s="139"/>
      <c r="U10" s="138"/>
      <c r="V10" s="138"/>
      <c r="W10" s="140" t="s">
        <v>16</v>
      </c>
      <c r="X10" s="141"/>
      <c r="Y10" s="141"/>
      <c r="Z10" s="142"/>
      <c r="AA10" s="124" t="s">
        <v>3808</v>
      </c>
      <c r="AB10" s="124" t="s">
        <v>3821</v>
      </c>
      <c r="AC10" s="121"/>
      <c r="AD10" s="121"/>
    </row>
    <row r="11" spans="1:30" s="49" customFormat="1" ht="34.799999999999997" x14ac:dyDescent="0.3">
      <c r="A11" s="146"/>
      <c r="B11" s="145"/>
      <c r="C11" s="143"/>
      <c r="D11" s="39" t="s">
        <v>4</v>
      </c>
      <c r="E11" s="143"/>
      <c r="F11" s="147"/>
      <c r="G11" s="143"/>
      <c r="H11" s="143"/>
      <c r="I11" s="143"/>
      <c r="J11" s="143"/>
      <c r="K11" s="144"/>
      <c r="L11" s="145"/>
      <c r="M11" s="24" t="s">
        <v>12</v>
      </c>
      <c r="N11" s="24" t="s">
        <v>13</v>
      </c>
      <c r="O11" s="24" t="s">
        <v>14</v>
      </c>
      <c r="P11" s="50" t="s">
        <v>15</v>
      </c>
      <c r="Q11" s="23" t="s">
        <v>3812</v>
      </c>
      <c r="R11" s="25" t="s">
        <v>12</v>
      </c>
      <c r="S11" s="25" t="s">
        <v>13</v>
      </c>
      <c r="T11" s="29" t="s">
        <v>14</v>
      </c>
      <c r="U11" s="26" t="s">
        <v>15</v>
      </c>
      <c r="V11" s="26" t="s">
        <v>0</v>
      </c>
      <c r="W11" s="27" t="s">
        <v>12</v>
      </c>
      <c r="X11" s="67" t="s">
        <v>13</v>
      </c>
      <c r="Y11" s="67" t="s">
        <v>14</v>
      </c>
      <c r="Z11" s="27" t="s">
        <v>15</v>
      </c>
      <c r="AA11" s="125"/>
      <c r="AB11" s="125"/>
      <c r="AC11" s="122"/>
      <c r="AD11" s="122"/>
    </row>
    <row r="12" spans="1:30" ht="16.8" x14ac:dyDescent="0.3">
      <c r="A12" s="5"/>
      <c r="B12" s="7"/>
      <c r="C12" s="7"/>
      <c r="D12" s="5"/>
      <c r="E12" s="7"/>
      <c r="F12" s="5"/>
      <c r="G12" s="7"/>
      <c r="H12" s="7"/>
      <c r="I12" s="7"/>
      <c r="J12" s="120" t="s">
        <v>17</v>
      </c>
      <c r="K12" s="120" t="s">
        <v>17</v>
      </c>
      <c r="L12" s="120" t="s">
        <v>17</v>
      </c>
      <c r="M12" s="68">
        <f t="shared" ref="M12:AA12" si="0">SUM(M14:M897)</f>
        <v>3763781053926</v>
      </c>
      <c r="N12" s="68">
        <f t="shared" si="0"/>
        <v>201799086865</v>
      </c>
      <c r="O12" s="68">
        <f t="shared" si="0"/>
        <v>10320000000</v>
      </c>
      <c r="P12" s="12">
        <f t="shared" si="0"/>
        <v>13549266691</v>
      </c>
      <c r="Q12" s="12">
        <f t="shared" si="0"/>
        <v>3989449407482</v>
      </c>
      <c r="R12" s="12">
        <f t="shared" si="0"/>
        <v>3658712389995</v>
      </c>
      <c r="S12" s="68">
        <f t="shared" si="0"/>
        <v>186498030826</v>
      </c>
      <c r="T12" s="69">
        <f t="shared" si="0"/>
        <v>8996250000</v>
      </c>
      <c r="U12" s="12">
        <f t="shared" si="0"/>
        <v>11459266691</v>
      </c>
      <c r="V12" s="54">
        <f t="shared" si="0"/>
        <v>-8686446994</v>
      </c>
      <c r="W12" s="12">
        <f t="shared" si="0"/>
        <v>105068663931</v>
      </c>
      <c r="X12" s="68">
        <f t="shared" si="0"/>
        <v>15301056039</v>
      </c>
      <c r="Y12" s="68">
        <f t="shared" si="0"/>
        <v>1323750000</v>
      </c>
      <c r="Z12" s="12">
        <f t="shared" si="0"/>
        <v>2090000000</v>
      </c>
      <c r="AA12" s="68">
        <f t="shared" si="0"/>
        <v>105376718315</v>
      </c>
      <c r="AB12" s="68"/>
      <c r="AC12" s="121"/>
      <c r="AD12" s="121"/>
    </row>
    <row r="13" spans="1:30" s="53" customFormat="1" ht="37.799999999999997" customHeight="1" x14ac:dyDescent="0.3">
      <c r="A13" s="51"/>
      <c r="B13" s="63"/>
      <c r="C13" s="63"/>
      <c r="D13" s="51"/>
      <c r="E13" s="63"/>
      <c r="F13" s="51"/>
      <c r="G13" s="71">
        <f>COUNTA(G14:G897)</f>
        <v>877</v>
      </c>
      <c r="H13" s="63"/>
      <c r="I13" s="71"/>
      <c r="J13" s="63"/>
      <c r="K13" s="63"/>
      <c r="L13" s="63"/>
      <c r="M13" s="71">
        <f t="shared" ref="M13:U13" si="1">COUNTIF(M14:M897,"&gt;0")</f>
        <v>841</v>
      </c>
      <c r="N13" s="71">
        <f t="shared" si="1"/>
        <v>241</v>
      </c>
      <c r="O13" s="71">
        <f t="shared" si="1"/>
        <v>865</v>
      </c>
      <c r="P13" s="52">
        <f t="shared" si="1"/>
        <v>201</v>
      </c>
      <c r="Q13" s="52">
        <f t="shared" si="1"/>
        <v>868</v>
      </c>
      <c r="R13" s="52">
        <f t="shared" si="1"/>
        <v>796</v>
      </c>
      <c r="S13" s="71">
        <f t="shared" si="1"/>
        <v>223</v>
      </c>
      <c r="T13" s="71">
        <f t="shared" si="1"/>
        <v>744</v>
      </c>
      <c r="U13" s="52">
        <f t="shared" si="1"/>
        <v>173</v>
      </c>
      <c r="V13" s="52">
        <f>COUNT(V14:V897)</f>
        <v>3</v>
      </c>
      <c r="W13" s="52">
        <f>COUNTIF(W14:W897,"&gt;0")</f>
        <v>45</v>
      </c>
      <c r="X13" s="71">
        <f>COUNTIF(X14:X897,"&gt;0")</f>
        <v>19</v>
      </c>
      <c r="Y13" s="71">
        <f>COUNTIF(Y14:Y897,"&gt;0")</f>
        <v>122</v>
      </c>
      <c r="Z13" s="52">
        <f>COUNTIF(Z14:Z897,"&gt;0")</f>
        <v>38</v>
      </c>
      <c r="AA13" s="71">
        <f>COUNT(AA14:AA897)</f>
        <v>43</v>
      </c>
      <c r="AB13" s="71"/>
      <c r="AC13" s="123"/>
      <c r="AD13" s="123"/>
    </row>
    <row r="14" spans="1:30" ht="46.8" x14ac:dyDescent="0.3">
      <c r="A14" s="7" t="s">
        <v>18</v>
      </c>
      <c r="B14" s="6">
        <v>1</v>
      </c>
      <c r="C14" s="7" t="s">
        <v>19</v>
      </c>
      <c r="D14" s="7" t="s">
        <v>19</v>
      </c>
      <c r="E14" s="7" t="s">
        <v>20</v>
      </c>
      <c r="F14" s="4"/>
      <c r="G14" s="7" t="s">
        <v>21</v>
      </c>
      <c r="H14" s="7" t="s">
        <v>22</v>
      </c>
      <c r="I14" s="5"/>
      <c r="J14" s="7" t="s">
        <v>23</v>
      </c>
      <c r="K14" s="7" t="s">
        <v>24</v>
      </c>
      <c r="L14" s="7" t="s">
        <v>25</v>
      </c>
      <c r="M14" s="109">
        <v>4401325040</v>
      </c>
      <c r="N14" s="109">
        <v>997248000</v>
      </c>
      <c r="O14" s="109">
        <v>7500000</v>
      </c>
      <c r="P14" s="110"/>
      <c r="Q14" s="109">
        <f>M14+N14+O14+P14</f>
        <v>5406073040</v>
      </c>
      <c r="R14" s="36">
        <v>4401325040</v>
      </c>
      <c r="S14" s="36">
        <v>997248000</v>
      </c>
      <c r="T14" s="30">
        <v>7500000</v>
      </c>
      <c r="U14" s="5"/>
      <c r="V14" s="5"/>
      <c r="W14" s="28"/>
      <c r="X14" s="28">
        <f>N14-S14</f>
        <v>0</v>
      </c>
      <c r="Y14" s="28">
        <f>O14-T14</f>
        <v>0</v>
      </c>
      <c r="Z14" s="28">
        <f>P14-U14</f>
        <v>0</v>
      </c>
      <c r="AA14" s="4"/>
      <c r="AB14" s="4"/>
      <c r="AC14">
        <f>IF(AB14=G14,1,2)</f>
        <v>2</v>
      </c>
    </row>
    <row r="15" spans="1:30" ht="31.2" x14ac:dyDescent="0.3">
      <c r="A15" s="7" t="s">
        <v>26</v>
      </c>
      <c r="B15" s="6">
        <v>2</v>
      </c>
      <c r="C15" s="7" t="s">
        <v>19</v>
      </c>
      <c r="D15" s="7" t="s">
        <v>19</v>
      </c>
      <c r="E15" s="5"/>
      <c r="F15" s="4"/>
      <c r="G15" s="7" t="s">
        <v>27</v>
      </c>
      <c r="H15" s="5"/>
      <c r="I15" s="7" t="s">
        <v>28</v>
      </c>
      <c r="J15" s="7" t="s">
        <v>29</v>
      </c>
      <c r="K15" s="7" t="s">
        <v>24</v>
      </c>
      <c r="L15" s="7" t="s">
        <v>30</v>
      </c>
      <c r="M15" s="109">
        <v>0</v>
      </c>
      <c r="N15" s="111"/>
      <c r="O15" s="74">
        <v>0</v>
      </c>
      <c r="P15" s="110"/>
      <c r="Q15" s="109">
        <f t="shared" ref="Q15:Q78" si="2">M15+N15+O15+P15</f>
        <v>0</v>
      </c>
      <c r="R15" s="6">
        <v>0</v>
      </c>
      <c r="S15" s="5"/>
      <c r="T15" s="31"/>
      <c r="U15" s="5"/>
      <c r="V15" s="5"/>
      <c r="W15" s="28"/>
      <c r="X15" s="28">
        <f t="shared" ref="X15:X78" si="3">N15-S15</f>
        <v>0</v>
      </c>
      <c r="Y15" s="28">
        <f t="shared" ref="Y15:Y46" si="4">O15-T15</f>
        <v>0</v>
      </c>
      <c r="Z15" s="28">
        <f t="shared" ref="Z15:Z78" si="5">P15-U15</f>
        <v>0</v>
      </c>
      <c r="AA15" s="4"/>
      <c r="AB15" s="4"/>
      <c r="AC15">
        <f t="shared" ref="AC15:AC78" si="6">IF(AB15=G15,1,2)</f>
        <v>2</v>
      </c>
    </row>
    <row r="16" spans="1:30" ht="31.2" x14ac:dyDescent="0.3">
      <c r="A16" s="7" t="s">
        <v>18</v>
      </c>
      <c r="B16" s="6">
        <v>3</v>
      </c>
      <c r="C16" s="7" t="s">
        <v>19</v>
      </c>
      <c r="D16" s="7" t="s">
        <v>19</v>
      </c>
      <c r="E16" s="5"/>
      <c r="F16" s="4"/>
      <c r="G16" s="7" t="s">
        <v>31</v>
      </c>
      <c r="H16" s="5"/>
      <c r="I16" s="5"/>
      <c r="J16" s="7" t="s">
        <v>32</v>
      </c>
      <c r="K16" s="7" t="s">
        <v>24</v>
      </c>
      <c r="L16" s="7" t="s">
        <v>33</v>
      </c>
      <c r="M16" s="109">
        <v>3873005</v>
      </c>
      <c r="N16" s="111"/>
      <c r="O16" s="109">
        <v>7500000</v>
      </c>
      <c r="P16" s="110"/>
      <c r="Q16" s="109">
        <f t="shared" si="2"/>
        <v>11373005</v>
      </c>
      <c r="R16" s="36">
        <v>3873005</v>
      </c>
      <c r="S16" s="5"/>
      <c r="T16" s="30">
        <v>7500000</v>
      </c>
      <c r="U16" s="5"/>
      <c r="V16" s="5"/>
      <c r="W16" s="28"/>
      <c r="X16" s="28">
        <f t="shared" si="3"/>
        <v>0</v>
      </c>
      <c r="Y16" s="28">
        <f t="shared" si="4"/>
        <v>0</v>
      </c>
      <c r="Z16" s="28">
        <f t="shared" si="5"/>
        <v>0</v>
      </c>
      <c r="AA16" s="4"/>
      <c r="AB16" s="4"/>
      <c r="AC16">
        <f t="shared" si="6"/>
        <v>2</v>
      </c>
    </row>
    <row r="17" spans="1:30" ht="31.2" x14ac:dyDescent="0.3">
      <c r="A17" s="7" t="s">
        <v>18</v>
      </c>
      <c r="B17" s="6">
        <v>4</v>
      </c>
      <c r="C17" s="7" t="s">
        <v>19</v>
      </c>
      <c r="D17" s="7" t="s">
        <v>19</v>
      </c>
      <c r="E17" s="7" t="s">
        <v>34</v>
      </c>
      <c r="F17" s="4"/>
      <c r="G17" s="7" t="s">
        <v>35</v>
      </c>
      <c r="H17" s="7" t="s">
        <v>36</v>
      </c>
      <c r="I17" s="5"/>
      <c r="J17" s="7" t="s">
        <v>37</v>
      </c>
      <c r="K17" s="7" t="s">
        <v>24</v>
      </c>
      <c r="L17" s="7" t="s">
        <v>38</v>
      </c>
      <c r="M17" s="109">
        <v>49303660</v>
      </c>
      <c r="N17" s="109">
        <v>14041440</v>
      </c>
      <c r="O17" s="109">
        <v>7500000</v>
      </c>
      <c r="P17" s="110"/>
      <c r="Q17" s="109">
        <f t="shared" si="2"/>
        <v>70845100</v>
      </c>
      <c r="R17" s="36">
        <v>49303660</v>
      </c>
      <c r="S17" s="3">
        <v>14041440</v>
      </c>
      <c r="T17" s="30">
        <v>7500000</v>
      </c>
      <c r="U17" s="5"/>
      <c r="V17" s="5"/>
      <c r="W17" s="28"/>
      <c r="X17" s="28">
        <f t="shared" si="3"/>
        <v>0</v>
      </c>
      <c r="Y17" s="28">
        <f t="shared" si="4"/>
        <v>0</v>
      </c>
      <c r="Z17" s="28">
        <f t="shared" si="5"/>
        <v>0</v>
      </c>
      <c r="AA17" s="4"/>
      <c r="AB17" s="4"/>
      <c r="AC17">
        <f t="shared" si="6"/>
        <v>2</v>
      </c>
    </row>
    <row r="18" spans="1:30" ht="31.2" x14ac:dyDescent="0.3">
      <c r="A18" s="7" t="s">
        <v>26</v>
      </c>
      <c r="B18" s="6">
        <v>5</v>
      </c>
      <c r="C18" s="7" t="s">
        <v>19</v>
      </c>
      <c r="D18" s="7" t="s">
        <v>19</v>
      </c>
      <c r="E18" s="5"/>
      <c r="F18" s="4"/>
      <c r="G18" s="7" t="s">
        <v>39</v>
      </c>
      <c r="H18" s="5"/>
      <c r="I18" s="7" t="s">
        <v>40</v>
      </c>
      <c r="J18" s="7" t="s">
        <v>41</v>
      </c>
      <c r="K18" s="7" t="s">
        <v>24</v>
      </c>
      <c r="L18" s="7" t="s">
        <v>42</v>
      </c>
      <c r="M18" s="109">
        <v>0</v>
      </c>
      <c r="N18" s="111"/>
      <c r="O18" s="74"/>
      <c r="P18" s="110"/>
      <c r="Q18" s="109">
        <f t="shared" si="2"/>
        <v>0</v>
      </c>
      <c r="R18" s="6">
        <v>0</v>
      </c>
      <c r="S18" s="5"/>
      <c r="T18" s="31"/>
      <c r="U18" s="5"/>
      <c r="V18" s="5"/>
      <c r="W18" s="28"/>
      <c r="X18" s="28">
        <f t="shared" si="3"/>
        <v>0</v>
      </c>
      <c r="Y18" s="28">
        <f t="shared" si="4"/>
        <v>0</v>
      </c>
      <c r="Z18" s="28">
        <f t="shared" si="5"/>
        <v>0</v>
      </c>
      <c r="AA18" s="4"/>
      <c r="AB18" s="4"/>
      <c r="AC18">
        <f t="shared" si="6"/>
        <v>2</v>
      </c>
    </row>
    <row r="19" spans="1:30" ht="31.2" x14ac:dyDescent="0.3">
      <c r="A19" s="7" t="s">
        <v>18</v>
      </c>
      <c r="B19" s="6">
        <v>6</v>
      </c>
      <c r="C19" s="7" t="s">
        <v>19</v>
      </c>
      <c r="D19" s="7" t="s">
        <v>19</v>
      </c>
      <c r="E19" s="5"/>
      <c r="F19" s="4"/>
      <c r="G19" s="7" t="s">
        <v>43</v>
      </c>
      <c r="H19" s="5"/>
      <c r="I19" s="5"/>
      <c r="J19" s="7" t="s">
        <v>44</v>
      </c>
      <c r="K19" s="7" t="s">
        <v>24</v>
      </c>
      <c r="L19" s="7" t="s">
        <v>45</v>
      </c>
      <c r="M19" s="109">
        <v>0</v>
      </c>
      <c r="N19" s="111"/>
      <c r="O19" s="109">
        <v>7500000</v>
      </c>
      <c r="P19" s="110"/>
      <c r="Q19" s="109">
        <f t="shared" si="2"/>
        <v>7500000</v>
      </c>
      <c r="R19" s="6">
        <v>0</v>
      </c>
      <c r="S19" s="5"/>
      <c r="T19" s="30">
        <v>7500000</v>
      </c>
      <c r="U19" s="5"/>
      <c r="V19" s="5"/>
      <c r="W19" s="28"/>
      <c r="X19" s="28">
        <f t="shared" si="3"/>
        <v>0</v>
      </c>
      <c r="Y19" s="28">
        <f t="shared" si="4"/>
        <v>0</v>
      </c>
      <c r="Z19" s="28">
        <f t="shared" si="5"/>
        <v>0</v>
      </c>
      <c r="AA19" s="4"/>
      <c r="AB19" s="4"/>
      <c r="AC19">
        <f t="shared" si="6"/>
        <v>2</v>
      </c>
    </row>
    <row r="20" spans="1:30" ht="31.2" x14ac:dyDescent="0.3">
      <c r="A20" s="7" t="s">
        <v>46</v>
      </c>
      <c r="B20" s="6">
        <v>7</v>
      </c>
      <c r="C20" s="7" t="s">
        <v>19</v>
      </c>
      <c r="D20" s="7" t="s">
        <v>19</v>
      </c>
      <c r="E20" s="5"/>
      <c r="F20" s="4"/>
      <c r="G20" s="7" t="s">
        <v>47</v>
      </c>
      <c r="H20" s="5"/>
      <c r="I20" s="5"/>
      <c r="J20" s="7" t="s">
        <v>48</v>
      </c>
      <c r="K20" s="7" t="s">
        <v>24</v>
      </c>
      <c r="L20" s="7" t="s">
        <v>49</v>
      </c>
      <c r="M20" s="109">
        <v>129028662</v>
      </c>
      <c r="N20" s="111"/>
      <c r="O20" s="109">
        <v>7500000</v>
      </c>
      <c r="P20" s="110"/>
      <c r="Q20" s="109">
        <f t="shared" si="2"/>
        <v>136528662</v>
      </c>
      <c r="R20" s="36">
        <v>129028662</v>
      </c>
      <c r="S20" s="5"/>
      <c r="T20" s="30">
        <v>7500000</v>
      </c>
      <c r="U20" s="5"/>
      <c r="V20" s="5"/>
      <c r="W20" s="28"/>
      <c r="X20" s="28">
        <f t="shared" si="3"/>
        <v>0</v>
      </c>
      <c r="Y20" s="28">
        <f t="shared" si="4"/>
        <v>0</v>
      </c>
      <c r="Z20" s="28">
        <f t="shared" si="5"/>
        <v>0</v>
      </c>
      <c r="AA20" s="4"/>
      <c r="AB20" s="4"/>
      <c r="AC20">
        <f t="shared" si="6"/>
        <v>2</v>
      </c>
    </row>
    <row r="21" spans="1:30" ht="31.2" x14ac:dyDescent="0.3">
      <c r="A21" s="7" t="s">
        <v>26</v>
      </c>
      <c r="B21" s="6">
        <v>8</v>
      </c>
      <c r="C21" s="7" t="s">
        <v>19</v>
      </c>
      <c r="D21" s="7" t="s">
        <v>19</v>
      </c>
      <c r="E21" s="5"/>
      <c r="F21" s="4"/>
      <c r="G21" s="7" t="s">
        <v>50</v>
      </c>
      <c r="H21" s="5"/>
      <c r="I21" s="7" t="s">
        <v>40</v>
      </c>
      <c r="J21" s="7" t="s">
        <v>51</v>
      </c>
      <c r="K21" s="7" t="s">
        <v>24</v>
      </c>
      <c r="L21" s="7" t="s">
        <v>52</v>
      </c>
      <c r="M21" s="109">
        <v>0</v>
      </c>
      <c r="N21" s="111"/>
      <c r="O21" s="74"/>
      <c r="P21" s="110"/>
      <c r="Q21" s="109">
        <f t="shared" si="2"/>
        <v>0</v>
      </c>
      <c r="R21" s="6">
        <v>0</v>
      </c>
      <c r="S21" s="5"/>
      <c r="T21" s="31"/>
      <c r="U21" s="5"/>
      <c r="V21" s="5"/>
      <c r="W21" s="28"/>
      <c r="X21" s="28">
        <f t="shared" si="3"/>
        <v>0</v>
      </c>
      <c r="Y21" s="28">
        <f t="shared" si="4"/>
        <v>0</v>
      </c>
      <c r="Z21" s="28">
        <f t="shared" si="5"/>
        <v>0</v>
      </c>
      <c r="AA21" s="4"/>
      <c r="AB21" s="4"/>
      <c r="AC21">
        <f t="shared" si="6"/>
        <v>2</v>
      </c>
    </row>
    <row r="22" spans="1:30" ht="31.2" x14ac:dyDescent="0.3">
      <c r="A22" s="7" t="s">
        <v>53</v>
      </c>
      <c r="B22" s="6">
        <v>9</v>
      </c>
      <c r="C22" s="7" t="s">
        <v>54</v>
      </c>
      <c r="D22" s="7" t="s">
        <v>54</v>
      </c>
      <c r="E22" s="5"/>
      <c r="F22" s="4"/>
      <c r="G22" s="7" t="s">
        <v>55</v>
      </c>
      <c r="H22" s="5"/>
      <c r="I22" s="7" t="s">
        <v>56</v>
      </c>
      <c r="J22" s="7" t="s">
        <v>57</v>
      </c>
      <c r="K22" s="7" t="s">
        <v>24</v>
      </c>
      <c r="L22" s="7" t="s">
        <v>58</v>
      </c>
      <c r="M22" s="109">
        <v>5275298400</v>
      </c>
      <c r="N22" s="111"/>
      <c r="O22" s="109">
        <v>15000000</v>
      </c>
      <c r="P22" s="110"/>
      <c r="Q22" s="109">
        <f t="shared" si="2"/>
        <v>5290298400</v>
      </c>
      <c r="R22" s="36">
        <v>5275298400</v>
      </c>
      <c r="S22" s="5"/>
      <c r="T22" s="30">
        <v>15000000</v>
      </c>
      <c r="U22" s="5"/>
      <c r="V22" s="5"/>
      <c r="W22" s="28"/>
      <c r="X22" s="28">
        <f t="shared" si="3"/>
        <v>0</v>
      </c>
      <c r="Y22" s="28">
        <f t="shared" si="4"/>
        <v>0</v>
      </c>
      <c r="Z22" s="28">
        <f t="shared" si="5"/>
        <v>0</v>
      </c>
      <c r="AA22" s="4"/>
      <c r="AB22" s="4"/>
      <c r="AC22">
        <f t="shared" si="6"/>
        <v>2</v>
      </c>
    </row>
    <row r="23" spans="1:30" ht="31.2" x14ac:dyDescent="0.3">
      <c r="A23" s="7" t="s">
        <v>26</v>
      </c>
      <c r="B23" s="6">
        <v>10</v>
      </c>
      <c r="C23" s="7" t="s">
        <v>54</v>
      </c>
      <c r="D23" s="7" t="s">
        <v>54</v>
      </c>
      <c r="E23" s="5"/>
      <c r="F23" s="4"/>
      <c r="G23" s="7" t="s">
        <v>59</v>
      </c>
      <c r="H23" s="5"/>
      <c r="I23" s="7" t="s">
        <v>40</v>
      </c>
      <c r="J23" s="7" t="s">
        <v>60</v>
      </c>
      <c r="K23" s="7" t="s">
        <v>24</v>
      </c>
      <c r="L23" s="7" t="s">
        <v>61</v>
      </c>
      <c r="M23" s="109">
        <v>0</v>
      </c>
      <c r="N23" s="111"/>
      <c r="O23" s="74"/>
      <c r="P23" s="110"/>
      <c r="Q23" s="109">
        <f t="shared" si="2"/>
        <v>0</v>
      </c>
      <c r="R23" s="6">
        <v>0</v>
      </c>
      <c r="S23" s="5"/>
      <c r="T23" s="31"/>
      <c r="U23" s="5"/>
      <c r="V23" s="5"/>
      <c r="W23" s="28"/>
      <c r="X23" s="28">
        <f t="shared" si="3"/>
        <v>0</v>
      </c>
      <c r="Y23" s="28">
        <f t="shared" si="4"/>
        <v>0</v>
      </c>
      <c r="Z23" s="28">
        <f t="shared" si="5"/>
        <v>0</v>
      </c>
      <c r="AA23" s="4"/>
      <c r="AB23" s="4"/>
      <c r="AC23">
        <f t="shared" si="6"/>
        <v>2</v>
      </c>
    </row>
    <row r="24" spans="1:30" ht="31.2" x14ac:dyDescent="0.3">
      <c r="A24" s="7" t="s">
        <v>62</v>
      </c>
      <c r="B24" s="6">
        <v>11</v>
      </c>
      <c r="C24" s="7" t="s">
        <v>54</v>
      </c>
      <c r="D24" s="7" t="s">
        <v>54</v>
      </c>
      <c r="E24" s="7"/>
      <c r="F24" s="4"/>
      <c r="G24" s="7" t="s">
        <v>63</v>
      </c>
      <c r="H24" s="7"/>
      <c r="I24" s="7"/>
      <c r="J24" s="7" t="s">
        <v>64</v>
      </c>
      <c r="K24" s="7" t="s">
        <v>24</v>
      </c>
      <c r="L24" s="7" t="s">
        <v>65</v>
      </c>
      <c r="M24" s="109">
        <v>2559814110</v>
      </c>
      <c r="N24" s="111"/>
      <c r="O24" s="109">
        <v>7500000</v>
      </c>
      <c r="P24" s="110"/>
      <c r="Q24" s="109">
        <f t="shared" si="2"/>
        <v>2567314110</v>
      </c>
      <c r="R24" s="5"/>
      <c r="S24" s="5"/>
      <c r="T24" s="72"/>
      <c r="U24" s="5"/>
      <c r="V24" s="5"/>
      <c r="W24" s="28">
        <v>2559814110</v>
      </c>
      <c r="X24" s="28">
        <f t="shared" si="3"/>
        <v>0</v>
      </c>
      <c r="Y24" s="36">
        <f t="shared" si="4"/>
        <v>7500000</v>
      </c>
      <c r="Z24" s="28">
        <f t="shared" si="5"/>
        <v>0</v>
      </c>
      <c r="AA24" s="10">
        <v>2559814110</v>
      </c>
      <c r="AB24" s="40"/>
      <c r="AC24" s="121">
        <f t="shared" si="6"/>
        <v>2</v>
      </c>
      <c r="AD24" s="121"/>
    </row>
    <row r="25" spans="1:30" ht="31.2" x14ac:dyDescent="0.3">
      <c r="A25" s="7" t="s">
        <v>62</v>
      </c>
      <c r="B25" s="6">
        <v>12</v>
      </c>
      <c r="C25" s="7" t="s">
        <v>54</v>
      </c>
      <c r="D25" s="7" t="s">
        <v>54</v>
      </c>
      <c r="E25" s="5"/>
      <c r="F25" s="4"/>
      <c r="G25" s="7" t="s">
        <v>66</v>
      </c>
      <c r="H25" s="5"/>
      <c r="I25" s="5"/>
      <c r="J25" s="7" t="s">
        <v>67</v>
      </c>
      <c r="K25" s="7" t="s">
        <v>24</v>
      </c>
      <c r="L25" s="7" t="s">
        <v>68</v>
      </c>
      <c r="M25" s="109">
        <v>60717258</v>
      </c>
      <c r="N25" s="111"/>
      <c r="O25" s="109">
        <v>7500000</v>
      </c>
      <c r="P25" s="110"/>
      <c r="Q25" s="109">
        <f t="shared" si="2"/>
        <v>68217258</v>
      </c>
      <c r="R25" s="3">
        <v>60717258</v>
      </c>
      <c r="S25" s="5"/>
      <c r="T25" s="30">
        <v>7500000</v>
      </c>
      <c r="U25" s="5"/>
      <c r="V25" s="5"/>
      <c r="W25" s="28"/>
      <c r="X25" s="28">
        <f t="shared" si="3"/>
        <v>0</v>
      </c>
      <c r="Y25" s="28">
        <f t="shared" si="4"/>
        <v>0</v>
      </c>
      <c r="Z25" s="28">
        <f t="shared" si="5"/>
        <v>0</v>
      </c>
      <c r="AA25" s="4"/>
      <c r="AB25" s="4"/>
      <c r="AC25">
        <f t="shared" si="6"/>
        <v>2</v>
      </c>
    </row>
    <row r="26" spans="1:30" ht="31.2" x14ac:dyDescent="0.3">
      <c r="A26" s="7" t="s">
        <v>62</v>
      </c>
      <c r="B26" s="6">
        <v>13</v>
      </c>
      <c r="C26" s="7" t="s">
        <v>69</v>
      </c>
      <c r="D26" s="7" t="s">
        <v>69</v>
      </c>
      <c r="E26" s="5"/>
      <c r="F26" s="4"/>
      <c r="G26" s="7" t="s">
        <v>70</v>
      </c>
      <c r="H26" s="5"/>
      <c r="I26" s="5"/>
      <c r="J26" s="7" t="s">
        <v>71</v>
      </c>
      <c r="K26" s="7" t="s">
        <v>24</v>
      </c>
      <c r="L26" s="7" t="s">
        <v>72</v>
      </c>
      <c r="M26" s="109">
        <v>1532066300</v>
      </c>
      <c r="N26" s="111"/>
      <c r="O26" s="109">
        <v>7500000</v>
      </c>
      <c r="P26" s="110"/>
      <c r="Q26" s="109">
        <f t="shared" si="2"/>
        <v>1539566300</v>
      </c>
      <c r="R26" s="36">
        <v>1532066300</v>
      </c>
      <c r="S26" s="5"/>
      <c r="T26" s="30">
        <v>7500000</v>
      </c>
      <c r="U26" s="5"/>
      <c r="V26" s="5"/>
      <c r="W26" s="28"/>
      <c r="X26" s="28">
        <f t="shared" si="3"/>
        <v>0</v>
      </c>
      <c r="Y26" s="28">
        <f t="shared" si="4"/>
        <v>0</v>
      </c>
      <c r="Z26" s="28">
        <f t="shared" si="5"/>
        <v>0</v>
      </c>
      <c r="AA26" s="4"/>
      <c r="AB26" s="4"/>
      <c r="AC26">
        <f t="shared" si="6"/>
        <v>2</v>
      </c>
    </row>
    <row r="27" spans="1:30" ht="31.2" x14ac:dyDescent="0.3">
      <c r="A27" s="7" t="s">
        <v>62</v>
      </c>
      <c r="B27" s="6">
        <v>14</v>
      </c>
      <c r="C27" s="7" t="s">
        <v>69</v>
      </c>
      <c r="D27" s="7" t="s">
        <v>69</v>
      </c>
      <c r="E27" s="7"/>
      <c r="F27" s="4"/>
      <c r="G27" s="7" t="s">
        <v>73</v>
      </c>
      <c r="H27" s="7"/>
      <c r="I27" s="7"/>
      <c r="J27" s="7" t="s">
        <v>74</v>
      </c>
      <c r="K27" s="7" t="s">
        <v>24</v>
      </c>
      <c r="L27" s="7" t="s">
        <v>75</v>
      </c>
      <c r="M27" s="109">
        <v>1836348912</v>
      </c>
      <c r="N27" s="111"/>
      <c r="O27" s="109">
        <v>7500000</v>
      </c>
      <c r="P27" s="110"/>
      <c r="Q27" s="109">
        <f t="shared" si="2"/>
        <v>1843848912</v>
      </c>
      <c r="R27" s="36">
        <v>1836348912</v>
      </c>
      <c r="S27" s="5"/>
      <c r="T27" s="72"/>
      <c r="U27" s="5"/>
      <c r="V27" s="5"/>
      <c r="W27" s="28"/>
      <c r="X27" s="28">
        <f t="shared" si="3"/>
        <v>0</v>
      </c>
      <c r="Y27" s="36">
        <f t="shared" si="4"/>
        <v>7500000</v>
      </c>
      <c r="Z27" s="28">
        <f t="shared" si="5"/>
        <v>0</v>
      </c>
      <c r="AA27" s="4"/>
      <c r="AB27" s="40"/>
      <c r="AC27" s="121">
        <f t="shared" si="6"/>
        <v>2</v>
      </c>
      <c r="AD27" s="121"/>
    </row>
    <row r="28" spans="1:30" ht="31.2" x14ac:dyDescent="0.3">
      <c r="A28" s="7" t="s">
        <v>62</v>
      </c>
      <c r="B28" s="6">
        <v>15</v>
      </c>
      <c r="C28" s="7" t="s">
        <v>69</v>
      </c>
      <c r="D28" s="7" t="s">
        <v>69</v>
      </c>
      <c r="E28" s="5"/>
      <c r="F28" s="4"/>
      <c r="G28" s="7" t="s">
        <v>76</v>
      </c>
      <c r="H28" s="5"/>
      <c r="I28" s="5"/>
      <c r="J28" s="7" t="s">
        <v>77</v>
      </c>
      <c r="K28" s="7" t="s">
        <v>24</v>
      </c>
      <c r="L28" s="7" t="s">
        <v>78</v>
      </c>
      <c r="M28" s="109">
        <v>662595692</v>
      </c>
      <c r="N28" s="111"/>
      <c r="O28" s="109">
        <v>7500000</v>
      </c>
      <c r="P28" s="110"/>
      <c r="Q28" s="109">
        <f t="shared" si="2"/>
        <v>670095692</v>
      </c>
      <c r="R28" s="36">
        <v>662595692</v>
      </c>
      <c r="S28" s="5"/>
      <c r="T28" s="30">
        <v>7500000</v>
      </c>
      <c r="U28" s="5"/>
      <c r="V28" s="3">
        <v>-195505082</v>
      </c>
      <c r="W28" s="28"/>
      <c r="X28" s="28">
        <f t="shared" si="3"/>
        <v>0</v>
      </c>
      <c r="Y28" s="28">
        <f t="shared" si="4"/>
        <v>0</v>
      </c>
      <c r="Z28" s="28">
        <f t="shared" si="5"/>
        <v>0</v>
      </c>
      <c r="AA28" s="4"/>
      <c r="AB28" s="4"/>
      <c r="AC28">
        <f t="shared" si="6"/>
        <v>2</v>
      </c>
    </row>
    <row r="29" spans="1:30" ht="31.2" x14ac:dyDescent="0.3">
      <c r="A29" s="7" t="s">
        <v>46</v>
      </c>
      <c r="B29" s="6">
        <v>16</v>
      </c>
      <c r="C29" s="7" t="s">
        <v>79</v>
      </c>
      <c r="D29" s="7" t="s">
        <v>79</v>
      </c>
      <c r="E29" s="5"/>
      <c r="F29" s="4"/>
      <c r="G29" s="7" t="s">
        <v>80</v>
      </c>
      <c r="H29" s="5"/>
      <c r="I29" s="5"/>
      <c r="J29" s="7" t="s">
        <v>81</v>
      </c>
      <c r="K29" s="7" t="s">
        <v>24</v>
      </c>
      <c r="L29" s="7" t="s">
        <v>82</v>
      </c>
      <c r="M29" s="109">
        <v>13658317884</v>
      </c>
      <c r="N29" s="111"/>
      <c r="O29" s="109">
        <v>7500000</v>
      </c>
      <c r="P29" s="110"/>
      <c r="Q29" s="109">
        <f t="shared" si="2"/>
        <v>13665817884</v>
      </c>
      <c r="R29" s="36">
        <v>13658317884</v>
      </c>
      <c r="S29" s="5"/>
      <c r="T29" s="30">
        <v>7500000</v>
      </c>
      <c r="U29" s="5"/>
      <c r="V29" s="5"/>
      <c r="W29" s="28"/>
      <c r="X29" s="28">
        <f t="shared" si="3"/>
        <v>0</v>
      </c>
      <c r="Y29" s="28">
        <f t="shared" si="4"/>
        <v>0</v>
      </c>
      <c r="Z29" s="28">
        <f t="shared" si="5"/>
        <v>0</v>
      </c>
      <c r="AA29" s="4"/>
      <c r="AB29" s="4"/>
      <c r="AC29">
        <f t="shared" si="6"/>
        <v>2</v>
      </c>
    </row>
    <row r="30" spans="1:30" ht="31.2" x14ac:dyDescent="0.3">
      <c r="A30" s="7" t="s">
        <v>18</v>
      </c>
      <c r="B30" s="6">
        <v>17</v>
      </c>
      <c r="C30" s="7" t="s">
        <v>79</v>
      </c>
      <c r="D30" s="7" t="s">
        <v>79</v>
      </c>
      <c r="E30" s="7"/>
      <c r="F30" s="4"/>
      <c r="G30" s="7" t="s">
        <v>83</v>
      </c>
      <c r="H30" s="7"/>
      <c r="I30" s="7"/>
      <c r="J30" s="7" t="s">
        <v>84</v>
      </c>
      <c r="K30" s="7" t="s">
        <v>24</v>
      </c>
      <c r="L30" s="7" t="s">
        <v>85</v>
      </c>
      <c r="M30" s="109">
        <v>1592587200</v>
      </c>
      <c r="N30" s="111"/>
      <c r="O30" s="109">
        <v>7500000</v>
      </c>
      <c r="P30" s="110"/>
      <c r="Q30" s="109">
        <f t="shared" si="2"/>
        <v>1600087200</v>
      </c>
      <c r="R30" s="36">
        <v>1592587200</v>
      </c>
      <c r="S30" s="5"/>
      <c r="T30" s="72"/>
      <c r="U30" s="5"/>
      <c r="V30" s="5"/>
      <c r="W30" s="28"/>
      <c r="X30" s="28">
        <f t="shared" si="3"/>
        <v>0</v>
      </c>
      <c r="Y30" s="36">
        <f t="shared" si="4"/>
        <v>7500000</v>
      </c>
      <c r="Z30" s="28">
        <f t="shared" si="5"/>
        <v>0</v>
      </c>
      <c r="AA30" s="4"/>
      <c r="AB30" s="40"/>
      <c r="AC30" s="121">
        <f t="shared" si="6"/>
        <v>2</v>
      </c>
      <c r="AD30" s="121"/>
    </row>
    <row r="31" spans="1:30" ht="31.2" x14ac:dyDescent="0.3">
      <c r="A31" s="7" t="s">
        <v>26</v>
      </c>
      <c r="B31" s="6">
        <v>18</v>
      </c>
      <c r="C31" s="7" t="s">
        <v>79</v>
      </c>
      <c r="D31" s="7" t="s">
        <v>79</v>
      </c>
      <c r="E31" s="5"/>
      <c r="F31" s="4"/>
      <c r="G31" s="7" t="s">
        <v>86</v>
      </c>
      <c r="H31" s="5"/>
      <c r="I31" s="7" t="s">
        <v>28</v>
      </c>
      <c r="J31" s="7" t="s">
        <v>87</v>
      </c>
      <c r="K31" s="7" t="s">
        <v>24</v>
      </c>
      <c r="L31" s="7" t="s">
        <v>88</v>
      </c>
      <c r="M31" s="109">
        <v>0</v>
      </c>
      <c r="N31" s="111"/>
      <c r="O31" s="74"/>
      <c r="P31" s="110"/>
      <c r="Q31" s="109">
        <f t="shared" si="2"/>
        <v>0</v>
      </c>
      <c r="R31" s="6">
        <v>0</v>
      </c>
      <c r="S31" s="5"/>
      <c r="T31" s="31"/>
      <c r="U31" s="5"/>
      <c r="V31" s="5"/>
      <c r="W31" s="28"/>
      <c r="X31" s="28">
        <f t="shared" si="3"/>
        <v>0</v>
      </c>
      <c r="Y31" s="28">
        <f t="shared" si="4"/>
        <v>0</v>
      </c>
      <c r="Z31" s="28">
        <f t="shared" si="5"/>
        <v>0</v>
      </c>
      <c r="AA31" s="4"/>
      <c r="AB31" s="4"/>
      <c r="AC31">
        <f t="shared" si="6"/>
        <v>2</v>
      </c>
    </row>
    <row r="32" spans="1:30" ht="31.2" x14ac:dyDescent="0.3">
      <c r="A32" s="7" t="s">
        <v>46</v>
      </c>
      <c r="B32" s="6">
        <v>19</v>
      </c>
      <c r="C32" s="7" t="s">
        <v>79</v>
      </c>
      <c r="D32" s="7" t="s">
        <v>79</v>
      </c>
      <c r="E32" s="5"/>
      <c r="F32" s="4"/>
      <c r="G32" s="7" t="s">
        <v>89</v>
      </c>
      <c r="H32" s="5"/>
      <c r="I32" s="5"/>
      <c r="J32" s="7" t="s">
        <v>90</v>
      </c>
      <c r="K32" s="7" t="s">
        <v>24</v>
      </c>
      <c r="L32" s="7" t="s">
        <v>91</v>
      </c>
      <c r="M32" s="109">
        <v>4546438698</v>
      </c>
      <c r="N32" s="111"/>
      <c r="O32" s="109">
        <v>15000000</v>
      </c>
      <c r="P32" s="110"/>
      <c r="Q32" s="109">
        <f t="shared" si="2"/>
        <v>4561438698</v>
      </c>
      <c r="R32" s="36">
        <v>4546438698</v>
      </c>
      <c r="S32" s="5"/>
      <c r="T32" s="30">
        <v>15000000</v>
      </c>
      <c r="U32" s="5"/>
      <c r="V32" s="5"/>
      <c r="W32" s="28"/>
      <c r="X32" s="28">
        <f t="shared" si="3"/>
        <v>0</v>
      </c>
      <c r="Y32" s="28">
        <f t="shared" si="4"/>
        <v>0</v>
      </c>
      <c r="Z32" s="28">
        <f t="shared" si="5"/>
        <v>0</v>
      </c>
      <c r="AA32" s="4"/>
      <c r="AB32" s="4"/>
      <c r="AC32">
        <f t="shared" si="6"/>
        <v>2</v>
      </c>
    </row>
    <row r="33" spans="1:30" ht="46.8" x14ac:dyDescent="0.3">
      <c r="A33" s="7" t="s">
        <v>26</v>
      </c>
      <c r="B33" s="6">
        <v>20</v>
      </c>
      <c r="C33" s="7" t="s">
        <v>79</v>
      </c>
      <c r="D33" s="7" t="s">
        <v>79</v>
      </c>
      <c r="E33" s="5"/>
      <c r="F33" s="4"/>
      <c r="G33" s="7" t="s">
        <v>92</v>
      </c>
      <c r="H33" s="5"/>
      <c r="I33" s="7" t="s">
        <v>40</v>
      </c>
      <c r="J33" s="7" t="s">
        <v>93</v>
      </c>
      <c r="K33" s="7" t="s">
        <v>24</v>
      </c>
      <c r="L33" s="7" t="s">
        <v>94</v>
      </c>
      <c r="M33" s="109">
        <v>0</v>
      </c>
      <c r="N33" s="111"/>
      <c r="O33" s="74"/>
      <c r="P33" s="110"/>
      <c r="Q33" s="109">
        <f t="shared" si="2"/>
        <v>0</v>
      </c>
      <c r="R33" s="6">
        <v>0</v>
      </c>
      <c r="S33" s="5"/>
      <c r="T33" s="31"/>
      <c r="U33" s="5"/>
      <c r="V33" s="5"/>
      <c r="W33" s="28"/>
      <c r="X33" s="28">
        <f t="shared" si="3"/>
        <v>0</v>
      </c>
      <c r="Y33" s="28">
        <f t="shared" si="4"/>
        <v>0</v>
      </c>
      <c r="Z33" s="28">
        <f t="shared" si="5"/>
        <v>0</v>
      </c>
      <c r="AA33" s="4"/>
      <c r="AB33" s="4"/>
      <c r="AC33">
        <f t="shared" si="6"/>
        <v>2</v>
      </c>
    </row>
    <row r="34" spans="1:30" ht="31.2" x14ac:dyDescent="0.3">
      <c r="A34" s="7" t="s">
        <v>18</v>
      </c>
      <c r="B34" s="6">
        <v>21</v>
      </c>
      <c r="C34" s="7" t="s">
        <v>79</v>
      </c>
      <c r="D34" s="7" t="s">
        <v>79</v>
      </c>
      <c r="E34" s="5"/>
      <c r="F34" s="4"/>
      <c r="G34" s="7" t="s">
        <v>95</v>
      </c>
      <c r="H34" s="5"/>
      <c r="I34" s="5"/>
      <c r="J34" s="7" t="s">
        <v>96</v>
      </c>
      <c r="K34" s="7" t="s">
        <v>24</v>
      </c>
      <c r="L34" s="7" t="s">
        <v>97</v>
      </c>
      <c r="M34" s="109">
        <v>402447024</v>
      </c>
      <c r="N34" s="111"/>
      <c r="O34" s="109">
        <v>7500000</v>
      </c>
      <c r="P34" s="110"/>
      <c r="Q34" s="109">
        <f t="shared" si="2"/>
        <v>409947024</v>
      </c>
      <c r="R34" s="36">
        <v>402447024</v>
      </c>
      <c r="S34" s="5"/>
      <c r="T34" s="30">
        <v>7500000</v>
      </c>
      <c r="U34" s="5"/>
      <c r="V34" s="5"/>
      <c r="W34" s="28"/>
      <c r="X34" s="28">
        <f t="shared" si="3"/>
        <v>0</v>
      </c>
      <c r="Y34" s="28">
        <f t="shared" si="4"/>
        <v>0</v>
      </c>
      <c r="Z34" s="28">
        <f t="shared" si="5"/>
        <v>0</v>
      </c>
      <c r="AA34" s="4"/>
      <c r="AB34" s="4"/>
      <c r="AC34">
        <f t="shared" si="6"/>
        <v>2</v>
      </c>
    </row>
    <row r="35" spans="1:30" ht="31.2" x14ac:dyDescent="0.3">
      <c r="A35" s="7" t="s">
        <v>26</v>
      </c>
      <c r="B35" s="6">
        <v>22</v>
      </c>
      <c r="C35" s="7" t="s">
        <v>79</v>
      </c>
      <c r="D35" s="7" t="s">
        <v>79</v>
      </c>
      <c r="E35" s="5"/>
      <c r="F35" s="4"/>
      <c r="G35" s="7" t="s">
        <v>98</v>
      </c>
      <c r="H35" s="5"/>
      <c r="I35" s="7" t="s">
        <v>28</v>
      </c>
      <c r="J35" s="7" t="s">
        <v>99</v>
      </c>
      <c r="K35" s="7" t="s">
        <v>24</v>
      </c>
      <c r="L35" s="7" t="s">
        <v>100</v>
      </c>
      <c r="M35" s="109">
        <v>0</v>
      </c>
      <c r="N35" s="111"/>
      <c r="O35" s="74"/>
      <c r="P35" s="110"/>
      <c r="Q35" s="109">
        <f t="shared" si="2"/>
        <v>0</v>
      </c>
      <c r="R35" s="6">
        <v>0</v>
      </c>
      <c r="S35" s="5"/>
      <c r="T35" s="31"/>
      <c r="U35" s="5"/>
      <c r="V35" s="5"/>
      <c r="W35" s="28"/>
      <c r="X35" s="28">
        <f t="shared" si="3"/>
        <v>0</v>
      </c>
      <c r="Y35" s="28">
        <f t="shared" si="4"/>
        <v>0</v>
      </c>
      <c r="Z35" s="28">
        <f t="shared" si="5"/>
        <v>0</v>
      </c>
      <c r="AA35" s="4"/>
      <c r="AB35" s="4"/>
      <c r="AC35">
        <f t="shared" si="6"/>
        <v>2</v>
      </c>
    </row>
    <row r="36" spans="1:30" ht="31.2" x14ac:dyDescent="0.3">
      <c r="A36" s="7" t="s">
        <v>62</v>
      </c>
      <c r="B36" s="6">
        <v>23</v>
      </c>
      <c r="C36" s="7" t="s">
        <v>79</v>
      </c>
      <c r="D36" s="7" t="s">
        <v>79</v>
      </c>
      <c r="E36" s="5"/>
      <c r="F36" s="4"/>
      <c r="G36" s="7" t="s">
        <v>101</v>
      </c>
      <c r="H36" s="5"/>
      <c r="I36" s="5"/>
      <c r="J36" s="7" t="s">
        <v>102</v>
      </c>
      <c r="K36" s="7" t="s">
        <v>24</v>
      </c>
      <c r="L36" s="7" t="s">
        <v>103</v>
      </c>
      <c r="M36" s="109">
        <v>655613400</v>
      </c>
      <c r="N36" s="111"/>
      <c r="O36" s="109">
        <v>7500000</v>
      </c>
      <c r="P36" s="110"/>
      <c r="Q36" s="109">
        <f t="shared" si="2"/>
        <v>663113400</v>
      </c>
      <c r="R36" s="36">
        <v>655613400</v>
      </c>
      <c r="S36" s="5"/>
      <c r="T36" s="30">
        <v>7500000</v>
      </c>
      <c r="U36" s="5"/>
      <c r="V36" s="5"/>
      <c r="W36" s="28"/>
      <c r="X36" s="28">
        <f t="shared" si="3"/>
        <v>0</v>
      </c>
      <c r="Y36" s="28">
        <f t="shared" si="4"/>
        <v>0</v>
      </c>
      <c r="Z36" s="28">
        <f t="shared" si="5"/>
        <v>0</v>
      </c>
      <c r="AA36" s="4"/>
      <c r="AB36" s="4"/>
      <c r="AC36">
        <f t="shared" si="6"/>
        <v>2</v>
      </c>
    </row>
    <row r="37" spans="1:30" ht="46.8" x14ac:dyDescent="0.3">
      <c r="A37" s="7" t="s">
        <v>26</v>
      </c>
      <c r="B37" s="6">
        <v>24</v>
      </c>
      <c r="C37" s="7" t="s">
        <v>79</v>
      </c>
      <c r="D37" s="7" t="s">
        <v>79</v>
      </c>
      <c r="E37" s="5"/>
      <c r="F37" s="4"/>
      <c r="G37" s="7" t="s">
        <v>104</v>
      </c>
      <c r="H37" s="5"/>
      <c r="I37" s="7" t="s">
        <v>40</v>
      </c>
      <c r="J37" s="7" t="s">
        <v>105</v>
      </c>
      <c r="K37" s="7" t="s">
        <v>24</v>
      </c>
      <c r="L37" s="7" t="s">
        <v>106</v>
      </c>
      <c r="M37" s="109">
        <v>0</v>
      </c>
      <c r="N37" s="111"/>
      <c r="O37" s="74"/>
      <c r="P37" s="110"/>
      <c r="Q37" s="109">
        <f t="shared" si="2"/>
        <v>0</v>
      </c>
      <c r="R37" s="6">
        <v>0</v>
      </c>
      <c r="S37" s="5"/>
      <c r="T37" s="31"/>
      <c r="U37" s="5"/>
      <c r="V37" s="5"/>
      <c r="W37" s="28"/>
      <c r="X37" s="28">
        <f t="shared" si="3"/>
        <v>0</v>
      </c>
      <c r="Y37" s="28">
        <f t="shared" si="4"/>
        <v>0</v>
      </c>
      <c r="Z37" s="28">
        <f t="shared" si="5"/>
        <v>0</v>
      </c>
      <c r="AA37" s="4"/>
      <c r="AB37" s="4"/>
      <c r="AC37">
        <f t="shared" si="6"/>
        <v>2</v>
      </c>
    </row>
    <row r="38" spans="1:30" ht="31.2" x14ac:dyDescent="0.3">
      <c r="A38" s="7" t="s">
        <v>18</v>
      </c>
      <c r="B38" s="6">
        <v>25</v>
      </c>
      <c r="C38" s="7" t="s">
        <v>79</v>
      </c>
      <c r="D38" s="7" t="s">
        <v>79</v>
      </c>
      <c r="E38" s="5"/>
      <c r="F38" s="4"/>
      <c r="G38" s="7" t="s">
        <v>107</v>
      </c>
      <c r="H38" s="5"/>
      <c r="I38" s="5"/>
      <c r="J38" s="7" t="s">
        <v>108</v>
      </c>
      <c r="K38" s="7" t="s">
        <v>24</v>
      </c>
      <c r="L38" s="7" t="s">
        <v>109</v>
      </c>
      <c r="M38" s="109">
        <v>1685363872</v>
      </c>
      <c r="N38" s="111"/>
      <c r="O38" s="109">
        <v>15000000</v>
      </c>
      <c r="P38" s="110"/>
      <c r="Q38" s="109">
        <f t="shared" si="2"/>
        <v>1700363872</v>
      </c>
      <c r="R38" s="36">
        <v>1685363872</v>
      </c>
      <c r="S38" s="5"/>
      <c r="T38" s="30">
        <v>15000000</v>
      </c>
      <c r="U38" s="5"/>
      <c r="V38" s="5"/>
      <c r="W38" s="28"/>
      <c r="X38" s="28">
        <f t="shared" si="3"/>
        <v>0</v>
      </c>
      <c r="Y38" s="28">
        <f t="shared" si="4"/>
        <v>0</v>
      </c>
      <c r="Z38" s="28">
        <f t="shared" si="5"/>
        <v>0</v>
      </c>
      <c r="AA38" s="4"/>
      <c r="AB38" s="4"/>
      <c r="AC38">
        <f t="shared" si="6"/>
        <v>2</v>
      </c>
    </row>
    <row r="39" spans="1:30" ht="31.2" x14ac:dyDescent="0.3">
      <c r="A39" s="7" t="s">
        <v>26</v>
      </c>
      <c r="B39" s="6">
        <v>26</v>
      </c>
      <c r="C39" s="7" t="s">
        <v>79</v>
      </c>
      <c r="D39" s="7" t="s">
        <v>79</v>
      </c>
      <c r="E39" s="5"/>
      <c r="F39" s="4"/>
      <c r="G39" s="7" t="s">
        <v>110</v>
      </c>
      <c r="H39" s="5"/>
      <c r="I39" s="7" t="s">
        <v>28</v>
      </c>
      <c r="J39" s="7" t="s">
        <v>111</v>
      </c>
      <c r="K39" s="7" t="s">
        <v>24</v>
      </c>
      <c r="L39" s="7" t="s">
        <v>112</v>
      </c>
      <c r="M39" s="109">
        <v>0</v>
      </c>
      <c r="N39" s="111"/>
      <c r="O39" s="74"/>
      <c r="P39" s="110"/>
      <c r="Q39" s="109">
        <f t="shared" si="2"/>
        <v>0</v>
      </c>
      <c r="R39" s="6">
        <v>0</v>
      </c>
      <c r="S39" s="5"/>
      <c r="T39" s="31"/>
      <c r="U39" s="5"/>
      <c r="V39" s="5"/>
      <c r="W39" s="28"/>
      <c r="X39" s="28">
        <f t="shared" si="3"/>
        <v>0</v>
      </c>
      <c r="Y39" s="28">
        <f t="shared" si="4"/>
        <v>0</v>
      </c>
      <c r="Z39" s="28">
        <f t="shared" si="5"/>
        <v>0</v>
      </c>
      <c r="AA39" s="4"/>
      <c r="AB39" s="4"/>
      <c r="AC39">
        <f t="shared" si="6"/>
        <v>2</v>
      </c>
    </row>
    <row r="40" spans="1:30" ht="31.2" x14ac:dyDescent="0.3">
      <c r="A40" s="7" t="s">
        <v>26</v>
      </c>
      <c r="B40" s="6">
        <v>27</v>
      </c>
      <c r="C40" s="7" t="s">
        <v>113</v>
      </c>
      <c r="D40" s="7" t="s">
        <v>113</v>
      </c>
      <c r="E40" s="5"/>
      <c r="F40" s="4"/>
      <c r="G40" s="7" t="s">
        <v>114</v>
      </c>
      <c r="H40" s="5"/>
      <c r="I40" s="7" t="s">
        <v>40</v>
      </c>
      <c r="J40" s="7" t="s">
        <v>111</v>
      </c>
      <c r="K40" s="7" t="s">
        <v>24</v>
      </c>
      <c r="L40" s="7" t="s">
        <v>115</v>
      </c>
      <c r="M40" s="109">
        <v>0</v>
      </c>
      <c r="N40" s="111"/>
      <c r="O40" s="74"/>
      <c r="P40" s="110"/>
      <c r="Q40" s="109">
        <f t="shared" si="2"/>
        <v>0</v>
      </c>
      <c r="R40" s="6">
        <v>0</v>
      </c>
      <c r="S40" s="5"/>
      <c r="T40" s="31"/>
      <c r="U40" s="5"/>
      <c r="V40" s="5"/>
      <c r="W40" s="28"/>
      <c r="X40" s="28">
        <f t="shared" si="3"/>
        <v>0</v>
      </c>
      <c r="Y40" s="28">
        <f t="shared" si="4"/>
        <v>0</v>
      </c>
      <c r="Z40" s="28">
        <f t="shared" si="5"/>
        <v>0</v>
      </c>
      <c r="AA40" s="4"/>
      <c r="AB40" s="4"/>
      <c r="AC40">
        <f t="shared" si="6"/>
        <v>2</v>
      </c>
    </row>
    <row r="41" spans="1:30" ht="31.2" x14ac:dyDescent="0.3">
      <c r="A41" s="7" t="s">
        <v>46</v>
      </c>
      <c r="B41" s="6">
        <v>28</v>
      </c>
      <c r="C41" s="7" t="s">
        <v>113</v>
      </c>
      <c r="D41" s="7" t="s">
        <v>113</v>
      </c>
      <c r="E41" s="5"/>
      <c r="F41" s="4"/>
      <c r="G41" s="7" t="s">
        <v>116</v>
      </c>
      <c r="H41" s="5"/>
      <c r="I41" s="5"/>
      <c r="J41" s="7" t="s">
        <v>117</v>
      </c>
      <c r="K41" s="7" t="s">
        <v>24</v>
      </c>
      <c r="L41" s="7" t="s">
        <v>118</v>
      </c>
      <c r="M41" s="109">
        <v>5297512200</v>
      </c>
      <c r="N41" s="111"/>
      <c r="O41" s="109">
        <v>7500000</v>
      </c>
      <c r="P41" s="110"/>
      <c r="Q41" s="109">
        <f t="shared" si="2"/>
        <v>5305012200</v>
      </c>
      <c r="R41" s="3">
        <v>5297512200</v>
      </c>
      <c r="S41" s="5"/>
      <c r="T41" s="30">
        <v>7500000</v>
      </c>
      <c r="U41" s="5"/>
      <c r="V41" s="5"/>
      <c r="W41" s="28"/>
      <c r="X41" s="28">
        <f t="shared" si="3"/>
        <v>0</v>
      </c>
      <c r="Y41" s="28">
        <f t="shared" si="4"/>
        <v>0</v>
      </c>
      <c r="Z41" s="28">
        <f t="shared" si="5"/>
        <v>0</v>
      </c>
      <c r="AA41" s="4"/>
      <c r="AB41" s="4"/>
      <c r="AC41">
        <f t="shared" si="6"/>
        <v>2</v>
      </c>
    </row>
    <row r="42" spans="1:30" ht="31.2" x14ac:dyDescent="0.3">
      <c r="A42" s="7" t="s">
        <v>53</v>
      </c>
      <c r="B42" s="6">
        <v>29</v>
      </c>
      <c r="C42" s="7" t="s">
        <v>113</v>
      </c>
      <c r="D42" s="7" t="s">
        <v>113</v>
      </c>
      <c r="E42" s="5"/>
      <c r="F42" s="4"/>
      <c r="G42" s="7" t="s">
        <v>119</v>
      </c>
      <c r="H42" s="5"/>
      <c r="I42" s="5"/>
      <c r="J42" s="7" t="s">
        <v>120</v>
      </c>
      <c r="K42" s="7" t="s">
        <v>24</v>
      </c>
      <c r="L42" s="7" t="s">
        <v>121</v>
      </c>
      <c r="M42" s="109">
        <v>3215919560</v>
      </c>
      <c r="N42" s="111"/>
      <c r="O42" s="109">
        <v>7500000</v>
      </c>
      <c r="P42" s="110"/>
      <c r="Q42" s="109">
        <f t="shared" si="2"/>
        <v>3223419560</v>
      </c>
      <c r="R42" s="36">
        <v>3215919560</v>
      </c>
      <c r="S42" s="5"/>
      <c r="T42" s="30">
        <v>7500000</v>
      </c>
      <c r="U42" s="5"/>
      <c r="V42" s="5"/>
      <c r="W42" s="28"/>
      <c r="X42" s="28">
        <f t="shared" si="3"/>
        <v>0</v>
      </c>
      <c r="Y42" s="28">
        <f t="shared" si="4"/>
        <v>0</v>
      </c>
      <c r="Z42" s="28">
        <f t="shared" si="5"/>
        <v>0</v>
      </c>
      <c r="AA42" s="4"/>
      <c r="AB42" s="4"/>
      <c r="AC42">
        <f t="shared" si="6"/>
        <v>2</v>
      </c>
    </row>
    <row r="43" spans="1:30" ht="31.2" x14ac:dyDescent="0.3">
      <c r="A43" s="7" t="s">
        <v>46</v>
      </c>
      <c r="B43" s="6">
        <v>30</v>
      </c>
      <c r="C43" s="7" t="s">
        <v>113</v>
      </c>
      <c r="D43" s="7" t="s">
        <v>113</v>
      </c>
      <c r="E43" s="5"/>
      <c r="F43" s="4"/>
      <c r="G43" s="7" t="s">
        <v>122</v>
      </c>
      <c r="H43" s="5"/>
      <c r="I43" s="5"/>
      <c r="J43" s="7" t="s">
        <v>123</v>
      </c>
      <c r="K43" s="7" t="s">
        <v>24</v>
      </c>
      <c r="L43" s="7" t="s">
        <v>124</v>
      </c>
      <c r="M43" s="109">
        <v>4662504</v>
      </c>
      <c r="N43" s="111"/>
      <c r="O43" s="109">
        <v>7500000</v>
      </c>
      <c r="P43" s="110"/>
      <c r="Q43" s="109">
        <f t="shared" si="2"/>
        <v>12162504</v>
      </c>
      <c r="R43" s="3">
        <v>4662504</v>
      </c>
      <c r="S43" s="5"/>
      <c r="T43" s="30">
        <v>7500000</v>
      </c>
      <c r="U43" s="5"/>
      <c r="V43" s="5"/>
      <c r="W43" s="28"/>
      <c r="X43" s="28">
        <f t="shared" si="3"/>
        <v>0</v>
      </c>
      <c r="Y43" s="28">
        <f t="shared" si="4"/>
        <v>0</v>
      </c>
      <c r="Z43" s="28">
        <f t="shared" si="5"/>
        <v>0</v>
      </c>
      <c r="AA43" s="4"/>
      <c r="AB43" s="4"/>
      <c r="AC43">
        <f t="shared" si="6"/>
        <v>2</v>
      </c>
    </row>
    <row r="44" spans="1:30" ht="31.2" x14ac:dyDescent="0.3">
      <c r="A44" s="7" t="s">
        <v>53</v>
      </c>
      <c r="B44" s="6">
        <v>31</v>
      </c>
      <c r="C44" s="7" t="s">
        <v>113</v>
      </c>
      <c r="D44" s="7" t="s">
        <v>113</v>
      </c>
      <c r="E44" s="5"/>
      <c r="F44" s="4"/>
      <c r="G44" s="7" t="s">
        <v>125</v>
      </c>
      <c r="H44" s="5"/>
      <c r="I44" s="5"/>
      <c r="J44" s="7" t="s">
        <v>126</v>
      </c>
      <c r="K44" s="7" t="s">
        <v>24</v>
      </c>
      <c r="L44" s="7" t="s">
        <v>127</v>
      </c>
      <c r="M44" s="109">
        <v>1731644540</v>
      </c>
      <c r="N44" s="111"/>
      <c r="O44" s="109">
        <v>15000000</v>
      </c>
      <c r="P44" s="110"/>
      <c r="Q44" s="109">
        <f t="shared" si="2"/>
        <v>1746644540</v>
      </c>
      <c r="R44" s="3">
        <v>1731644540</v>
      </c>
      <c r="S44" s="5"/>
      <c r="T44" s="30">
        <v>15000000</v>
      </c>
      <c r="U44" s="5"/>
      <c r="V44" s="5"/>
      <c r="W44" s="28"/>
      <c r="X44" s="28">
        <f t="shared" si="3"/>
        <v>0</v>
      </c>
      <c r="Y44" s="28">
        <f t="shared" si="4"/>
        <v>0</v>
      </c>
      <c r="Z44" s="28">
        <f t="shared" si="5"/>
        <v>0</v>
      </c>
      <c r="AA44" s="4"/>
      <c r="AB44" s="4"/>
      <c r="AC44">
        <f t="shared" si="6"/>
        <v>2</v>
      </c>
    </row>
    <row r="45" spans="1:30" ht="31.2" x14ac:dyDescent="0.3">
      <c r="A45" s="7" t="s">
        <v>46</v>
      </c>
      <c r="B45" s="6">
        <v>32</v>
      </c>
      <c r="C45" s="7" t="s">
        <v>113</v>
      </c>
      <c r="D45" s="7" t="s">
        <v>113</v>
      </c>
      <c r="E45" s="7"/>
      <c r="F45" s="4"/>
      <c r="G45" s="7" t="s">
        <v>128</v>
      </c>
      <c r="H45" s="7"/>
      <c r="I45" s="7"/>
      <c r="J45" s="7" t="s">
        <v>129</v>
      </c>
      <c r="K45" s="7" t="s">
        <v>24</v>
      </c>
      <c r="L45" s="7" t="s">
        <v>130</v>
      </c>
      <c r="M45" s="109">
        <v>0</v>
      </c>
      <c r="N45" s="111"/>
      <c r="O45" s="109">
        <v>7500000</v>
      </c>
      <c r="P45" s="110"/>
      <c r="Q45" s="109">
        <f t="shared" si="2"/>
        <v>7500000</v>
      </c>
      <c r="R45" s="6">
        <v>0</v>
      </c>
      <c r="S45" s="5"/>
      <c r="T45" s="72"/>
      <c r="U45" s="5"/>
      <c r="V45" s="5"/>
      <c r="W45" s="28"/>
      <c r="X45" s="28">
        <f t="shared" si="3"/>
        <v>0</v>
      </c>
      <c r="Y45" s="36">
        <f t="shared" si="4"/>
        <v>7500000</v>
      </c>
      <c r="Z45" s="28">
        <f t="shared" si="5"/>
        <v>0</v>
      </c>
      <c r="AA45" s="4"/>
      <c r="AB45" s="40"/>
      <c r="AC45" s="121">
        <f t="shared" si="6"/>
        <v>2</v>
      </c>
      <c r="AD45" s="121"/>
    </row>
    <row r="46" spans="1:30" ht="31.2" x14ac:dyDescent="0.3">
      <c r="A46" s="7" t="s">
        <v>26</v>
      </c>
      <c r="B46" s="6">
        <v>33</v>
      </c>
      <c r="C46" s="7" t="s">
        <v>113</v>
      </c>
      <c r="D46" s="7" t="s">
        <v>113</v>
      </c>
      <c r="E46" s="5"/>
      <c r="F46" s="4"/>
      <c r="G46" s="7" t="s">
        <v>131</v>
      </c>
      <c r="H46" s="5"/>
      <c r="I46" s="5"/>
      <c r="J46" s="7" t="s">
        <v>132</v>
      </c>
      <c r="K46" s="7" t="s">
        <v>24</v>
      </c>
      <c r="L46" s="7" t="s">
        <v>133</v>
      </c>
      <c r="M46" s="109">
        <v>0</v>
      </c>
      <c r="N46" s="111"/>
      <c r="O46" s="109">
        <v>7500000</v>
      </c>
      <c r="P46" s="110"/>
      <c r="Q46" s="109">
        <f t="shared" si="2"/>
        <v>7500000</v>
      </c>
      <c r="R46" s="6">
        <v>0</v>
      </c>
      <c r="S46" s="5"/>
      <c r="T46" s="30">
        <v>7500000</v>
      </c>
      <c r="U46" s="5"/>
      <c r="V46" s="5"/>
      <c r="W46" s="28"/>
      <c r="X46" s="28">
        <f t="shared" si="3"/>
        <v>0</v>
      </c>
      <c r="Y46" s="28">
        <f t="shared" si="4"/>
        <v>0</v>
      </c>
      <c r="Z46" s="28">
        <f t="shared" si="5"/>
        <v>0</v>
      </c>
      <c r="AA46" s="4"/>
      <c r="AB46" s="4"/>
      <c r="AC46">
        <f t="shared" si="6"/>
        <v>2</v>
      </c>
    </row>
    <row r="47" spans="1:30" ht="31.2" x14ac:dyDescent="0.3">
      <c r="A47" s="7" t="s">
        <v>62</v>
      </c>
      <c r="B47" s="6">
        <v>34</v>
      </c>
      <c r="C47" s="7" t="s">
        <v>113</v>
      </c>
      <c r="D47" s="7" t="s">
        <v>113</v>
      </c>
      <c r="E47" s="5"/>
      <c r="F47" s="4"/>
      <c r="G47" s="7" t="s">
        <v>134</v>
      </c>
      <c r="H47" s="5"/>
      <c r="I47" s="5"/>
      <c r="J47" s="7" t="s">
        <v>135</v>
      </c>
      <c r="K47" s="7" t="s">
        <v>24</v>
      </c>
      <c r="L47" s="7" t="s">
        <v>136</v>
      </c>
      <c r="M47" s="109">
        <v>772775010</v>
      </c>
      <c r="N47" s="111"/>
      <c r="O47" s="109">
        <v>7500000</v>
      </c>
      <c r="P47" s="110"/>
      <c r="Q47" s="109">
        <f t="shared" si="2"/>
        <v>780275010</v>
      </c>
      <c r="R47" s="3">
        <v>772775010</v>
      </c>
      <c r="S47" s="5"/>
      <c r="T47" s="30">
        <v>7500000</v>
      </c>
      <c r="U47" s="5"/>
      <c r="V47" s="5"/>
      <c r="W47" s="28"/>
      <c r="X47" s="28">
        <f t="shared" si="3"/>
        <v>0</v>
      </c>
      <c r="Y47" s="28">
        <f t="shared" ref="Y47:Y78" si="7">O47-T47</f>
        <v>0</v>
      </c>
      <c r="Z47" s="28">
        <f t="shared" si="5"/>
        <v>0</v>
      </c>
      <c r="AA47" s="4"/>
      <c r="AB47" s="4"/>
      <c r="AC47">
        <f t="shared" si="6"/>
        <v>2</v>
      </c>
    </row>
    <row r="48" spans="1:30" ht="31.2" x14ac:dyDescent="0.3">
      <c r="A48" s="7" t="s">
        <v>62</v>
      </c>
      <c r="B48" s="6">
        <v>35</v>
      </c>
      <c r="C48" s="7" t="s">
        <v>113</v>
      </c>
      <c r="D48" s="7" t="s">
        <v>113</v>
      </c>
      <c r="E48" s="5"/>
      <c r="F48" s="4"/>
      <c r="G48" s="7" t="s">
        <v>137</v>
      </c>
      <c r="H48" s="5"/>
      <c r="I48" s="7" t="s">
        <v>138</v>
      </c>
      <c r="J48" s="7" t="s">
        <v>139</v>
      </c>
      <c r="K48" s="7" t="s">
        <v>24</v>
      </c>
      <c r="L48" s="7" t="s">
        <v>140</v>
      </c>
      <c r="M48" s="109">
        <v>5472774600</v>
      </c>
      <c r="N48" s="111"/>
      <c r="O48" s="109">
        <v>15000000</v>
      </c>
      <c r="P48" s="110"/>
      <c r="Q48" s="109">
        <f t="shared" si="2"/>
        <v>5487774600</v>
      </c>
      <c r="R48" s="3">
        <v>5472774600</v>
      </c>
      <c r="S48" s="5"/>
      <c r="T48" s="30">
        <v>15000000</v>
      </c>
      <c r="U48" s="5"/>
      <c r="V48" s="5"/>
      <c r="W48" s="28"/>
      <c r="X48" s="28">
        <f t="shared" si="3"/>
        <v>0</v>
      </c>
      <c r="Y48" s="28">
        <f t="shared" si="7"/>
        <v>0</v>
      </c>
      <c r="Z48" s="28">
        <f t="shared" si="5"/>
        <v>0</v>
      </c>
      <c r="AA48" s="4"/>
      <c r="AB48" s="4"/>
      <c r="AC48">
        <f t="shared" si="6"/>
        <v>2</v>
      </c>
    </row>
    <row r="49" spans="1:30" ht="31.2" x14ac:dyDescent="0.3">
      <c r="A49" s="7" t="s">
        <v>62</v>
      </c>
      <c r="B49" s="6">
        <v>36</v>
      </c>
      <c r="C49" s="7" t="s">
        <v>113</v>
      </c>
      <c r="D49" s="7" t="s">
        <v>113</v>
      </c>
      <c r="E49" s="5"/>
      <c r="F49" s="4"/>
      <c r="G49" s="7" t="s">
        <v>141</v>
      </c>
      <c r="H49" s="5"/>
      <c r="I49" s="5"/>
      <c r="J49" s="7" t="s">
        <v>142</v>
      </c>
      <c r="K49" s="7" t="s">
        <v>24</v>
      </c>
      <c r="L49" s="7" t="s">
        <v>143</v>
      </c>
      <c r="M49" s="109">
        <v>792875600</v>
      </c>
      <c r="N49" s="111"/>
      <c r="O49" s="109">
        <v>7500000</v>
      </c>
      <c r="P49" s="110"/>
      <c r="Q49" s="109">
        <f t="shared" si="2"/>
        <v>800375600</v>
      </c>
      <c r="R49" s="3">
        <v>792875600</v>
      </c>
      <c r="S49" s="5"/>
      <c r="T49" s="30">
        <v>7500000</v>
      </c>
      <c r="U49" s="5"/>
      <c r="V49" s="5"/>
      <c r="W49" s="28"/>
      <c r="X49" s="28">
        <f t="shared" si="3"/>
        <v>0</v>
      </c>
      <c r="Y49" s="28">
        <f t="shared" si="7"/>
        <v>0</v>
      </c>
      <c r="Z49" s="28">
        <f t="shared" si="5"/>
        <v>0</v>
      </c>
      <c r="AA49" s="4"/>
      <c r="AB49" s="4"/>
      <c r="AC49">
        <f t="shared" si="6"/>
        <v>2</v>
      </c>
    </row>
    <row r="50" spans="1:30" ht="31.2" x14ac:dyDescent="0.3">
      <c r="A50" s="7" t="s">
        <v>46</v>
      </c>
      <c r="B50" s="6">
        <v>37</v>
      </c>
      <c r="C50" s="7" t="s">
        <v>144</v>
      </c>
      <c r="D50" s="7" t="s">
        <v>144</v>
      </c>
      <c r="E50" s="5"/>
      <c r="F50" s="4"/>
      <c r="G50" s="7" t="s">
        <v>145</v>
      </c>
      <c r="H50" s="5"/>
      <c r="I50" s="5"/>
      <c r="J50" s="7" t="s">
        <v>146</v>
      </c>
      <c r="K50" s="7" t="s">
        <v>24</v>
      </c>
      <c r="L50" s="7" t="s">
        <v>147</v>
      </c>
      <c r="M50" s="109">
        <v>423059200</v>
      </c>
      <c r="N50" s="111"/>
      <c r="O50" s="109">
        <v>7500000</v>
      </c>
      <c r="P50" s="110"/>
      <c r="Q50" s="109">
        <f t="shared" si="2"/>
        <v>430559200</v>
      </c>
      <c r="R50" s="36">
        <v>423059200</v>
      </c>
      <c r="S50" s="5"/>
      <c r="T50" s="30">
        <v>7500000</v>
      </c>
      <c r="U50" s="5"/>
      <c r="V50" s="5"/>
      <c r="W50" s="28"/>
      <c r="X50" s="28">
        <f t="shared" si="3"/>
        <v>0</v>
      </c>
      <c r="Y50" s="28">
        <f t="shared" si="7"/>
        <v>0</v>
      </c>
      <c r="Z50" s="28">
        <f t="shared" si="5"/>
        <v>0</v>
      </c>
      <c r="AA50" s="4"/>
      <c r="AB50" s="4"/>
      <c r="AC50">
        <f t="shared" si="6"/>
        <v>2</v>
      </c>
    </row>
    <row r="51" spans="1:30" ht="31.2" x14ac:dyDescent="0.3">
      <c r="A51" s="7" t="s">
        <v>18</v>
      </c>
      <c r="B51" s="6">
        <v>38</v>
      </c>
      <c r="C51" s="7" t="s">
        <v>144</v>
      </c>
      <c r="D51" s="7" t="s">
        <v>144</v>
      </c>
      <c r="E51" s="5"/>
      <c r="F51" s="4"/>
      <c r="G51" s="7" t="s">
        <v>148</v>
      </c>
      <c r="H51" s="5"/>
      <c r="I51" s="5"/>
      <c r="J51" s="7" t="s">
        <v>149</v>
      </c>
      <c r="K51" s="7" t="s">
        <v>24</v>
      </c>
      <c r="L51" s="7" t="s">
        <v>150</v>
      </c>
      <c r="M51" s="109">
        <v>2853192406</v>
      </c>
      <c r="N51" s="111"/>
      <c r="O51" s="109">
        <v>7500000</v>
      </c>
      <c r="P51" s="110"/>
      <c r="Q51" s="109">
        <f t="shared" si="2"/>
        <v>2860692406</v>
      </c>
      <c r="R51" s="36">
        <v>2853192406</v>
      </c>
      <c r="S51" s="5"/>
      <c r="T51" s="30">
        <v>7500000</v>
      </c>
      <c r="U51" s="5"/>
      <c r="V51" s="5"/>
      <c r="W51" s="28"/>
      <c r="X51" s="28">
        <f t="shared" si="3"/>
        <v>0</v>
      </c>
      <c r="Y51" s="28">
        <f t="shared" si="7"/>
        <v>0</v>
      </c>
      <c r="Z51" s="28">
        <f t="shared" si="5"/>
        <v>0</v>
      </c>
      <c r="AA51" s="4"/>
      <c r="AB51" s="4"/>
      <c r="AC51">
        <f t="shared" si="6"/>
        <v>2</v>
      </c>
    </row>
    <row r="52" spans="1:30" ht="31.2" x14ac:dyDescent="0.3">
      <c r="A52" s="7" t="s">
        <v>46</v>
      </c>
      <c r="B52" s="6">
        <v>39</v>
      </c>
      <c r="C52" s="7" t="s">
        <v>144</v>
      </c>
      <c r="D52" s="7" t="s">
        <v>144</v>
      </c>
      <c r="E52" s="5"/>
      <c r="F52" s="4"/>
      <c r="G52" s="7" t="s">
        <v>151</v>
      </c>
      <c r="H52" s="5"/>
      <c r="I52" s="5"/>
      <c r="J52" s="7" t="s">
        <v>152</v>
      </c>
      <c r="K52" s="7" t="s">
        <v>24</v>
      </c>
      <c r="L52" s="7" t="s">
        <v>153</v>
      </c>
      <c r="M52" s="109">
        <v>4069311354</v>
      </c>
      <c r="N52" s="111"/>
      <c r="O52" s="109">
        <v>15000000</v>
      </c>
      <c r="P52" s="110"/>
      <c r="Q52" s="109">
        <f t="shared" si="2"/>
        <v>4084311354</v>
      </c>
      <c r="R52" s="36">
        <v>4069311354</v>
      </c>
      <c r="S52" s="5"/>
      <c r="T52" s="30">
        <v>15000000</v>
      </c>
      <c r="U52" s="5"/>
      <c r="V52" s="5"/>
      <c r="W52" s="28"/>
      <c r="X52" s="28">
        <f t="shared" si="3"/>
        <v>0</v>
      </c>
      <c r="Y52" s="28">
        <f t="shared" si="7"/>
        <v>0</v>
      </c>
      <c r="Z52" s="28">
        <f t="shared" si="5"/>
        <v>0</v>
      </c>
      <c r="AA52" s="4"/>
      <c r="AB52" s="4"/>
      <c r="AC52">
        <f t="shared" si="6"/>
        <v>2</v>
      </c>
    </row>
    <row r="53" spans="1:30" ht="62.4" customHeight="1" x14ac:dyDescent="0.3">
      <c r="A53" s="7" t="s">
        <v>18</v>
      </c>
      <c r="B53" s="6">
        <v>40</v>
      </c>
      <c r="C53" s="7" t="s">
        <v>144</v>
      </c>
      <c r="D53" s="7" t="s">
        <v>144</v>
      </c>
      <c r="E53" s="5"/>
      <c r="F53" s="40" t="s">
        <v>3869</v>
      </c>
      <c r="G53" s="7" t="s">
        <v>155</v>
      </c>
      <c r="H53" s="5"/>
      <c r="I53" s="5"/>
      <c r="J53" s="7" t="s">
        <v>156</v>
      </c>
      <c r="K53" s="7" t="s">
        <v>24</v>
      </c>
      <c r="L53" s="7" t="s">
        <v>157</v>
      </c>
      <c r="M53" s="109">
        <v>10000000</v>
      </c>
      <c r="N53" s="111"/>
      <c r="O53" s="109">
        <v>15000000</v>
      </c>
      <c r="P53" s="112">
        <v>96000000</v>
      </c>
      <c r="Q53" s="109">
        <f t="shared" si="2"/>
        <v>121000000</v>
      </c>
      <c r="R53" s="36">
        <v>10000000</v>
      </c>
      <c r="S53" s="5"/>
      <c r="T53" s="30">
        <v>15000000</v>
      </c>
      <c r="U53" s="3">
        <v>96000000</v>
      </c>
      <c r="V53" s="5"/>
      <c r="W53" s="28"/>
      <c r="X53" s="28">
        <f t="shared" si="3"/>
        <v>0</v>
      </c>
      <c r="Y53" s="28">
        <f t="shared" si="7"/>
        <v>0</v>
      </c>
      <c r="Z53" s="28">
        <f t="shared" si="5"/>
        <v>0</v>
      </c>
      <c r="AA53" s="4"/>
      <c r="AB53" s="4"/>
      <c r="AC53">
        <f t="shared" si="6"/>
        <v>2</v>
      </c>
    </row>
    <row r="54" spans="1:30" ht="31.2" x14ac:dyDescent="0.3">
      <c r="A54" s="7" t="s">
        <v>18</v>
      </c>
      <c r="B54" s="6">
        <v>41</v>
      </c>
      <c r="C54" s="7" t="s">
        <v>144</v>
      </c>
      <c r="D54" s="7" t="s">
        <v>144</v>
      </c>
      <c r="E54" s="7" t="s">
        <v>158</v>
      </c>
      <c r="F54" s="4"/>
      <c r="G54" s="7" t="s">
        <v>159</v>
      </c>
      <c r="H54" s="7" t="s">
        <v>160</v>
      </c>
      <c r="I54" s="7"/>
      <c r="J54" s="7" t="s">
        <v>161</v>
      </c>
      <c r="K54" s="7" t="s">
        <v>24</v>
      </c>
      <c r="L54" s="7" t="s">
        <v>162</v>
      </c>
      <c r="M54" s="109">
        <v>273809190</v>
      </c>
      <c r="N54" s="109">
        <v>25360128</v>
      </c>
      <c r="O54" s="109">
        <v>7500000</v>
      </c>
      <c r="P54" s="110"/>
      <c r="Q54" s="109">
        <f t="shared" si="2"/>
        <v>306669318</v>
      </c>
      <c r="R54" s="36">
        <v>273809190</v>
      </c>
      <c r="S54" s="7"/>
      <c r="T54" s="72"/>
      <c r="U54" s="5"/>
      <c r="V54" s="5"/>
      <c r="W54" s="28"/>
      <c r="X54" s="36">
        <f t="shared" si="3"/>
        <v>25360128</v>
      </c>
      <c r="Y54" s="36">
        <f t="shared" si="7"/>
        <v>7500000</v>
      </c>
      <c r="Z54" s="28">
        <f t="shared" si="5"/>
        <v>0</v>
      </c>
      <c r="AA54" s="40"/>
      <c r="AB54" s="40"/>
      <c r="AC54" s="121">
        <f t="shared" si="6"/>
        <v>2</v>
      </c>
      <c r="AD54" s="121"/>
    </row>
    <row r="55" spans="1:30" ht="31.2" x14ac:dyDescent="0.3">
      <c r="A55" s="7" t="s">
        <v>62</v>
      </c>
      <c r="B55" s="6">
        <v>42</v>
      </c>
      <c r="C55" s="7" t="s">
        <v>144</v>
      </c>
      <c r="D55" s="7" t="s">
        <v>144</v>
      </c>
      <c r="E55" s="5"/>
      <c r="F55" s="4"/>
      <c r="G55" s="7" t="s">
        <v>163</v>
      </c>
      <c r="H55" s="5"/>
      <c r="I55" s="5"/>
      <c r="J55" s="7" t="s">
        <v>164</v>
      </c>
      <c r="K55" s="7" t="s">
        <v>24</v>
      </c>
      <c r="L55" s="7" t="s">
        <v>165</v>
      </c>
      <c r="M55" s="109">
        <v>0</v>
      </c>
      <c r="N55" s="111"/>
      <c r="O55" s="109">
        <v>7500000</v>
      </c>
      <c r="P55" s="110"/>
      <c r="Q55" s="109">
        <f t="shared" si="2"/>
        <v>7500000</v>
      </c>
      <c r="R55" s="6">
        <v>0</v>
      </c>
      <c r="S55" s="5"/>
      <c r="T55" s="30">
        <v>7500000</v>
      </c>
      <c r="U55" s="5"/>
      <c r="V55" s="5"/>
      <c r="W55" s="28"/>
      <c r="X55" s="28">
        <f t="shared" si="3"/>
        <v>0</v>
      </c>
      <c r="Y55" s="28">
        <f t="shared" si="7"/>
        <v>0</v>
      </c>
      <c r="Z55" s="28">
        <f t="shared" si="5"/>
        <v>0</v>
      </c>
      <c r="AA55" s="4"/>
      <c r="AB55" s="4"/>
      <c r="AC55">
        <f t="shared" si="6"/>
        <v>2</v>
      </c>
    </row>
    <row r="56" spans="1:30" ht="31.2" x14ac:dyDescent="0.3">
      <c r="A56" s="7" t="s">
        <v>53</v>
      </c>
      <c r="B56" s="6">
        <v>43</v>
      </c>
      <c r="C56" s="7" t="s">
        <v>144</v>
      </c>
      <c r="D56" s="7" t="s">
        <v>144</v>
      </c>
      <c r="E56" s="7" t="s">
        <v>158</v>
      </c>
      <c r="F56" s="4"/>
      <c r="G56" s="7" t="s">
        <v>166</v>
      </c>
      <c r="H56" s="7" t="s">
        <v>167</v>
      </c>
      <c r="I56" s="5"/>
      <c r="J56" s="7" t="s">
        <v>168</v>
      </c>
      <c r="K56" s="7" t="s">
        <v>24</v>
      </c>
      <c r="L56" s="7" t="s">
        <v>169</v>
      </c>
      <c r="M56" s="109">
        <v>1937908151</v>
      </c>
      <c r="N56" s="109">
        <v>423068659</v>
      </c>
      <c r="O56" s="109">
        <v>7500000</v>
      </c>
      <c r="P56" s="110"/>
      <c r="Q56" s="109">
        <f t="shared" si="2"/>
        <v>2368476810</v>
      </c>
      <c r="R56" s="36">
        <v>1937908151</v>
      </c>
      <c r="S56" s="3">
        <v>423068659</v>
      </c>
      <c r="T56" s="30">
        <v>7500000</v>
      </c>
      <c r="U56" s="5"/>
      <c r="V56" s="5"/>
      <c r="W56" s="28"/>
      <c r="X56" s="28">
        <f t="shared" si="3"/>
        <v>0</v>
      </c>
      <c r="Y56" s="28">
        <f t="shared" si="7"/>
        <v>0</v>
      </c>
      <c r="Z56" s="28">
        <f t="shared" si="5"/>
        <v>0</v>
      </c>
      <c r="AA56" s="4"/>
      <c r="AB56" s="4"/>
      <c r="AC56">
        <f t="shared" si="6"/>
        <v>2</v>
      </c>
    </row>
    <row r="57" spans="1:30" ht="78" x14ac:dyDescent="0.3">
      <c r="A57" s="7" t="s">
        <v>46</v>
      </c>
      <c r="B57" s="6">
        <v>44</v>
      </c>
      <c r="C57" s="7" t="s">
        <v>144</v>
      </c>
      <c r="D57" s="7" t="s">
        <v>170</v>
      </c>
      <c r="E57" s="5"/>
      <c r="F57" s="4"/>
      <c r="G57" s="7" t="s">
        <v>171</v>
      </c>
      <c r="H57" s="5"/>
      <c r="I57" s="7" t="s">
        <v>28</v>
      </c>
      <c r="J57" s="7" t="s">
        <v>172</v>
      </c>
      <c r="K57" s="7" t="s">
        <v>24</v>
      </c>
      <c r="L57" s="7" t="s">
        <v>173</v>
      </c>
      <c r="M57" s="109">
        <v>2962663956</v>
      </c>
      <c r="N57" s="111"/>
      <c r="O57" s="109">
        <v>7500000</v>
      </c>
      <c r="P57" s="110"/>
      <c r="Q57" s="109">
        <f t="shared" si="2"/>
        <v>2970163956</v>
      </c>
      <c r="R57" s="36">
        <v>2962663956</v>
      </c>
      <c r="S57" s="5"/>
      <c r="T57" s="30">
        <v>7500000</v>
      </c>
      <c r="U57" s="5"/>
      <c r="V57" s="5"/>
      <c r="W57" s="28"/>
      <c r="X57" s="28">
        <f t="shared" si="3"/>
        <v>0</v>
      </c>
      <c r="Y57" s="28">
        <f t="shared" si="7"/>
        <v>0</v>
      </c>
      <c r="Z57" s="28">
        <f t="shared" si="5"/>
        <v>0</v>
      </c>
      <c r="AA57" s="4"/>
      <c r="AB57" s="4"/>
      <c r="AC57">
        <f t="shared" si="6"/>
        <v>2</v>
      </c>
    </row>
    <row r="58" spans="1:30" ht="31.2" x14ac:dyDescent="0.3">
      <c r="A58" s="7" t="s">
        <v>62</v>
      </c>
      <c r="B58" s="6">
        <v>45</v>
      </c>
      <c r="C58" s="7" t="s">
        <v>144</v>
      </c>
      <c r="D58" s="7" t="s">
        <v>144</v>
      </c>
      <c r="E58" s="5"/>
      <c r="F58" s="4"/>
      <c r="G58" s="7" t="s">
        <v>174</v>
      </c>
      <c r="H58" s="5"/>
      <c r="I58" s="5"/>
      <c r="J58" s="7" t="s">
        <v>175</v>
      </c>
      <c r="K58" s="7" t="s">
        <v>24</v>
      </c>
      <c r="L58" s="7" t="s">
        <v>176</v>
      </c>
      <c r="M58" s="109">
        <v>2457405327</v>
      </c>
      <c r="N58" s="111"/>
      <c r="O58" s="109">
        <v>15000000</v>
      </c>
      <c r="P58" s="110"/>
      <c r="Q58" s="109">
        <f t="shared" si="2"/>
        <v>2472405327</v>
      </c>
      <c r="R58" s="36">
        <v>2457405327</v>
      </c>
      <c r="S58" s="5"/>
      <c r="T58" s="30">
        <v>15000000</v>
      </c>
      <c r="U58" s="5"/>
      <c r="V58" s="5"/>
      <c r="W58" s="28"/>
      <c r="X58" s="28">
        <f t="shared" si="3"/>
        <v>0</v>
      </c>
      <c r="Y58" s="28">
        <f t="shared" si="7"/>
        <v>0</v>
      </c>
      <c r="Z58" s="28">
        <f t="shared" si="5"/>
        <v>0</v>
      </c>
      <c r="AA58" s="4"/>
      <c r="AB58" s="4"/>
      <c r="AC58">
        <f t="shared" si="6"/>
        <v>2</v>
      </c>
    </row>
    <row r="59" spans="1:30" ht="31.2" x14ac:dyDescent="0.3">
      <c r="A59" s="7" t="s">
        <v>46</v>
      </c>
      <c r="B59" s="6">
        <v>46</v>
      </c>
      <c r="C59" s="7" t="s">
        <v>144</v>
      </c>
      <c r="D59" s="7" t="s">
        <v>144</v>
      </c>
      <c r="E59" s="7" t="s">
        <v>177</v>
      </c>
      <c r="F59" s="4"/>
      <c r="G59" s="7" t="s">
        <v>178</v>
      </c>
      <c r="H59" s="7" t="s">
        <v>179</v>
      </c>
      <c r="I59" s="5"/>
      <c r="J59" s="7" t="s">
        <v>180</v>
      </c>
      <c r="K59" s="7" t="s">
        <v>24</v>
      </c>
      <c r="L59" s="7" t="s">
        <v>181</v>
      </c>
      <c r="M59" s="109">
        <v>2149999856</v>
      </c>
      <c r="N59" s="109">
        <v>166472064</v>
      </c>
      <c r="O59" s="109">
        <v>7500000</v>
      </c>
      <c r="P59" s="110"/>
      <c r="Q59" s="109">
        <f t="shared" si="2"/>
        <v>2323971920</v>
      </c>
      <c r="R59" s="36">
        <v>2149999856</v>
      </c>
      <c r="S59" s="3">
        <v>166472064</v>
      </c>
      <c r="T59" s="30">
        <v>7500000</v>
      </c>
      <c r="U59" s="5"/>
      <c r="V59" s="5"/>
      <c r="W59" s="28"/>
      <c r="X59" s="28">
        <f t="shared" si="3"/>
        <v>0</v>
      </c>
      <c r="Y59" s="28">
        <f t="shared" si="7"/>
        <v>0</v>
      </c>
      <c r="Z59" s="28">
        <f t="shared" si="5"/>
        <v>0</v>
      </c>
      <c r="AA59" s="4"/>
      <c r="AB59" s="4"/>
      <c r="AC59">
        <f t="shared" si="6"/>
        <v>2</v>
      </c>
    </row>
    <row r="60" spans="1:30" ht="31.2" x14ac:dyDescent="0.3">
      <c r="A60" s="7" t="s">
        <v>46</v>
      </c>
      <c r="B60" s="6">
        <v>47</v>
      </c>
      <c r="C60" s="7" t="s">
        <v>144</v>
      </c>
      <c r="D60" s="7" t="s">
        <v>144</v>
      </c>
      <c r="E60" s="5"/>
      <c r="F60" s="40" t="s">
        <v>182</v>
      </c>
      <c r="G60" s="7" t="s">
        <v>183</v>
      </c>
      <c r="H60" s="5"/>
      <c r="I60" s="7" t="s">
        <v>184</v>
      </c>
      <c r="J60" s="7" t="s">
        <v>185</v>
      </c>
      <c r="K60" s="7" t="s">
        <v>24</v>
      </c>
      <c r="L60" s="7" t="s">
        <v>186</v>
      </c>
      <c r="M60" s="109">
        <v>11046885900</v>
      </c>
      <c r="N60" s="111"/>
      <c r="O60" s="109">
        <v>15000000</v>
      </c>
      <c r="P60" s="112">
        <v>84000000</v>
      </c>
      <c r="Q60" s="109">
        <f t="shared" si="2"/>
        <v>11145885900</v>
      </c>
      <c r="R60" s="36">
        <v>11046885900</v>
      </c>
      <c r="S60" s="5"/>
      <c r="T60" s="30">
        <v>15000000</v>
      </c>
      <c r="U60" s="5"/>
      <c r="V60" s="5"/>
      <c r="W60" s="28"/>
      <c r="X60" s="28">
        <f t="shared" si="3"/>
        <v>0</v>
      </c>
      <c r="Y60" s="28">
        <f t="shared" si="7"/>
        <v>0</v>
      </c>
      <c r="Z60" s="28">
        <f t="shared" si="5"/>
        <v>84000000</v>
      </c>
      <c r="AA60" s="4"/>
      <c r="AB60" s="4"/>
      <c r="AC60">
        <f t="shared" si="6"/>
        <v>2</v>
      </c>
    </row>
    <row r="61" spans="1:30" ht="31.2" x14ac:dyDescent="0.3">
      <c r="A61" s="7" t="s">
        <v>46</v>
      </c>
      <c r="B61" s="6">
        <v>48</v>
      </c>
      <c r="C61" s="7" t="s">
        <v>144</v>
      </c>
      <c r="D61" s="7" t="s">
        <v>144</v>
      </c>
      <c r="E61" s="7" t="s">
        <v>187</v>
      </c>
      <c r="F61" s="4"/>
      <c r="G61" s="7" t="s">
        <v>188</v>
      </c>
      <c r="H61" s="7" t="s">
        <v>189</v>
      </c>
      <c r="I61" s="7" t="s">
        <v>190</v>
      </c>
      <c r="J61" s="7" t="s">
        <v>191</v>
      </c>
      <c r="K61" s="7" t="s">
        <v>24</v>
      </c>
      <c r="L61" s="7" t="s">
        <v>192</v>
      </c>
      <c r="M61" s="109">
        <v>1487841100</v>
      </c>
      <c r="N61" s="109">
        <v>327633600</v>
      </c>
      <c r="O61" s="109">
        <v>15000000</v>
      </c>
      <c r="P61" s="110"/>
      <c r="Q61" s="109">
        <f t="shared" si="2"/>
        <v>1830474700</v>
      </c>
      <c r="R61" s="36">
        <v>1487841100</v>
      </c>
      <c r="S61" s="28">
        <v>327633600</v>
      </c>
      <c r="T61" s="30">
        <v>15000000</v>
      </c>
      <c r="U61" s="5"/>
      <c r="V61" s="5"/>
      <c r="W61" s="28"/>
      <c r="X61" s="28">
        <f t="shared" si="3"/>
        <v>0</v>
      </c>
      <c r="Y61" s="28">
        <f t="shared" si="7"/>
        <v>0</v>
      </c>
      <c r="Z61" s="28">
        <f t="shared" si="5"/>
        <v>0</v>
      </c>
      <c r="AA61" s="4"/>
      <c r="AB61" s="4"/>
      <c r="AC61">
        <f t="shared" si="6"/>
        <v>2</v>
      </c>
    </row>
    <row r="62" spans="1:30" ht="31.2" x14ac:dyDescent="0.3">
      <c r="A62" s="7" t="s">
        <v>18</v>
      </c>
      <c r="B62" s="6">
        <v>49</v>
      </c>
      <c r="C62" s="7" t="s">
        <v>144</v>
      </c>
      <c r="D62" s="7" t="s">
        <v>144</v>
      </c>
      <c r="E62" s="5"/>
      <c r="F62" s="4"/>
      <c r="G62" s="7" t="s">
        <v>193</v>
      </c>
      <c r="H62" s="5"/>
      <c r="I62" s="5"/>
      <c r="J62" s="7" t="s">
        <v>194</v>
      </c>
      <c r="K62" s="7" t="s">
        <v>24</v>
      </c>
      <c r="L62" s="7" t="s">
        <v>195</v>
      </c>
      <c r="M62" s="109">
        <v>555745056</v>
      </c>
      <c r="N62" s="111"/>
      <c r="O62" s="109">
        <v>7500000</v>
      </c>
      <c r="P62" s="110"/>
      <c r="Q62" s="109">
        <f t="shared" si="2"/>
        <v>563245056</v>
      </c>
      <c r="R62" s="36">
        <v>555745056</v>
      </c>
      <c r="S62" s="5"/>
      <c r="T62" s="30">
        <v>7500000</v>
      </c>
      <c r="U62" s="5"/>
      <c r="V62" s="5"/>
      <c r="W62" s="28"/>
      <c r="X62" s="28">
        <f t="shared" si="3"/>
        <v>0</v>
      </c>
      <c r="Y62" s="28">
        <f t="shared" si="7"/>
        <v>0</v>
      </c>
      <c r="Z62" s="28">
        <f t="shared" si="5"/>
        <v>0</v>
      </c>
      <c r="AA62" s="4"/>
      <c r="AB62" s="4"/>
      <c r="AC62">
        <f t="shared" si="6"/>
        <v>2</v>
      </c>
    </row>
    <row r="63" spans="1:30" ht="31.2" x14ac:dyDescent="0.3">
      <c r="A63" s="7" t="s">
        <v>53</v>
      </c>
      <c r="B63" s="6">
        <v>50</v>
      </c>
      <c r="C63" s="7" t="s">
        <v>144</v>
      </c>
      <c r="D63" s="7" t="s">
        <v>144</v>
      </c>
      <c r="E63" s="5"/>
      <c r="F63" s="4"/>
      <c r="G63" s="7" t="s">
        <v>196</v>
      </c>
      <c r="H63" s="5"/>
      <c r="I63" s="5"/>
      <c r="J63" s="7" t="s">
        <v>197</v>
      </c>
      <c r="K63" s="7" t="s">
        <v>24</v>
      </c>
      <c r="L63" s="7" t="s">
        <v>109</v>
      </c>
      <c r="M63" s="109">
        <v>10000000</v>
      </c>
      <c r="N63" s="111"/>
      <c r="O63" s="109">
        <v>15000000</v>
      </c>
      <c r="P63" s="110"/>
      <c r="Q63" s="109">
        <f t="shared" si="2"/>
        <v>25000000</v>
      </c>
      <c r="R63" s="36">
        <v>10000000</v>
      </c>
      <c r="S63" s="5"/>
      <c r="T63" s="30">
        <v>15000000</v>
      </c>
      <c r="U63" s="5"/>
      <c r="V63" s="5"/>
      <c r="W63" s="28"/>
      <c r="X63" s="28">
        <f t="shared" si="3"/>
        <v>0</v>
      </c>
      <c r="Y63" s="28">
        <f t="shared" si="7"/>
        <v>0</v>
      </c>
      <c r="Z63" s="28">
        <f t="shared" si="5"/>
        <v>0</v>
      </c>
      <c r="AA63" s="4"/>
      <c r="AB63" s="4"/>
      <c r="AC63">
        <f t="shared" si="6"/>
        <v>2</v>
      </c>
    </row>
    <row r="64" spans="1:30" ht="31.2" x14ac:dyDescent="0.3">
      <c r="A64" s="7" t="s">
        <v>53</v>
      </c>
      <c r="B64" s="6">
        <v>51</v>
      </c>
      <c r="C64" s="7" t="s">
        <v>144</v>
      </c>
      <c r="D64" s="7" t="s">
        <v>144</v>
      </c>
      <c r="E64" s="5"/>
      <c r="F64" s="4"/>
      <c r="G64" s="7" t="s">
        <v>198</v>
      </c>
      <c r="H64" s="5"/>
      <c r="I64" s="7" t="s">
        <v>199</v>
      </c>
      <c r="J64" s="7" t="s">
        <v>200</v>
      </c>
      <c r="K64" s="7" t="s">
        <v>24</v>
      </c>
      <c r="L64" s="7" t="s">
        <v>201</v>
      </c>
      <c r="M64" s="109">
        <v>3606786776</v>
      </c>
      <c r="N64" s="111"/>
      <c r="O64" s="109">
        <v>15000000</v>
      </c>
      <c r="P64" s="110"/>
      <c r="Q64" s="109">
        <f t="shared" si="2"/>
        <v>3621786776</v>
      </c>
      <c r="R64" s="36">
        <v>3606786776</v>
      </c>
      <c r="S64" s="5"/>
      <c r="T64" s="30">
        <v>15000000</v>
      </c>
      <c r="U64" s="5"/>
      <c r="V64" s="5"/>
      <c r="W64" s="28"/>
      <c r="X64" s="28">
        <f t="shared" si="3"/>
        <v>0</v>
      </c>
      <c r="Y64" s="28">
        <f t="shared" si="7"/>
        <v>0</v>
      </c>
      <c r="Z64" s="28">
        <f t="shared" si="5"/>
        <v>0</v>
      </c>
      <c r="AA64" s="4"/>
      <c r="AB64" s="4"/>
      <c r="AC64">
        <f t="shared" si="6"/>
        <v>2</v>
      </c>
    </row>
    <row r="65" spans="1:30" ht="31.2" x14ac:dyDescent="0.3">
      <c r="A65" s="7" t="s">
        <v>53</v>
      </c>
      <c r="B65" s="6">
        <v>52</v>
      </c>
      <c r="C65" s="7" t="s">
        <v>144</v>
      </c>
      <c r="D65" s="7" t="s">
        <v>144</v>
      </c>
      <c r="E65" s="7" t="s">
        <v>3886</v>
      </c>
      <c r="F65" s="4"/>
      <c r="G65" s="7" t="s">
        <v>202</v>
      </c>
      <c r="H65" s="7" t="s">
        <v>3898</v>
      </c>
      <c r="I65" s="5"/>
      <c r="J65" s="7" t="s">
        <v>203</v>
      </c>
      <c r="K65" s="7" t="s">
        <v>24</v>
      </c>
      <c r="L65" s="7" t="s">
        <v>204</v>
      </c>
      <c r="M65" s="109">
        <v>355657340</v>
      </c>
      <c r="N65" s="74">
        <v>80851500</v>
      </c>
      <c r="O65" s="109">
        <v>7500000</v>
      </c>
      <c r="P65" s="110"/>
      <c r="Q65" s="109">
        <f t="shared" si="2"/>
        <v>444008840</v>
      </c>
      <c r="R65" s="36">
        <v>355657340</v>
      </c>
      <c r="S65" s="7"/>
      <c r="T65" s="30">
        <v>7500000</v>
      </c>
      <c r="U65" s="5"/>
      <c r="V65" s="5"/>
      <c r="W65" s="28"/>
      <c r="X65" s="36">
        <f t="shared" si="3"/>
        <v>80851500</v>
      </c>
      <c r="Y65" s="28">
        <f t="shared" si="7"/>
        <v>0</v>
      </c>
      <c r="Z65" s="28">
        <f t="shared" si="5"/>
        <v>0</v>
      </c>
      <c r="AA65" s="40"/>
      <c r="AB65" s="40"/>
      <c r="AC65" s="61">
        <f t="shared" si="6"/>
        <v>2</v>
      </c>
      <c r="AD65" s="61"/>
    </row>
    <row r="66" spans="1:30" ht="31.2" x14ac:dyDescent="0.3">
      <c r="A66" s="7" t="s">
        <v>62</v>
      </c>
      <c r="B66" s="6">
        <v>53</v>
      </c>
      <c r="C66" s="7" t="s">
        <v>205</v>
      </c>
      <c r="D66" s="7" t="s">
        <v>205</v>
      </c>
      <c r="E66" s="5"/>
      <c r="F66" s="4"/>
      <c r="G66" s="7" t="s">
        <v>206</v>
      </c>
      <c r="H66" s="5"/>
      <c r="I66" s="5"/>
      <c r="J66" s="7" t="s">
        <v>207</v>
      </c>
      <c r="K66" s="7" t="s">
        <v>24</v>
      </c>
      <c r="L66" s="7" t="s">
        <v>208</v>
      </c>
      <c r="M66" s="109">
        <v>7557570900</v>
      </c>
      <c r="N66" s="111"/>
      <c r="O66" s="109">
        <v>7500000</v>
      </c>
      <c r="P66" s="110"/>
      <c r="Q66" s="109">
        <f t="shared" si="2"/>
        <v>7565070900</v>
      </c>
      <c r="R66" s="36">
        <v>7557570900</v>
      </c>
      <c r="S66" s="5"/>
      <c r="T66" s="30">
        <v>7500000</v>
      </c>
      <c r="U66" s="5"/>
      <c r="V66" s="5"/>
      <c r="W66" s="28"/>
      <c r="X66" s="28">
        <f t="shared" si="3"/>
        <v>0</v>
      </c>
      <c r="Y66" s="28">
        <f t="shared" si="7"/>
        <v>0</v>
      </c>
      <c r="Z66" s="28">
        <f t="shared" si="5"/>
        <v>0</v>
      </c>
      <c r="AA66" s="4"/>
      <c r="AB66" s="4"/>
      <c r="AC66">
        <f t="shared" si="6"/>
        <v>2</v>
      </c>
    </row>
    <row r="67" spans="1:30" ht="31.2" x14ac:dyDescent="0.3">
      <c r="A67" s="7" t="s">
        <v>46</v>
      </c>
      <c r="B67" s="6">
        <v>54</v>
      </c>
      <c r="C67" s="7" t="s">
        <v>205</v>
      </c>
      <c r="D67" s="7" t="s">
        <v>205</v>
      </c>
      <c r="E67" s="5"/>
      <c r="F67" s="4"/>
      <c r="G67" s="7" t="s">
        <v>209</v>
      </c>
      <c r="H67" s="5"/>
      <c r="I67" s="5"/>
      <c r="J67" s="7" t="s">
        <v>210</v>
      </c>
      <c r="K67" s="7" t="s">
        <v>24</v>
      </c>
      <c r="L67" s="7" t="s">
        <v>211</v>
      </c>
      <c r="M67" s="109">
        <v>0</v>
      </c>
      <c r="N67" s="111"/>
      <c r="O67" s="109">
        <v>7500000</v>
      </c>
      <c r="P67" s="110"/>
      <c r="Q67" s="109">
        <f t="shared" si="2"/>
        <v>7500000</v>
      </c>
      <c r="R67" s="6">
        <v>0</v>
      </c>
      <c r="S67" s="5"/>
      <c r="T67" s="30">
        <v>7500000</v>
      </c>
      <c r="U67" s="5"/>
      <c r="V67" s="5"/>
      <c r="W67" s="28"/>
      <c r="X67" s="28">
        <f t="shared" si="3"/>
        <v>0</v>
      </c>
      <c r="Y67" s="28">
        <f t="shared" si="7"/>
        <v>0</v>
      </c>
      <c r="Z67" s="28">
        <f t="shared" si="5"/>
        <v>0</v>
      </c>
      <c r="AA67" s="4"/>
      <c r="AB67" s="4"/>
      <c r="AC67">
        <f t="shared" si="6"/>
        <v>2</v>
      </c>
    </row>
    <row r="68" spans="1:30" ht="31.2" x14ac:dyDescent="0.3">
      <c r="A68" s="7" t="s">
        <v>46</v>
      </c>
      <c r="B68" s="6">
        <v>55</v>
      </c>
      <c r="C68" s="7" t="s">
        <v>205</v>
      </c>
      <c r="D68" s="7" t="s">
        <v>205</v>
      </c>
      <c r="E68" s="7" t="s">
        <v>212</v>
      </c>
      <c r="F68" s="4"/>
      <c r="G68" s="7" t="s">
        <v>213</v>
      </c>
      <c r="H68" s="7" t="s">
        <v>214</v>
      </c>
      <c r="I68" s="5"/>
      <c r="J68" s="7" t="s">
        <v>215</v>
      </c>
      <c r="K68" s="7" t="s">
        <v>24</v>
      </c>
      <c r="L68" s="7" t="s">
        <v>216</v>
      </c>
      <c r="M68" s="109">
        <v>9203203092</v>
      </c>
      <c r="N68" s="109">
        <v>177091834</v>
      </c>
      <c r="O68" s="109">
        <v>15000000</v>
      </c>
      <c r="P68" s="110"/>
      <c r="Q68" s="109">
        <f t="shared" si="2"/>
        <v>9395294926</v>
      </c>
      <c r="R68" s="36">
        <v>9203203092</v>
      </c>
      <c r="S68" s="3">
        <v>177091834</v>
      </c>
      <c r="T68" s="30">
        <v>15000000</v>
      </c>
      <c r="U68" s="5"/>
      <c r="V68" s="5"/>
      <c r="W68" s="28"/>
      <c r="X68" s="28">
        <f t="shared" si="3"/>
        <v>0</v>
      </c>
      <c r="Y68" s="28">
        <f t="shared" si="7"/>
        <v>0</v>
      </c>
      <c r="Z68" s="28">
        <f t="shared" si="5"/>
        <v>0</v>
      </c>
      <c r="AA68" s="4"/>
      <c r="AB68" s="4"/>
      <c r="AC68">
        <f t="shared" si="6"/>
        <v>2</v>
      </c>
    </row>
    <row r="69" spans="1:30" ht="31.2" x14ac:dyDescent="0.3">
      <c r="A69" s="7" t="s">
        <v>62</v>
      </c>
      <c r="B69" s="6">
        <v>56</v>
      </c>
      <c r="C69" s="7" t="s">
        <v>205</v>
      </c>
      <c r="D69" s="7" t="s">
        <v>205</v>
      </c>
      <c r="E69" s="7"/>
      <c r="F69" s="4"/>
      <c r="G69" s="7" t="s">
        <v>217</v>
      </c>
      <c r="H69" s="7"/>
      <c r="I69" s="7"/>
      <c r="J69" s="7" t="s">
        <v>218</v>
      </c>
      <c r="K69" s="7" t="s">
        <v>24</v>
      </c>
      <c r="L69" s="7" t="s">
        <v>219</v>
      </c>
      <c r="M69" s="109">
        <v>436279800</v>
      </c>
      <c r="N69" s="111"/>
      <c r="O69" s="109">
        <v>7500000</v>
      </c>
      <c r="P69" s="110"/>
      <c r="Q69" s="109">
        <f t="shared" si="2"/>
        <v>443779800</v>
      </c>
      <c r="R69" s="36">
        <v>436279800</v>
      </c>
      <c r="S69" s="5"/>
      <c r="T69" s="72"/>
      <c r="U69" s="5"/>
      <c r="V69" s="5"/>
      <c r="W69" s="28"/>
      <c r="X69" s="28">
        <f t="shared" si="3"/>
        <v>0</v>
      </c>
      <c r="Y69" s="36">
        <f t="shared" si="7"/>
        <v>7500000</v>
      </c>
      <c r="Z69" s="28">
        <f t="shared" si="5"/>
        <v>0</v>
      </c>
      <c r="AA69" s="4"/>
      <c r="AB69" s="40"/>
      <c r="AC69" s="121">
        <f t="shared" si="6"/>
        <v>2</v>
      </c>
      <c r="AD69" s="121"/>
    </row>
    <row r="70" spans="1:30" ht="31.2" x14ac:dyDescent="0.3">
      <c r="A70" s="7" t="s">
        <v>18</v>
      </c>
      <c r="B70" s="6">
        <v>57</v>
      </c>
      <c r="C70" s="7" t="s">
        <v>205</v>
      </c>
      <c r="D70" s="7" t="s">
        <v>205</v>
      </c>
      <c r="E70" s="5"/>
      <c r="F70" s="4"/>
      <c r="G70" s="7" t="s">
        <v>220</v>
      </c>
      <c r="H70" s="5"/>
      <c r="I70" s="5"/>
      <c r="J70" s="7" t="s">
        <v>221</v>
      </c>
      <c r="K70" s="7" t="s">
        <v>24</v>
      </c>
      <c r="L70" s="7" t="s">
        <v>222</v>
      </c>
      <c r="M70" s="109">
        <v>343735600</v>
      </c>
      <c r="N70" s="111"/>
      <c r="O70" s="109">
        <v>7500000</v>
      </c>
      <c r="P70" s="110"/>
      <c r="Q70" s="109">
        <f t="shared" si="2"/>
        <v>351235600</v>
      </c>
      <c r="R70" s="36">
        <v>343735600</v>
      </c>
      <c r="S70" s="5"/>
      <c r="T70" s="30">
        <v>7500000</v>
      </c>
      <c r="U70" s="5"/>
      <c r="V70" s="5"/>
      <c r="W70" s="28"/>
      <c r="X70" s="28">
        <f t="shared" si="3"/>
        <v>0</v>
      </c>
      <c r="Y70" s="28">
        <f t="shared" si="7"/>
        <v>0</v>
      </c>
      <c r="Z70" s="28">
        <f t="shared" si="5"/>
        <v>0</v>
      </c>
      <c r="AA70" s="4"/>
      <c r="AB70" s="4"/>
      <c r="AC70">
        <f t="shared" si="6"/>
        <v>2</v>
      </c>
    </row>
    <row r="71" spans="1:30" ht="31.2" x14ac:dyDescent="0.3">
      <c r="A71" s="7" t="s">
        <v>53</v>
      </c>
      <c r="B71" s="6">
        <v>58</v>
      </c>
      <c r="C71" s="7" t="s">
        <v>205</v>
      </c>
      <c r="D71" s="7" t="s">
        <v>205</v>
      </c>
      <c r="E71" s="5"/>
      <c r="F71" s="4"/>
      <c r="G71" s="7" t="s">
        <v>223</v>
      </c>
      <c r="H71" s="5"/>
      <c r="I71" s="5"/>
      <c r="J71" s="7" t="s">
        <v>224</v>
      </c>
      <c r="K71" s="7" t="s">
        <v>24</v>
      </c>
      <c r="L71" s="7" t="s">
        <v>225</v>
      </c>
      <c r="M71" s="109">
        <v>102008431</v>
      </c>
      <c r="N71" s="111"/>
      <c r="O71" s="109">
        <v>7500000</v>
      </c>
      <c r="P71" s="110"/>
      <c r="Q71" s="109">
        <f t="shared" si="2"/>
        <v>109508431</v>
      </c>
      <c r="R71" s="36">
        <v>102008431</v>
      </c>
      <c r="S71" s="5"/>
      <c r="T71" s="30">
        <v>7500000</v>
      </c>
      <c r="U71" s="5"/>
      <c r="V71" s="5"/>
      <c r="W71" s="28"/>
      <c r="X71" s="28">
        <f t="shared" si="3"/>
        <v>0</v>
      </c>
      <c r="Y71" s="28">
        <f t="shared" si="7"/>
        <v>0</v>
      </c>
      <c r="Z71" s="28">
        <f t="shared" si="5"/>
        <v>0</v>
      </c>
      <c r="AA71" s="4"/>
      <c r="AB71" s="4"/>
      <c r="AC71">
        <f t="shared" si="6"/>
        <v>2</v>
      </c>
    </row>
    <row r="72" spans="1:30" ht="31.2" x14ac:dyDescent="0.3">
      <c r="A72" s="7" t="s">
        <v>53</v>
      </c>
      <c r="B72" s="6">
        <v>59</v>
      </c>
      <c r="C72" s="7" t="s">
        <v>205</v>
      </c>
      <c r="D72" s="7" t="s">
        <v>205</v>
      </c>
      <c r="E72" s="5"/>
      <c r="F72" s="4"/>
      <c r="G72" s="7" t="s">
        <v>226</v>
      </c>
      <c r="H72" s="5"/>
      <c r="I72" s="5"/>
      <c r="J72" s="7" t="s">
        <v>227</v>
      </c>
      <c r="K72" s="7" t="s">
        <v>24</v>
      </c>
      <c r="L72" s="7" t="s">
        <v>228</v>
      </c>
      <c r="M72" s="109">
        <v>357575520</v>
      </c>
      <c r="N72" s="111"/>
      <c r="O72" s="109">
        <v>7500000</v>
      </c>
      <c r="P72" s="110"/>
      <c r="Q72" s="109">
        <f t="shared" si="2"/>
        <v>365075520</v>
      </c>
      <c r="R72" s="36">
        <v>357575520</v>
      </c>
      <c r="S72" s="5"/>
      <c r="T72" s="30">
        <v>7500000</v>
      </c>
      <c r="U72" s="5"/>
      <c r="V72" s="5"/>
      <c r="W72" s="28"/>
      <c r="X72" s="28">
        <f t="shared" si="3"/>
        <v>0</v>
      </c>
      <c r="Y72" s="28">
        <f t="shared" si="7"/>
        <v>0</v>
      </c>
      <c r="Z72" s="28">
        <f t="shared" si="5"/>
        <v>0</v>
      </c>
      <c r="AA72" s="4"/>
      <c r="AB72" s="4"/>
      <c r="AC72">
        <f t="shared" si="6"/>
        <v>2</v>
      </c>
    </row>
    <row r="73" spans="1:30" ht="31.2" x14ac:dyDescent="0.3">
      <c r="A73" s="7" t="s">
        <v>53</v>
      </c>
      <c r="B73" s="6">
        <v>60</v>
      </c>
      <c r="C73" s="7" t="s">
        <v>205</v>
      </c>
      <c r="D73" s="7" t="s">
        <v>205</v>
      </c>
      <c r="E73" s="7" t="s">
        <v>177</v>
      </c>
      <c r="F73" s="4"/>
      <c r="G73" s="7" t="s">
        <v>229</v>
      </c>
      <c r="H73" s="7" t="s">
        <v>230</v>
      </c>
      <c r="I73" s="5"/>
      <c r="J73" s="7" t="s">
        <v>231</v>
      </c>
      <c r="K73" s="7" t="s">
        <v>24</v>
      </c>
      <c r="L73" s="7" t="s">
        <v>232</v>
      </c>
      <c r="M73" s="109">
        <v>2000913996</v>
      </c>
      <c r="N73" s="109">
        <v>13394304</v>
      </c>
      <c r="O73" s="109">
        <v>7500000</v>
      </c>
      <c r="P73" s="110"/>
      <c r="Q73" s="109">
        <f t="shared" si="2"/>
        <v>2021808300</v>
      </c>
      <c r="R73" s="36">
        <v>2000913996</v>
      </c>
      <c r="S73" s="3">
        <v>13394304</v>
      </c>
      <c r="T73" s="30">
        <v>7500000</v>
      </c>
      <c r="U73" s="5"/>
      <c r="V73" s="5"/>
      <c r="W73" s="28"/>
      <c r="X73" s="28">
        <f t="shared" si="3"/>
        <v>0</v>
      </c>
      <c r="Y73" s="28">
        <f t="shared" si="7"/>
        <v>0</v>
      </c>
      <c r="Z73" s="28">
        <f t="shared" si="5"/>
        <v>0</v>
      </c>
      <c r="AA73" s="4"/>
      <c r="AB73" s="4"/>
      <c r="AC73">
        <f t="shared" si="6"/>
        <v>2</v>
      </c>
    </row>
    <row r="74" spans="1:30" ht="31.2" x14ac:dyDescent="0.3">
      <c r="A74" s="7" t="s">
        <v>62</v>
      </c>
      <c r="B74" s="6">
        <v>61</v>
      </c>
      <c r="C74" s="7" t="s">
        <v>205</v>
      </c>
      <c r="D74" s="7" t="s">
        <v>205</v>
      </c>
      <c r="E74" s="5"/>
      <c r="F74" s="4"/>
      <c r="G74" s="7" t="s">
        <v>233</v>
      </c>
      <c r="H74" s="5"/>
      <c r="I74" s="5"/>
      <c r="J74" s="7" t="s">
        <v>234</v>
      </c>
      <c r="K74" s="7" t="s">
        <v>24</v>
      </c>
      <c r="L74" s="7" t="s">
        <v>235</v>
      </c>
      <c r="M74" s="109">
        <v>11400194400</v>
      </c>
      <c r="N74" s="111"/>
      <c r="O74" s="109">
        <v>7500000</v>
      </c>
      <c r="P74" s="110"/>
      <c r="Q74" s="109">
        <f t="shared" si="2"/>
        <v>11407694400</v>
      </c>
      <c r="R74" s="36">
        <v>11400194400</v>
      </c>
      <c r="S74" s="5"/>
      <c r="T74" s="30">
        <v>7500000</v>
      </c>
      <c r="U74" s="5"/>
      <c r="V74" s="5"/>
      <c r="W74" s="28"/>
      <c r="X74" s="28">
        <f t="shared" si="3"/>
        <v>0</v>
      </c>
      <c r="Y74" s="28">
        <f t="shared" si="7"/>
        <v>0</v>
      </c>
      <c r="Z74" s="28">
        <f t="shared" si="5"/>
        <v>0</v>
      </c>
      <c r="AA74" s="4"/>
      <c r="AB74" s="4"/>
      <c r="AC74">
        <f t="shared" si="6"/>
        <v>2</v>
      </c>
    </row>
    <row r="75" spans="1:30" ht="31.2" x14ac:dyDescent="0.3">
      <c r="A75" s="7" t="s">
        <v>18</v>
      </c>
      <c r="B75" s="6">
        <v>62</v>
      </c>
      <c r="C75" s="7" t="s">
        <v>205</v>
      </c>
      <c r="D75" s="7" t="s">
        <v>205</v>
      </c>
      <c r="E75" s="5"/>
      <c r="F75" s="4"/>
      <c r="G75" s="7" t="s">
        <v>236</v>
      </c>
      <c r="H75" s="5"/>
      <c r="I75" s="5"/>
      <c r="J75" s="7" t="s">
        <v>237</v>
      </c>
      <c r="K75" s="7" t="s">
        <v>24</v>
      </c>
      <c r="L75" s="7" t="s">
        <v>238</v>
      </c>
      <c r="M75" s="109">
        <v>859537200</v>
      </c>
      <c r="N75" s="111"/>
      <c r="O75" s="109">
        <v>7500000</v>
      </c>
      <c r="P75" s="110"/>
      <c r="Q75" s="109">
        <f t="shared" si="2"/>
        <v>867037200</v>
      </c>
      <c r="R75" s="36">
        <v>859537200</v>
      </c>
      <c r="S75" s="5"/>
      <c r="T75" s="30">
        <v>7500000</v>
      </c>
      <c r="U75" s="5"/>
      <c r="V75" s="5"/>
      <c r="W75" s="28"/>
      <c r="X75" s="28">
        <f t="shared" si="3"/>
        <v>0</v>
      </c>
      <c r="Y75" s="28">
        <f t="shared" si="7"/>
        <v>0</v>
      </c>
      <c r="Z75" s="28">
        <f t="shared" si="5"/>
        <v>0</v>
      </c>
      <c r="AA75" s="4"/>
      <c r="AB75" s="4"/>
      <c r="AC75">
        <f t="shared" si="6"/>
        <v>2</v>
      </c>
    </row>
    <row r="76" spans="1:30" ht="31.2" x14ac:dyDescent="0.3">
      <c r="A76" s="7" t="s">
        <v>46</v>
      </c>
      <c r="B76" s="6">
        <v>63</v>
      </c>
      <c r="C76" s="7" t="s">
        <v>205</v>
      </c>
      <c r="D76" s="7" t="s">
        <v>205</v>
      </c>
      <c r="E76" s="7"/>
      <c r="F76" s="4"/>
      <c r="G76" s="7" t="s">
        <v>239</v>
      </c>
      <c r="H76" s="7"/>
      <c r="I76" s="7"/>
      <c r="J76" s="7" t="s">
        <v>240</v>
      </c>
      <c r="K76" s="7" t="s">
        <v>24</v>
      </c>
      <c r="L76" s="7" t="s">
        <v>241</v>
      </c>
      <c r="M76" s="109">
        <v>0</v>
      </c>
      <c r="N76" s="111"/>
      <c r="O76" s="109">
        <v>7500000</v>
      </c>
      <c r="P76" s="110"/>
      <c r="Q76" s="109">
        <f t="shared" si="2"/>
        <v>7500000</v>
      </c>
      <c r="R76" s="6">
        <v>0</v>
      </c>
      <c r="S76" s="5"/>
      <c r="T76" s="72"/>
      <c r="U76" s="5"/>
      <c r="V76" s="5"/>
      <c r="W76" s="28"/>
      <c r="X76" s="28">
        <f t="shared" si="3"/>
        <v>0</v>
      </c>
      <c r="Y76" s="36">
        <f t="shared" si="7"/>
        <v>7500000</v>
      </c>
      <c r="Z76" s="28">
        <f t="shared" si="5"/>
        <v>0</v>
      </c>
      <c r="AA76" s="4"/>
      <c r="AB76" s="40"/>
      <c r="AC76" s="121">
        <f t="shared" si="6"/>
        <v>2</v>
      </c>
      <c r="AD76" s="121"/>
    </row>
    <row r="77" spans="1:30" ht="31.2" x14ac:dyDescent="0.3">
      <c r="A77" s="7" t="s">
        <v>46</v>
      </c>
      <c r="B77" s="6">
        <v>64</v>
      </c>
      <c r="C77" s="7" t="s">
        <v>205</v>
      </c>
      <c r="D77" s="7" t="s">
        <v>205</v>
      </c>
      <c r="E77" s="5"/>
      <c r="F77" s="4"/>
      <c r="G77" s="7" t="s">
        <v>242</v>
      </c>
      <c r="H77" s="5"/>
      <c r="I77" s="5"/>
      <c r="J77" s="7" t="s">
        <v>243</v>
      </c>
      <c r="K77" s="7" t="s">
        <v>24</v>
      </c>
      <c r="L77" s="7" t="s">
        <v>244</v>
      </c>
      <c r="M77" s="109">
        <v>47859600</v>
      </c>
      <c r="N77" s="111"/>
      <c r="O77" s="109">
        <v>7500000</v>
      </c>
      <c r="P77" s="110"/>
      <c r="Q77" s="109">
        <f t="shared" si="2"/>
        <v>55359600</v>
      </c>
      <c r="R77" s="36">
        <v>47859600</v>
      </c>
      <c r="S77" s="5"/>
      <c r="T77" s="30">
        <v>7500000</v>
      </c>
      <c r="U77" s="5"/>
      <c r="V77" s="5"/>
      <c r="W77" s="28"/>
      <c r="X77" s="28">
        <f t="shared" si="3"/>
        <v>0</v>
      </c>
      <c r="Y77" s="28">
        <f t="shared" si="7"/>
        <v>0</v>
      </c>
      <c r="Z77" s="28">
        <f t="shared" si="5"/>
        <v>0</v>
      </c>
      <c r="AA77" s="4"/>
      <c r="AB77" s="4"/>
      <c r="AC77">
        <f t="shared" si="6"/>
        <v>2</v>
      </c>
    </row>
    <row r="78" spans="1:30" ht="31.2" x14ac:dyDescent="0.3">
      <c r="A78" s="7" t="s">
        <v>26</v>
      </c>
      <c r="B78" s="6">
        <v>65</v>
      </c>
      <c r="C78" s="7" t="s">
        <v>205</v>
      </c>
      <c r="D78" s="7" t="s">
        <v>205</v>
      </c>
      <c r="E78" s="5"/>
      <c r="F78" s="4"/>
      <c r="G78" s="7" t="s">
        <v>245</v>
      </c>
      <c r="H78" s="5"/>
      <c r="I78" s="7" t="s">
        <v>28</v>
      </c>
      <c r="J78" s="7" t="s">
        <v>246</v>
      </c>
      <c r="K78" s="7" t="s">
        <v>24</v>
      </c>
      <c r="L78" s="7" t="s">
        <v>247</v>
      </c>
      <c r="M78" s="109">
        <v>0</v>
      </c>
      <c r="N78" s="111"/>
      <c r="O78" s="74"/>
      <c r="P78" s="110"/>
      <c r="Q78" s="109">
        <f t="shared" si="2"/>
        <v>0</v>
      </c>
      <c r="R78" s="6">
        <v>0</v>
      </c>
      <c r="S78" s="5"/>
      <c r="T78" s="31"/>
      <c r="U78" s="5"/>
      <c r="V78" s="5"/>
      <c r="W78" s="28"/>
      <c r="X78" s="28">
        <f t="shared" si="3"/>
        <v>0</v>
      </c>
      <c r="Y78" s="28">
        <f t="shared" si="7"/>
        <v>0</v>
      </c>
      <c r="Z78" s="28">
        <f t="shared" si="5"/>
        <v>0</v>
      </c>
      <c r="AA78" s="4"/>
      <c r="AB78" s="4"/>
      <c r="AC78">
        <f t="shared" si="6"/>
        <v>2</v>
      </c>
    </row>
    <row r="79" spans="1:30" ht="31.2" x14ac:dyDescent="0.3">
      <c r="A79" s="7" t="s">
        <v>18</v>
      </c>
      <c r="B79" s="6">
        <v>66</v>
      </c>
      <c r="C79" s="7" t="s">
        <v>205</v>
      </c>
      <c r="D79" s="7" t="s">
        <v>205</v>
      </c>
      <c r="E79" s="5"/>
      <c r="F79" s="4"/>
      <c r="G79" s="7" t="s">
        <v>248</v>
      </c>
      <c r="H79" s="5"/>
      <c r="I79" s="5"/>
      <c r="J79" s="7" t="s">
        <v>249</v>
      </c>
      <c r="K79" s="7" t="s">
        <v>24</v>
      </c>
      <c r="L79" s="7" t="s">
        <v>250</v>
      </c>
      <c r="M79" s="109">
        <v>440907010</v>
      </c>
      <c r="N79" s="111"/>
      <c r="O79" s="109">
        <v>7500000</v>
      </c>
      <c r="P79" s="110"/>
      <c r="Q79" s="109">
        <f t="shared" ref="Q79:Q142" si="8">M79+N79+O79+P79</f>
        <v>448407010</v>
      </c>
      <c r="R79" s="36">
        <v>440907010</v>
      </c>
      <c r="S79" s="5"/>
      <c r="T79" s="30">
        <v>7500000</v>
      </c>
      <c r="U79" s="5"/>
      <c r="V79" s="5"/>
      <c r="W79" s="28"/>
      <c r="X79" s="28">
        <f t="shared" ref="X79:X142" si="9">N79-S79</f>
        <v>0</v>
      </c>
      <c r="Y79" s="28">
        <f t="shared" ref="Y79:Y142" si="10">O79-T79</f>
        <v>0</v>
      </c>
      <c r="Z79" s="28">
        <f t="shared" ref="Z79:Z142" si="11">P79-U79</f>
        <v>0</v>
      </c>
      <c r="AA79" s="4"/>
      <c r="AB79" s="4"/>
      <c r="AC79">
        <f t="shared" ref="AC79:AC142" si="12">IF(AB79=G79,1,2)</f>
        <v>2</v>
      </c>
    </row>
    <row r="80" spans="1:30" ht="31.2" x14ac:dyDescent="0.3">
      <c r="A80" s="7" t="s">
        <v>62</v>
      </c>
      <c r="B80" s="6">
        <v>67</v>
      </c>
      <c r="C80" s="7" t="s">
        <v>205</v>
      </c>
      <c r="D80" s="7" t="s">
        <v>205</v>
      </c>
      <c r="E80" s="7" t="s">
        <v>158</v>
      </c>
      <c r="F80" s="4"/>
      <c r="G80" s="7" t="s">
        <v>251</v>
      </c>
      <c r="H80" s="7" t="s">
        <v>252</v>
      </c>
      <c r="I80" s="5"/>
      <c r="J80" s="7" t="s">
        <v>253</v>
      </c>
      <c r="K80" s="7" t="s">
        <v>24</v>
      </c>
      <c r="L80" s="7" t="s">
        <v>254</v>
      </c>
      <c r="M80" s="109">
        <v>880761416</v>
      </c>
      <c r="N80" s="109">
        <v>111348888</v>
      </c>
      <c r="O80" s="109">
        <v>15000000</v>
      </c>
      <c r="P80" s="110"/>
      <c r="Q80" s="109">
        <f t="shared" si="8"/>
        <v>1007110304</v>
      </c>
      <c r="R80" s="36">
        <v>880761416</v>
      </c>
      <c r="S80" s="3">
        <v>111348888</v>
      </c>
      <c r="T80" s="30">
        <v>15000000</v>
      </c>
      <c r="U80" s="5"/>
      <c r="V80" s="5"/>
      <c r="W80" s="28"/>
      <c r="X80" s="28">
        <f t="shared" si="9"/>
        <v>0</v>
      </c>
      <c r="Y80" s="28">
        <f t="shared" si="10"/>
        <v>0</v>
      </c>
      <c r="Z80" s="28">
        <f t="shared" si="11"/>
        <v>0</v>
      </c>
      <c r="AA80" s="4"/>
      <c r="AB80" s="4"/>
      <c r="AC80">
        <f t="shared" si="12"/>
        <v>2</v>
      </c>
    </row>
    <row r="81" spans="1:30" ht="31.2" x14ac:dyDescent="0.3">
      <c r="A81" s="7" t="s">
        <v>53</v>
      </c>
      <c r="B81" s="6">
        <v>68</v>
      </c>
      <c r="C81" s="7" t="s">
        <v>205</v>
      </c>
      <c r="D81" s="7" t="s">
        <v>205</v>
      </c>
      <c r="E81" s="5"/>
      <c r="F81" s="4"/>
      <c r="G81" s="7" t="s">
        <v>255</v>
      </c>
      <c r="H81" s="5"/>
      <c r="I81" s="7" t="s">
        <v>256</v>
      </c>
      <c r="J81" s="7" t="s">
        <v>257</v>
      </c>
      <c r="K81" s="7" t="s">
        <v>24</v>
      </c>
      <c r="L81" s="7" t="s">
        <v>258</v>
      </c>
      <c r="M81" s="109">
        <v>3692631136</v>
      </c>
      <c r="N81" s="111"/>
      <c r="O81" s="109">
        <v>15000000</v>
      </c>
      <c r="P81" s="110"/>
      <c r="Q81" s="109">
        <f t="shared" si="8"/>
        <v>3707631136</v>
      </c>
      <c r="R81" s="36">
        <v>3692631136</v>
      </c>
      <c r="S81" s="5"/>
      <c r="T81" s="30">
        <v>15000000</v>
      </c>
      <c r="U81" s="5"/>
      <c r="V81" s="5"/>
      <c r="W81" s="28"/>
      <c r="X81" s="28">
        <f t="shared" si="9"/>
        <v>0</v>
      </c>
      <c r="Y81" s="28">
        <f t="shared" si="10"/>
        <v>0</v>
      </c>
      <c r="Z81" s="28">
        <f t="shared" si="11"/>
        <v>0</v>
      </c>
      <c r="AA81" s="4"/>
      <c r="AB81" s="4"/>
      <c r="AC81">
        <f t="shared" si="12"/>
        <v>2</v>
      </c>
    </row>
    <row r="82" spans="1:30" ht="93.6" x14ac:dyDescent="0.3">
      <c r="A82" s="7" t="s">
        <v>53</v>
      </c>
      <c r="B82" s="6">
        <v>69</v>
      </c>
      <c r="C82" s="7" t="s">
        <v>205</v>
      </c>
      <c r="D82" s="7" t="s">
        <v>205</v>
      </c>
      <c r="E82" s="7" t="s">
        <v>259</v>
      </c>
      <c r="F82" s="4"/>
      <c r="G82" s="7" t="s">
        <v>260</v>
      </c>
      <c r="H82" s="7" t="s">
        <v>261</v>
      </c>
      <c r="I82" s="5"/>
      <c r="J82" s="7" t="s">
        <v>262</v>
      </c>
      <c r="K82" s="7" t="s">
        <v>24</v>
      </c>
      <c r="L82" s="7" t="s">
        <v>263</v>
      </c>
      <c r="M82" s="109">
        <v>10741645000</v>
      </c>
      <c r="N82" s="109">
        <v>2472792800</v>
      </c>
      <c r="O82" s="113">
        <v>15000000</v>
      </c>
      <c r="P82" s="110"/>
      <c r="Q82" s="109">
        <f t="shared" si="8"/>
        <v>13229437800</v>
      </c>
      <c r="R82" s="36">
        <v>10741645000</v>
      </c>
      <c r="S82" s="3">
        <v>2472792800</v>
      </c>
      <c r="T82" s="32">
        <v>15000000</v>
      </c>
      <c r="U82" s="5"/>
      <c r="V82" s="5"/>
      <c r="W82" s="28"/>
      <c r="X82" s="28">
        <f t="shared" si="9"/>
        <v>0</v>
      </c>
      <c r="Y82" s="28">
        <f t="shared" si="10"/>
        <v>0</v>
      </c>
      <c r="Z82" s="28">
        <f t="shared" si="11"/>
        <v>0</v>
      </c>
      <c r="AA82" s="4"/>
      <c r="AB82" s="4"/>
      <c r="AC82">
        <f t="shared" si="12"/>
        <v>2</v>
      </c>
    </row>
    <row r="83" spans="1:30" ht="31.2" x14ac:dyDescent="0.3">
      <c r="A83" s="7" t="s">
        <v>62</v>
      </c>
      <c r="B83" s="6">
        <v>70</v>
      </c>
      <c r="C83" s="7" t="s">
        <v>205</v>
      </c>
      <c r="D83" s="7" t="s">
        <v>205</v>
      </c>
      <c r="E83" s="5"/>
      <c r="F83" s="40" t="s">
        <v>264</v>
      </c>
      <c r="G83" s="7" t="s">
        <v>265</v>
      </c>
      <c r="H83" s="5"/>
      <c r="I83" s="5"/>
      <c r="J83" s="7" t="s">
        <v>266</v>
      </c>
      <c r="K83" s="7" t="s">
        <v>24</v>
      </c>
      <c r="L83" s="7" t="s">
        <v>267</v>
      </c>
      <c r="M83" s="109">
        <v>3419539969</v>
      </c>
      <c r="N83" s="111"/>
      <c r="O83" s="109">
        <v>15000000</v>
      </c>
      <c r="P83" s="112">
        <v>96000000</v>
      </c>
      <c r="Q83" s="109">
        <f t="shared" si="8"/>
        <v>3530539969</v>
      </c>
      <c r="R83" s="36">
        <v>3419539969</v>
      </c>
      <c r="S83" s="5"/>
      <c r="T83" s="30">
        <v>15000000</v>
      </c>
      <c r="U83" s="3">
        <v>96000000</v>
      </c>
      <c r="V83" s="5"/>
      <c r="W83" s="28"/>
      <c r="X83" s="28">
        <f t="shared" si="9"/>
        <v>0</v>
      </c>
      <c r="Y83" s="28">
        <f t="shared" si="10"/>
        <v>0</v>
      </c>
      <c r="Z83" s="28">
        <f t="shared" si="11"/>
        <v>0</v>
      </c>
      <c r="AA83" s="4"/>
      <c r="AB83" s="4"/>
      <c r="AC83">
        <f t="shared" si="12"/>
        <v>2</v>
      </c>
    </row>
    <row r="84" spans="1:30" ht="31.2" x14ac:dyDescent="0.3">
      <c r="A84" s="7" t="s">
        <v>53</v>
      </c>
      <c r="B84" s="6">
        <v>71</v>
      </c>
      <c r="C84" s="7" t="s">
        <v>268</v>
      </c>
      <c r="D84" s="7" t="s">
        <v>268</v>
      </c>
      <c r="E84" s="5"/>
      <c r="F84" s="4"/>
      <c r="G84" s="7" t="s">
        <v>269</v>
      </c>
      <c r="H84" s="5"/>
      <c r="I84" s="5"/>
      <c r="J84" s="7" t="s">
        <v>270</v>
      </c>
      <c r="K84" s="7" t="s">
        <v>24</v>
      </c>
      <c r="L84" s="7" t="s">
        <v>271</v>
      </c>
      <c r="M84" s="109">
        <v>4963312906</v>
      </c>
      <c r="N84" s="111"/>
      <c r="O84" s="109">
        <v>7500000</v>
      </c>
      <c r="P84" s="110"/>
      <c r="Q84" s="109">
        <f t="shared" si="8"/>
        <v>4970812906</v>
      </c>
      <c r="R84" s="3">
        <v>4963312906</v>
      </c>
      <c r="S84" s="5"/>
      <c r="T84" s="30">
        <v>7500000</v>
      </c>
      <c r="U84" s="5"/>
      <c r="V84" s="5"/>
      <c r="W84" s="28"/>
      <c r="X84" s="28">
        <f t="shared" si="9"/>
        <v>0</v>
      </c>
      <c r="Y84" s="28">
        <f t="shared" si="10"/>
        <v>0</v>
      </c>
      <c r="Z84" s="28">
        <f t="shared" si="11"/>
        <v>0</v>
      </c>
      <c r="AA84" s="4"/>
      <c r="AB84" s="4"/>
      <c r="AC84">
        <f t="shared" si="12"/>
        <v>2</v>
      </c>
    </row>
    <row r="85" spans="1:30" ht="31.2" x14ac:dyDescent="0.3">
      <c r="A85" s="7" t="s">
        <v>53</v>
      </c>
      <c r="B85" s="6">
        <v>72</v>
      </c>
      <c r="C85" s="7" t="s">
        <v>268</v>
      </c>
      <c r="D85" s="7" t="s">
        <v>268</v>
      </c>
      <c r="E85" s="5"/>
      <c r="F85" s="4"/>
      <c r="G85" s="7" t="s">
        <v>272</v>
      </c>
      <c r="H85" s="5"/>
      <c r="I85" s="5"/>
      <c r="J85" s="7" t="s">
        <v>273</v>
      </c>
      <c r="K85" s="7" t="s">
        <v>24</v>
      </c>
      <c r="L85" s="7" t="s">
        <v>274</v>
      </c>
      <c r="M85" s="109">
        <v>456501640</v>
      </c>
      <c r="N85" s="111"/>
      <c r="O85" s="109">
        <v>7500000</v>
      </c>
      <c r="P85" s="110"/>
      <c r="Q85" s="109">
        <f t="shared" si="8"/>
        <v>464001640</v>
      </c>
      <c r="R85" s="3">
        <v>456501640</v>
      </c>
      <c r="S85" s="5"/>
      <c r="T85" s="30">
        <v>7500000</v>
      </c>
      <c r="U85" s="5"/>
      <c r="V85" s="5"/>
      <c r="W85" s="28"/>
      <c r="X85" s="28">
        <f t="shared" si="9"/>
        <v>0</v>
      </c>
      <c r="Y85" s="28">
        <f t="shared" si="10"/>
        <v>0</v>
      </c>
      <c r="Z85" s="28">
        <f t="shared" si="11"/>
        <v>0</v>
      </c>
      <c r="AA85" s="4"/>
      <c r="AB85" s="4"/>
      <c r="AC85">
        <f t="shared" si="12"/>
        <v>2</v>
      </c>
    </row>
    <row r="86" spans="1:30" ht="31.2" x14ac:dyDescent="0.3">
      <c r="A86" s="7" t="s">
        <v>18</v>
      </c>
      <c r="B86" s="6">
        <v>73</v>
      </c>
      <c r="C86" s="7" t="s">
        <v>268</v>
      </c>
      <c r="D86" s="7" t="s">
        <v>268</v>
      </c>
      <c r="E86" s="5"/>
      <c r="F86" s="4"/>
      <c r="G86" s="7" t="s">
        <v>275</v>
      </c>
      <c r="H86" s="5"/>
      <c r="I86" s="5"/>
      <c r="J86" s="7" t="s">
        <v>276</v>
      </c>
      <c r="K86" s="7" t="s">
        <v>24</v>
      </c>
      <c r="L86" s="7" t="s">
        <v>277</v>
      </c>
      <c r="M86" s="109">
        <v>1758077820</v>
      </c>
      <c r="N86" s="111"/>
      <c r="O86" s="109">
        <v>7500000</v>
      </c>
      <c r="P86" s="110"/>
      <c r="Q86" s="109">
        <f t="shared" si="8"/>
        <v>1765577820</v>
      </c>
      <c r="R86" s="36">
        <v>1758077820</v>
      </c>
      <c r="S86" s="5"/>
      <c r="T86" s="30">
        <v>7500000</v>
      </c>
      <c r="U86" s="5"/>
      <c r="V86" s="5"/>
      <c r="W86" s="28"/>
      <c r="X86" s="28">
        <f t="shared" si="9"/>
        <v>0</v>
      </c>
      <c r="Y86" s="28">
        <f t="shared" si="10"/>
        <v>0</v>
      </c>
      <c r="Z86" s="28">
        <f t="shared" si="11"/>
        <v>0</v>
      </c>
      <c r="AA86" s="4"/>
      <c r="AB86" s="4"/>
      <c r="AC86">
        <f t="shared" si="12"/>
        <v>2</v>
      </c>
    </row>
    <row r="87" spans="1:30" ht="31.2" x14ac:dyDescent="0.3">
      <c r="A87" s="7" t="s">
        <v>18</v>
      </c>
      <c r="B87" s="6">
        <v>74</v>
      </c>
      <c r="C87" s="7" t="s">
        <v>268</v>
      </c>
      <c r="D87" s="7" t="s">
        <v>268</v>
      </c>
      <c r="E87" s="5"/>
      <c r="F87" s="4"/>
      <c r="G87" s="7" t="s">
        <v>278</v>
      </c>
      <c r="H87" s="5"/>
      <c r="I87" s="5"/>
      <c r="J87" s="7" t="s">
        <v>279</v>
      </c>
      <c r="K87" s="7" t="s">
        <v>24</v>
      </c>
      <c r="L87" s="7" t="s">
        <v>280</v>
      </c>
      <c r="M87" s="109">
        <v>383790570</v>
      </c>
      <c r="N87" s="111"/>
      <c r="O87" s="109">
        <v>7500000</v>
      </c>
      <c r="P87" s="110"/>
      <c r="Q87" s="109">
        <f t="shared" si="8"/>
        <v>391290570</v>
      </c>
      <c r="R87" s="36">
        <v>383790570</v>
      </c>
      <c r="S87" s="5"/>
      <c r="T87" s="30">
        <v>7500000</v>
      </c>
      <c r="U87" s="5"/>
      <c r="V87" s="5"/>
      <c r="W87" s="28"/>
      <c r="X87" s="28">
        <f t="shared" si="9"/>
        <v>0</v>
      </c>
      <c r="Y87" s="28">
        <f t="shared" si="10"/>
        <v>0</v>
      </c>
      <c r="Z87" s="28">
        <f t="shared" si="11"/>
        <v>0</v>
      </c>
      <c r="AA87" s="4"/>
      <c r="AB87" s="4"/>
      <c r="AC87">
        <f t="shared" si="12"/>
        <v>2</v>
      </c>
    </row>
    <row r="88" spans="1:30" ht="31.2" x14ac:dyDescent="0.3">
      <c r="A88" s="7" t="s">
        <v>53</v>
      </c>
      <c r="B88" s="6">
        <v>75</v>
      </c>
      <c r="C88" s="7" t="s">
        <v>268</v>
      </c>
      <c r="D88" s="7" t="s">
        <v>268</v>
      </c>
      <c r="E88" s="5"/>
      <c r="F88" s="4"/>
      <c r="G88" s="7" t="s">
        <v>281</v>
      </c>
      <c r="H88" s="5"/>
      <c r="I88" s="5"/>
      <c r="J88" s="7" t="s">
        <v>282</v>
      </c>
      <c r="K88" s="7" t="s">
        <v>24</v>
      </c>
      <c r="L88" s="7" t="s">
        <v>283</v>
      </c>
      <c r="M88" s="109">
        <v>284423790</v>
      </c>
      <c r="N88" s="111"/>
      <c r="O88" s="109">
        <v>7500000</v>
      </c>
      <c r="P88" s="110"/>
      <c r="Q88" s="109">
        <f t="shared" si="8"/>
        <v>291923790</v>
      </c>
      <c r="R88" s="3">
        <v>284423790</v>
      </c>
      <c r="S88" s="5"/>
      <c r="T88" s="30">
        <v>7500000</v>
      </c>
      <c r="U88" s="5"/>
      <c r="V88" s="5"/>
      <c r="W88" s="28"/>
      <c r="X88" s="28">
        <f t="shared" si="9"/>
        <v>0</v>
      </c>
      <c r="Y88" s="28">
        <f t="shared" si="10"/>
        <v>0</v>
      </c>
      <c r="Z88" s="28">
        <f t="shared" si="11"/>
        <v>0</v>
      </c>
      <c r="AA88" s="4"/>
      <c r="AB88" s="4"/>
      <c r="AC88">
        <f t="shared" si="12"/>
        <v>2</v>
      </c>
    </row>
    <row r="89" spans="1:30" ht="31.2" x14ac:dyDescent="0.3">
      <c r="A89" s="7" t="s">
        <v>53</v>
      </c>
      <c r="B89" s="6">
        <v>76</v>
      </c>
      <c r="C89" s="7" t="s">
        <v>268</v>
      </c>
      <c r="D89" s="7" t="s">
        <v>268</v>
      </c>
      <c r="E89" s="5"/>
      <c r="F89" s="4"/>
      <c r="G89" s="7" t="s">
        <v>284</v>
      </c>
      <c r="H89" s="5"/>
      <c r="I89" s="5"/>
      <c r="J89" s="7" t="s">
        <v>285</v>
      </c>
      <c r="K89" s="7" t="s">
        <v>24</v>
      </c>
      <c r="L89" s="7" t="s">
        <v>286</v>
      </c>
      <c r="M89" s="109">
        <v>169129920</v>
      </c>
      <c r="N89" s="111"/>
      <c r="O89" s="109">
        <v>7500000</v>
      </c>
      <c r="P89" s="110"/>
      <c r="Q89" s="109">
        <f t="shared" si="8"/>
        <v>176629920</v>
      </c>
      <c r="R89" s="9">
        <v>169129920</v>
      </c>
      <c r="S89" s="5"/>
      <c r="T89" s="30">
        <v>7500000</v>
      </c>
      <c r="U89" s="5"/>
      <c r="V89" s="5"/>
      <c r="W89" s="28"/>
      <c r="X89" s="28">
        <f t="shared" si="9"/>
        <v>0</v>
      </c>
      <c r="Y89" s="28">
        <f t="shared" si="10"/>
        <v>0</v>
      </c>
      <c r="Z89" s="28">
        <f t="shared" si="11"/>
        <v>0</v>
      </c>
      <c r="AA89" s="4"/>
      <c r="AB89" s="4"/>
      <c r="AC89">
        <f t="shared" si="12"/>
        <v>2</v>
      </c>
    </row>
    <row r="90" spans="1:30" ht="31.2" x14ac:dyDescent="0.3">
      <c r="A90" s="7" t="s">
        <v>62</v>
      </c>
      <c r="B90" s="6">
        <v>77</v>
      </c>
      <c r="C90" s="7" t="s">
        <v>268</v>
      </c>
      <c r="D90" s="7" t="s">
        <v>268</v>
      </c>
      <c r="E90" s="5"/>
      <c r="F90" s="4"/>
      <c r="G90" s="7" t="s">
        <v>287</v>
      </c>
      <c r="H90" s="5"/>
      <c r="I90" s="5"/>
      <c r="J90" s="7" t="s">
        <v>288</v>
      </c>
      <c r="K90" s="7" t="s">
        <v>24</v>
      </c>
      <c r="L90" s="7" t="s">
        <v>289</v>
      </c>
      <c r="M90" s="109">
        <v>256763700</v>
      </c>
      <c r="N90" s="111"/>
      <c r="O90" s="109">
        <v>7500000</v>
      </c>
      <c r="P90" s="110"/>
      <c r="Q90" s="109">
        <f t="shared" si="8"/>
        <v>264263700</v>
      </c>
      <c r="R90" s="3">
        <v>256763700</v>
      </c>
      <c r="S90" s="5"/>
      <c r="T90" s="30">
        <v>7500000</v>
      </c>
      <c r="U90" s="5"/>
      <c r="V90" s="5"/>
      <c r="W90" s="28"/>
      <c r="X90" s="28">
        <f t="shared" si="9"/>
        <v>0</v>
      </c>
      <c r="Y90" s="28">
        <f t="shared" si="10"/>
        <v>0</v>
      </c>
      <c r="Z90" s="28">
        <f t="shared" si="11"/>
        <v>0</v>
      </c>
      <c r="AA90" s="4"/>
      <c r="AB90" s="4"/>
      <c r="AC90">
        <f t="shared" si="12"/>
        <v>2</v>
      </c>
    </row>
    <row r="91" spans="1:30" ht="31.2" x14ac:dyDescent="0.3">
      <c r="A91" s="7" t="s">
        <v>62</v>
      </c>
      <c r="B91" s="6">
        <v>78</v>
      </c>
      <c r="C91" s="7" t="s">
        <v>268</v>
      </c>
      <c r="D91" s="7" t="s">
        <v>268</v>
      </c>
      <c r="E91" s="5"/>
      <c r="F91" s="4"/>
      <c r="G91" s="7" t="s">
        <v>290</v>
      </c>
      <c r="H91" s="5"/>
      <c r="I91" s="5"/>
      <c r="J91" s="7" t="s">
        <v>291</v>
      </c>
      <c r="K91" s="7" t="s">
        <v>24</v>
      </c>
      <c r="L91" s="7" t="s">
        <v>292</v>
      </c>
      <c r="M91" s="109">
        <v>422510140</v>
      </c>
      <c r="N91" s="111"/>
      <c r="O91" s="109">
        <v>7500000</v>
      </c>
      <c r="P91" s="110"/>
      <c r="Q91" s="109">
        <f t="shared" si="8"/>
        <v>430010140</v>
      </c>
      <c r="R91" s="3">
        <v>422510140</v>
      </c>
      <c r="S91" s="5"/>
      <c r="T91" s="30">
        <v>7500000</v>
      </c>
      <c r="U91" s="5"/>
      <c r="V91" s="5"/>
      <c r="W91" s="28"/>
      <c r="X91" s="28">
        <f t="shared" si="9"/>
        <v>0</v>
      </c>
      <c r="Y91" s="28">
        <f t="shared" si="10"/>
        <v>0</v>
      </c>
      <c r="Z91" s="28">
        <f t="shared" si="11"/>
        <v>0</v>
      </c>
      <c r="AA91" s="4"/>
      <c r="AB91" s="4"/>
      <c r="AC91">
        <f t="shared" si="12"/>
        <v>2</v>
      </c>
    </row>
    <row r="92" spans="1:30" ht="31.2" x14ac:dyDescent="0.3">
      <c r="A92" s="7" t="s">
        <v>53</v>
      </c>
      <c r="B92" s="6">
        <v>79</v>
      </c>
      <c r="C92" s="7" t="s">
        <v>268</v>
      </c>
      <c r="D92" s="7" t="s">
        <v>268</v>
      </c>
      <c r="E92" s="5"/>
      <c r="F92" s="4"/>
      <c r="G92" s="7" t="s">
        <v>293</v>
      </c>
      <c r="H92" s="7" t="s">
        <v>294</v>
      </c>
      <c r="I92" s="5"/>
      <c r="J92" s="7" t="s">
        <v>295</v>
      </c>
      <c r="K92" s="7" t="s">
        <v>24</v>
      </c>
      <c r="L92" s="7" t="s">
        <v>296</v>
      </c>
      <c r="M92" s="109">
        <v>3622960192</v>
      </c>
      <c r="N92" s="111"/>
      <c r="O92" s="109">
        <v>15000000</v>
      </c>
      <c r="P92" s="110"/>
      <c r="Q92" s="109">
        <f t="shared" si="8"/>
        <v>3637960192</v>
      </c>
      <c r="R92" s="3">
        <v>3622960192</v>
      </c>
      <c r="S92" s="5"/>
      <c r="T92" s="30">
        <v>15000000</v>
      </c>
      <c r="U92" s="5"/>
      <c r="V92" s="5"/>
      <c r="W92" s="28"/>
      <c r="X92" s="28">
        <f t="shared" si="9"/>
        <v>0</v>
      </c>
      <c r="Y92" s="28">
        <f t="shared" si="10"/>
        <v>0</v>
      </c>
      <c r="Z92" s="28">
        <f t="shared" si="11"/>
        <v>0</v>
      </c>
      <c r="AA92" s="4"/>
      <c r="AB92" s="4"/>
      <c r="AC92">
        <f t="shared" si="12"/>
        <v>2</v>
      </c>
    </row>
    <row r="93" spans="1:30" ht="31.2" x14ac:dyDescent="0.3">
      <c r="A93" s="7" t="s">
        <v>18</v>
      </c>
      <c r="B93" s="6">
        <v>80</v>
      </c>
      <c r="C93" s="7" t="s">
        <v>297</v>
      </c>
      <c r="D93" s="7" t="s">
        <v>297</v>
      </c>
      <c r="E93" s="5"/>
      <c r="F93" s="4"/>
      <c r="G93" s="7" t="s">
        <v>298</v>
      </c>
      <c r="H93" s="5"/>
      <c r="I93" s="5"/>
      <c r="J93" s="7" t="s">
        <v>299</v>
      </c>
      <c r="K93" s="7" t="s">
        <v>24</v>
      </c>
      <c r="L93" s="7" t="s">
        <v>300</v>
      </c>
      <c r="M93" s="109">
        <v>416448900</v>
      </c>
      <c r="N93" s="111"/>
      <c r="O93" s="109">
        <v>7500000</v>
      </c>
      <c r="P93" s="110"/>
      <c r="Q93" s="109">
        <f t="shared" si="8"/>
        <v>423948900</v>
      </c>
      <c r="R93" s="3">
        <v>416448900</v>
      </c>
      <c r="S93" s="5"/>
      <c r="T93" s="30">
        <v>7500000</v>
      </c>
      <c r="U93" s="5"/>
      <c r="V93" s="5"/>
      <c r="W93" s="28"/>
      <c r="X93" s="28">
        <f t="shared" si="9"/>
        <v>0</v>
      </c>
      <c r="Y93" s="28">
        <f t="shared" si="10"/>
        <v>0</v>
      </c>
      <c r="Z93" s="28">
        <f t="shared" si="11"/>
        <v>0</v>
      </c>
      <c r="AA93" s="4"/>
      <c r="AB93" s="4"/>
      <c r="AC93">
        <f t="shared" si="12"/>
        <v>2</v>
      </c>
    </row>
    <row r="94" spans="1:30" ht="31.2" x14ac:dyDescent="0.3">
      <c r="A94" s="7" t="s">
        <v>18</v>
      </c>
      <c r="B94" s="6">
        <v>81</v>
      </c>
      <c r="C94" s="7" t="s">
        <v>297</v>
      </c>
      <c r="D94" s="7" t="s">
        <v>297</v>
      </c>
      <c r="E94" s="5"/>
      <c r="F94" s="4"/>
      <c r="G94" s="7" t="s">
        <v>301</v>
      </c>
      <c r="H94" s="5"/>
      <c r="I94" s="5"/>
      <c r="J94" s="7" t="s">
        <v>302</v>
      </c>
      <c r="K94" s="7" t="s">
        <v>24</v>
      </c>
      <c r="L94" s="7" t="s">
        <v>303</v>
      </c>
      <c r="M94" s="109">
        <v>31993200</v>
      </c>
      <c r="N94" s="111"/>
      <c r="O94" s="109">
        <v>7500000</v>
      </c>
      <c r="P94" s="110"/>
      <c r="Q94" s="109">
        <f t="shared" si="8"/>
        <v>39493200</v>
      </c>
      <c r="R94" s="3">
        <v>31993200</v>
      </c>
      <c r="S94" s="5"/>
      <c r="T94" s="30">
        <v>7500000</v>
      </c>
      <c r="U94" s="5"/>
      <c r="V94" s="5"/>
      <c r="W94" s="28"/>
      <c r="X94" s="28">
        <f t="shared" si="9"/>
        <v>0</v>
      </c>
      <c r="Y94" s="28">
        <f t="shared" si="10"/>
        <v>0</v>
      </c>
      <c r="Z94" s="28">
        <f t="shared" si="11"/>
        <v>0</v>
      </c>
      <c r="AA94" s="4"/>
      <c r="AB94" s="4"/>
      <c r="AC94">
        <f t="shared" si="12"/>
        <v>2</v>
      </c>
    </row>
    <row r="95" spans="1:30" ht="31.2" x14ac:dyDescent="0.3">
      <c r="A95" s="7" t="s">
        <v>53</v>
      </c>
      <c r="B95" s="6">
        <v>82</v>
      </c>
      <c r="C95" s="7" t="s">
        <v>297</v>
      </c>
      <c r="D95" s="7" t="s">
        <v>297</v>
      </c>
      <c r="E95" s="7" t="s">
        <v>177</v>
      </c>
      <c r="F95" s="4"/>
      <c r="G95" s="7" t="s">
        <v>304</v>
      </c>
      <c r="H95" s="7" t="s">
        <v>305</v>
      </c>
      <c r="I95" s="5"/>
      <c r="J95" s="7" t="s">
        <v>306</v>
      </c>
      <c r="K95" s="7" t="s">
        <v>24</v>
      </c>
      <c r="L95" s="7" t="s">
        <v>307</v>
      </c>
      <c r="M95" s="109">
        <v>202213000</v>
      </c>
      <c r="N95" s="109">
        <v>38269440</v>
      </c>
      <c r="O95" s="109">
        <v>7500000</v>
      </c>
      <c r="P95" s="110"/>
      <c r="Q95" s="109">
        <f t="shared" si="8"/>
        <v>247982440</v>
      </c>
      <c r="R95" s="3">
        <v>202213000</v>
      </c>
      <c r="S95" s="3">
        <v>38269440</v>
      </c>
      <c r="T95" s="30">
        <v>7500000</v>
      </c>
      <c r="U95" s="5"/>
      <c r="V95" s="5"/>
      <c r="W95" s="28"/>
      <c r="X95" s="28">
        <f t="shared" si="9"/>
        <v>0</v>
      </c>
      <c r="Y95" s="28">
        <f t="shared" si="10"/>
        <v>0</v>
      </c>
      <c r="Z95" s="28">
        <f t="shared" si="11"/>
        <v>0</v>
      </c>
      <c r="AA95" s="4"/>
      <c r="AB95" s="4"/>
      <c r="AC95">
        <f t="shared" si="12"/>
        <v>2</v>
      </c>
    </row>
    <row r="96" spans="1:30" ht="62.4" x14ac:dyDescent="0.3">
      <c r="A96" s="7" t="s">
        <v>46</v>
      </c>
      <c r="B96" s="6">
        <v>83</v>
      </c>
      <c r="C96" s="7" t="s">
        <v>297</v>
      </c>
      <c r="D96" s="7" t="s">
        <v>297</v>
      </c>
      <c r="E96" s="7" t="s">
        <v>309</v>
      </c>
      <c r="F96" s="40" t="s">
        <v>308</v>
      </c>
      <c r="G96" s="7" t="s">
        <v>310</v>
      </c>
      <c r="H96" s="7" t="s">
        <v>311</v>
      </c>
      <c r="I96" s="5"/>
      <c r="J96" s="7" t="s">
        <v>312</v>
      </c>
      <c r="K96" s="7" t="s">
        <v>24</v>
      </c>
      <c r="L96" s="7" t="s">
        <v>313</v>
      </c>
      <c r="M96" s="109">
        <v>2870247816</v>
      </c>
      <c r="N96" s="109">
        <v>123263617</v>
      </c>
      <c r="O96" s="109">
        <v>15000000</v>
      </c>
      <c r="P96" s="112">
        <v>94200000</v>
      </c>
      <c r="Q96" s="109">
        <f t="shared" si="8"/>
        <v>3102711433</v>
      </c>
      <c r="R96" s="3">
        <v>2870247816</v>
      </c>
      <c r="S96" s="3">
        <v>123263617</v>
      </c>
      <c r="T96" s="30">
        <v>15000000</v>
      </c>
      <c r="U96" s="28">
        <v>94200000</v>
      </c>
      <c r="V96" s="5"/>
      <c r="W96" s="28"/>
      <c r="X96" s="28">
        <f t="shared" si="9"/>
        <v>0</v>
      </c>
      <c r="Y96" s="28">
        <f t="shared" si="10"/>
        <v>0</v>
      </c>
      <c r="Z96" s="28">
        <f t="shared" si="11"/>
        <v>0</v>
      </c>
      <c r="AA96" s="4"/>
      <c r="AB96" s="4"/>
      <c r="AC96">
        <f t="shared" si="12"/>
        <v>2</v>
      </c>
      <c r="AD96" t="s">
        <v>3888</v>
      </c>
    </row>
    <row r="97" spans="1:30" ht="31.2" x14ac:dyDescent="0.3">
      <c r="A97" s="7" t="s">
        <v>53</v>
      </c>
      <c r="B97" s="6">
        <v>84</v>
      </c>
      <c r="C97" s="7" t="s">
        <v>297</v>
      </c>
      <c r="D97" s="7" t="s">
        <v>297</v>
      </c>
      <c r="E97" s="7"/>
      <c r="F97" s="4"/>
      <c r="G97" s="7" t="s">
        <v>314</v>
      </c>
      <c r="H97" s="7"/>
      <c r="I97" s="7"/>
      <c r="J97" s="7" t="s">
        <v>315</v>
      </c>
      <c r="K97" s="7" t="s">
        <v>24</v>
      </c>
      <c r="L97" s="7" t="s">
        <v>316</v>
      </c>
      <c r="M97" s="109">
        <v>5438544033</v>
      </c>
      <c r="N97" s="111"/>
      <c r="O97" s="109">
        <v>15000000</v>
      </c>
      <c r="P97" s="110"/>
      <c r="Q97" s="109">
        <f t="shared" si="8"/>
        <v>5453544033</v>
      </c>
      <c r="R97" s="3">
        <v>5438544033</v>
      </c>
      <c r="S97" s="5"/>
      <c r="T97" s="72"/>
      <c r="U97" s="5"/>
      <c r="V97" s="5"/>
      <c r="W97" s="28"/>
      <c r="X97" s="28">
        <f t="shared" si="9"/>
        <v>0</v>
      </c>
      <c r="Y97" s="36">
        <f t="shared" si="10"/>
        <v>15000000</v>
      </c>
      <c r="Z97" s="28">
        <f t="shared" si="11"/>
        <v>0</v>
      </c>
      <c r="AA97" s="4"/>
      <c r="AB97" s="40"/>
      <c r="AC97" s="121">
        <f t="shared" si="12"/>
        <v>2</v>
      </c>
      <c r="AD97" s="121"/>
    </row>
    <row r="98" spans="1:30" ht="31.2" x14ac:dyDescent="0.3">
      <c r="A98" s="7" t="s">
        <v>62</v>
      </c>
      <c r="B98" s="6">
        <v>85</v>
      </c>
      <c r="C98" s="7" t="s">
        <v>297</v>
      </c>
      <c r="D98" s="7" t="s">
        <v>297</v>
      </c>
      <c r="E98" s="5"/>
      <c r="F98" s="4"/>
      <c r="G98" s="7" t="s">
        <v>317</v>
      </c>
      <c r="H98" s="5"/>
      <c r="I98" s="5"/>
      <c r="J98" s="7" t="s">
        <v>318</v>
      </c>
      <c r="K98" s="7" t="s">
        <v>24</v>
      </c>
      <c r="L98" s="7" t="s">
        <v>319</v>
      </c>
      <c r="M98" s="109">
        <v>3102018212</v>
      </c>
      <c r="N98" s="111"/>
      <c r="O98" s="109">
        <v>7500000</v>
      </c>
      <c r="P98" s="110"/>
      <c r="Q98" s="109">
        <f t="shared" si="8"/>
        <v>3109518212</v>
      </c>
      <c r="R98" s="3">
        <v>3102018212</v>
      </c>
      <c r="S98" s="5"/>
      <c r="T98" s="30">
        <v>7500000</v>
      </c>
      <c r="U98" s="5"/>
      <c r="V98" s="5"/>
      <c r="W98" s="28"/>
      <c r="X98" s="28">
        <f t="shared" si="9"/>
        <v>0</v>
      </c>
      <c r="Y98" s="28">
        <f t="shared" si="10"/>
        <v>0</v>
      </c>
      <c r="Z98" s="28">
        <f t="shared" si="11"/>
        <v>0</v>
      </c>
      <c r="AA98" s="4"/>
      <c r="AB98" s="4"/>
      <c r="AC98">
        <f t="shared" si="12"/>
        <v>2</v>
      </c>
    </row>
    <row r="99" spans="1:30" ht="31.2" x14ac:dyDescent="0.3">
      <c r="A99" s="7" t="s">
        <v>53</v>
      </c>
      <c r="B99" s="6">
        <v>86</v>
      </c>
      <c r="C99" s="7" t="s">
        <v>297</v>
      </c>
      <c r="D99" s="7" t="s">
        <v>297</v>
      </c>
      <c r="E99" s="5"/>
      <c r="F99" s="4"/>
      <c r="G99" s="7" t="s">
        <v>320</v>
      </c>
      <c r="H99" s="5"/>
      <c r="I99" s="5"/>
      <c r="J99" s="7" t="s">
        <v>321</v>
      </c>
      <c r="K99" s="7" t="s">
        <v>24</v>
      </c>
      <c r="L99" s="7" t="s">
        <v>322</v>
      </c>
      <c r="M99" s="109">
        <v>3208417628</v>
      </c>
      <c r="N99" s="111"/>
      <c r="O99" s="109">
        <v>15000000</v>
      </c>
      <c r="P99" s="110"/>
      <c r="Q99" s="109">
        <f t="shared" si="8"/>
        <v>3223417628</v>
      </c>
      <c r="R99" s="36">
        <v>3208417628</v>
      </c>
      <c r="S99" s="5"/>
      <c r="T99" s="30">
        <v>15000000</v>
      </c>
      <c r="U99" s="5"/>
      <c r="V99" s="5"/>
      <c r="W99" s="28"/>
      <c r="X99" s="28">
        <f t="shared" si="9"/>
        <v>0</v>
      </c>
      <c r="Y99" s="28">
        <f t="shared" si="10"/>
        <v>0</v>
      </c>
      <c r="Z99" s="28">
        <f t="shared" si="11"/>
        <v>0</v>
      </c>
      <c r="AA99" s="4"/>
      <c r="AB99" s="4"/>
      <c r="AC99">
        <f t="shared" si="12"/>
        <v>2</v>
      </c>
    </row>
    <row r="100" spans="1:30" ht="31.2" x14ac:dyDescent="0.3">
      <c r="A100" s="7" t="s">
        <v>62</v>
      </c>
      <c r="B100" s="6">
        <v>87</v>
      </c>
      <c r="C100" s="7" t="s">
        <v>297</v>
      </c>
      <c r="D100" s="7" t="s">
        <v>297</v>
      </c>
      <c r="E100" s="5"/>
      <c r="F100" s="4"/>
      <c r="G100" s="7" t="s">
        <v>323</v>
      </c>
      <c r="H100" s="5"/>
      <c r="I100" s="5"/>
      <c r="J100" s="7" t="s">
        <v>324</v>
      </c>
      <c r="K100" s="7" t="s">
        <v>24</v>
      </c>
      <c r="L100" s="7" t="s">
        <v>325</v>
      </c>
      <c r="M100" s="109">
        <v>127625600</v>
      </c>
      <c r="N100" s="111"/>
      <c r="O100" s="109">
        <v>7500000</v>
      </c>
      <c r="P100" s="110"/>
      <c r="Q100" s="109">
        <f t="shared" si="8"/>
        <v>135125600</v>
      </c>
      <c r="R100" s="3">
        <v>127625600</v>
      </c>
      <c r="S100" s="5"/>
      <c r="T100" s="30">
        <v>7500000</v>
      </c>
      <c r="U100" s="5"/>
      <c r="V100" s="5"/>
      <c r="W100" s="28"/>
      <c r="X100" s="28">
        <f t="shared" si="9"/>
        <v>0</v>
      </c>
      <c r="Y100" s="28">
        <f t="shared" si="10"/>
        <v>0</v>
      </c>
      <c r="Z100" s="28">
        <f t="shared" si="11"/>
        <v>0</v>
      </c>
      <c r="AA100" s="4"/>
      <c r="AB100" s="4"/>
      <c r="AC100">
        <f t="shared" si="12"/>
        <v>2</v>
      </c>
    </row>
    <row r="101" spans="1:30" ht="31.2" x14ac:dyDescent="0.3">
      <c r="A101" s="7" t="s">
        <v>62</v>
      </c>
      <c r="B101" s="6">
        <v>88</v>
      </c>
      <c r="C101" s="7" t="s">
        <v>297</v>
      </c>
      <c r="D101" s="7" t="s">
        <v>297</v>
      </c>
      <c r="E101" s="5"/>
      <c r="F101" s="4"/>
      <c r="G101" s="7" t="s">
        <v>326</v>
      </c>
      <c r="H101" s="5"/>
      <c r="I101" s="5"/>
      <c r="J101" s="7" t="s">
        <v>327</v>
      </c>
      <c r="K101" s="7" t="s">
        <v>24</v>
      </c>
      <c r="L101" s="7" t="s">
        <v>328</v>
      </c>
      <c r="M101" s="109">
        <v>6198579980</v>
      </c>
      <c r="N101" s="111"/>
      <c r="O101" s="109">
        <v>7500000</v>
      </c>
      <c r="P101" s="110"/>
      <c r="Q101" s="109">
        <f t="shared" si="8"/>
        <v>6206079980</v>
      </c>
      <c r="R101" s="3">
        <v>6198579980</v>
      </c>
      <c r="S101" s="5"/>
      <c r="T101" s="30">
        <v>7500000</v>
      </c>
      <c r="U101" s="5"/>
      <c r="V101" s="5"/>
      <c r="W101" s="28"/>
      <c r="X101" s="28">
        <f t="shared" si="9"/>
        <v>0</v>
      </c>
      <c r="Y101" s="28">
        <f t="shared" si="10"/>
        <v>0</v>
      </c>
      <c r="Z101" s="28">
        <f t="shared" si="11"/>
        <v>0</v>
      </c>
      <c r="AA101" s="4"/>
      <c r="AB101" s="4"/>
      <c r="AC101">
        <f t="shared" si="12"/>
        <v>2</v>
      </c>
    </row>
    <row r="102" spans="1:30" ht="31.2" x14ac:dyDescent="0.3">
      <c r="A102" s="7" t="s">
        <v>53</v>
      </c>
      <c r="B102" s="6">
        <v>89</v>
      </c>
      <c r="C102" s="7" t="s">
        <v>297</v>
      </c>
      <c r="D102" s="7" t="s">
        <v>297</v>
      </c>
      <c r="E102" s="5"/>
      <c r="F102" s="4"/>
      <c r="G102" s="7" t="s">
        <v>329</v>
      </c>
      <c r="H102" s="5"/>
      <c r="I102" s="5"/>
      <c r="J102" s="7" t="s">
        <v>330</v>
      </c>
      <c r="K102" s="7" t="s">
        <v>24</v>
      </c>
      <c r="L102" s="7" t="s">
        <v>331</v>
      </c>
      <c r="M102" s="109">
        <v>775743160</v>
      </c>
      <c r="N102" s="111"/>
      <c r="O102" s="109">
        <v>7500000</v>
      </c>
      <c r="P102" s="110"/>
      <c r="Q102" s="109">
        <f t="shared" si="8"/>
        <v>783243160</v>
      </c>
      <c r="R102" s="36">
        <v>775743160</v>
      </c>
      <c r="S102" s="5"/>
      <c r="T102" s="30">
        <v>7500000</v>
      </c>
      <c r="U102" s="5"/>
      <c r="V102" s="5"/>
      <c r="W102" s="28"/>
      <c r="X102" s="28">
        <f t="shared" si="9"/>
        <v>0</v>
      </c>
      <c r="Y102" s="28">
        <f t="shared" si="10"/>
        <v>0</v>
      </c>
      <c r="Z102" s="28">
        <f t="shared" si="11"/>
        <v>0</v>
      </c>
      <c r="AA102" s="4"/>
      <c r="AB102" s="4"/>
      <c r="AC102">
        <f t="shared" si="12"/>
        <v>2</v>
      </c>
    </row>
    <row r="103" spans="1:30" ht="31.2" x14ac:dyDescent="0.3">
      <c r="A103" s="7" t="s">
        <v>46</v>
      </c>
      <c r="B103" s="6">
        <v>90</v>
      </c>
      <c r="C103" s="7" t="s">
        <v>332</v>
      </c>
      <c r="D103" s="7" t="s">
        <v>332</v>
      </c>
      <c r="E103" s="5"/>
      <c r="F103" s="4"/>
      <c r="G103" s="7" t="s">
        <v>333</v>
      </c>
      <c r="H103" s="5"/>
      <c r="I103" s="5"/>
      <c r="J103" s="7" t="s">
        <v>334</v>
      </c>
      <c r="K103" s="7" t="s">
        <v>24</v>
      </c>
      <c r="L103" s="7" t="s">
        <v>335</v>
      </c>
      <c r="M103" s="109">
        <v>260376114</v>
      </c>
      <c r="N103" s="111"/>
      <c r="O103" s="109">
        <v>7500000</v>
      </c>
      <c r="P103" s="110"/>
      <c r="Q103" s="109">
        <f t="shared" si="8"/>
        <v>267876114</v>
      </c>
      <c r="R103" s="36">
        <v>260376114</v>
      </c>
      <c r="S103" s="5"/>
      <c r="T103" s="30">
        <v>7500000</v>
      </c>
      <c r="U103" s="5"/>
      <c r="V103" s="5"/>
      <c r="W103" s="28"/>
      <c r="X103" s="28">
        <f t="shared" si="9"/>
        <v>0</v>
      </c>
      <c r="Y103" s="28">
        <f t="shared" si="10"/>
        <v>0</v>
      </c>
      <c r="Z103" s="28">
        <f t="shared" si="11"/>
        <v>0</v>
      </c>
      <c r="AA103" s="4"/>
      <c r="AB103" s="4"/>
      <c r="AC103">
        <f t="shared" si="12"/>
        <v>2</v>
      </c>
    </row>
    <row r="104" spans="1:30" ht="62.4" x14ac:dyDescent="0.3">
      <c r="A104" s="7" t="s">
        <v>53</v>
      </c>
      <c r="B104" s="6">
        <v>91</v>
      </c>
      <c r="C104" s="7" t="s">
        <v>332</v>
      </c>
      <c r="D104" s="7" t="s">
        <v>332</v>
      </c>
      <c r="E104" s="5"/>
      <c r="F104" s="4"/>
      <c r="G104" s="7" t="s">
        <v>336</v>
      </c>
      <c r="H104" s="5"/>
      <c r="I104" s="5"/>
      <c r="J104" s="7" t="s">
        <v>337</v>
      </c>
      <c r="K104" s="7" t="s">
        <v>24</v>
      </c>
      <c r="L104" s="7" t="s">
        <v>338</v>
      </c>
      <c r="M104" s="109">
        <v>6896806936</v>
      </c>
      <c r="N104" s="111"/>
      <c r="O104" s="109">
        <v>15000000</v>
      </c>
      <c r="P104" s="110"/>
      <c r="Q104" s="109">
        <f t="shared" si="8"/>
        <v>6911806936</v>
      </c>
      <c r="R104" s="3">
        <v>6896806936</v>
      </c>
      <c r="S104" s="5"/>
      <c r="T104" s="30">
        <v>15000000</v>
      </c>
      <c r="U104" s="5"/>
      <c r="V104" s="5"/>
      <c r="W104" s="28"/>
      <c r="X104" s="28">
        <f t="shared" si="9"/>
        <v>0</v>
      </c>
      <c r="Y104" s="28">
        <f t="shared" si="10"/>
        <v>0</v>
      </c>
      <c r="Z104" s="28">
        <f t="shared" si="11"/>
        <v>0</v>
      </c>
      <c r="AA104" s="4"/>
      <c r="AB104" s="4"/>
      <c r="AC104">
        <f t="shared" si="12"/>
        <v>2</v>
      </c>
    </row>
    <row r="105" spans="1:30" ht="46.8" x14ac:dyDescent="0.3">
      <c r="A105" s="7" t="s">
        <v>18</v>
      </c>
      <c r="B105" s="6">
        <v>92</v>
      </c>
      <c r="C105" s="7" t="s">
        <v>332</v>
      </c>
      <c r="D105" s="7" t="s">
        <v>332</v>
      </c>
      <c r="E105" s="5"/>
      <c r="F105" s="4"/>
      <c r="G105" s="7" t="s">
        <v>339</v>
      </c>
      <c r="H105" s="5"/>
      <c r="I105" s="5"/>
      <c r="J105" s="7" t="s">
        <v>340</v>
      </c>
      <c r="K105" s="7" t="s">
        <v>24</v>
      </c>
      <c r="L105" s="7" t="s">
        <v>341</v>
      </c>
      <c r="M105" s="109">
        <v>12013126452</v>
      </c>
      <c r="N105" s="111"/>
      <c r="O105" s="109">
        <v>15000000</v>
      </c>
      <c r="P105" s="110"/>
      <c r="Q105" s="109">
        <f t="shared" si="8"/>
        <v>12028126452</v>
      </c>
      <c r="R105" s="3">
        <v>12013126452</v>
      </c>
      <c r="S105" s="5"/>
      <c r="T105" s="30">
        <v>15000000</v>
      </c>
      <c r="U105" s="5"/>
      <c r="V105" s="5"/>
      <c r="W105" s="28"/>
      <c r="X105" s="28">
        <f t="shared" si="9"/>
        <v>0</v>
      </c>
      <c r="Y105" s="28">
        <f t="shared" si="10"/>
        <v>0</v>
      </c>
      <c r="Z105" s="28">
        <f t="shared" si="11"/>
        <v>0</v>
      </c>
      <c r="AA105" s="4"/>
      <c r="AB105" s="4"/>
      <c r="AC105">
        <f t="shared" si="12"/>
        <v>2</v>
      </c>
    </row>
    <row r="106" spans="1:30" ht="31.2" x14ac:dyDescent="0.3">
      <c r="A106" s="7" t="s">
        <v>53</v>
      </c>
      <c r="B106" s="6">
        <v>93</v>
      </c>
      <c r="C106" s="7" t="s">
        <v>332</v>
      </c>
      <c r="D106" s="7" t="s">
        <v>332</v>
      </c>
      <c r="E106" s="7"/>
      <c r="F106" s="4"/>
      <c r="G106" s="7" t="s">
        <v>342</v>
      </c>
      <c r="H106" s="7"/>
      <c r="I106" s="7"/>
      <c r="J106" s="7" t="s">
        <v>343</v>
      </c>
      <c r="K106" s="7" t="s">
        <v>24</v>
      </c>
      <c r="L106" s="7" t="s">
        <v>344</v>
      </c>
      <c r="M106" s="109">
        <v>36040032</v>
      </c>
      <c r="N106" s="111"/>
      <c r="O106" s="109">
        <v>7500000</v>
      </c>
      <c r="P106" s="110"/>
      <c r="Q106" s="109">
        <f t="shared" si="8"/>
        <v>43540032</v>
      </c>
      <c r="R106" s="5"/>
      <c r="S106" s="5"/>
      <c r="T106" s="72"/>
      <c r="U106" s="5"/>
      <c r="V106" s="5"/>
      <c r="W106" s="28">
        <v>36040032</v>
      </c>
      <c r="X106" s="28">
        <f t="shared" si="9"/>
        <v>0</v>
      </c>
      <c r="Y106" s="36">
        <f t="shared" si="10"/>
        <v>7500000</v>
      </c>
      <c r="Z106" s="28">
        <f t="shared" si="11"/>
        <v>0</v>
      </c>
      <c r="AA106" s="8">
        <v>36040032</v>
      </c>
      <c r="AB106" s="40"/>
      <c r="AC106" s="121">
        <f t="shared" si="12"/>
        <v>2</v>
      </c>
      <c r="AD106" s="121"/>
    </row>
    <row r="107" spans="1:30" ht="31.2" x14ac:dyDescent="0.3">
      <c r="A107" s="7" t="s">
        <v>53</v>
      </c>
      <c r="B107" s="6">
        <v>94</v>
      </c>
      <c r="C107" s="7" t="s">
        <v>332</v>
      </c>
      <c r="D107" s="7" t="s">
        <v>332</v>
      </c>
      <c r="E107" s="5"/>
      <c r="F107" s="4"/>
      <c r="G107" s="7" t="s">
        <v>345</v>
      </c>
      <c r="H107" s="5"/>
      <c r="I107" s="5"/>
      <c r="J107" s="7" t="s">
        <v>346</v>
      </c>
      <c r="K107" s="7" t="s">
        <v>24</v>
      </c>
      <c r="L107" s="7" t="s">
        <v>347</v>
      </c>
      <c r="M107" s="109">
        <v>204521740</v>
      </c>
      <c r="N107" s="111"/>
      <c r="O107" s="109">
        <v>7500000</v>
      </c>
      <c r="P107" s="110"/>
      <c r="Q107" s="109">
        <f t="shared" si="8"/>
        <v>212021740</v>
      </c>
      <c r="R107" s="36">
        <v>204521740</v>
      </c>
      <c r="S107" s="5"/>
      <c r="T107" s="30">
        <v>7500000</v>
      </c>
      <c r="U107" s="5"/>
      <c r="V107" s="5"/>
      <c r="W107" s="28"/>
      <c r="X107" s="28">
        <f t="shared" si="9"/>
        <v>0</v>
      </c>
      <c r="Y107" s="28">
        <f t="shared" si="10"/>
        <v>0</v>
      </c>
      <c r="Z107" s="28">
        <f t="shared" si="11"/>
        <v>0</v>
      </c>
      <c r="AA107" s="4"/>
      <c r="AB107" s="4"/>
      <c r="AC107">
        <f t="shared" si="12"/>
        <v>2</v>
      </c>
    </row>
    <row r="108" spans="1:30" ht="31.2" x14ac:dyDescent="0.3">
      <c r="A108" s="7" t="s">
        <v>53</v>
      </c>
      <c r="B108" s="6">
        <v>95</v>
      </c>
      <c r="C108" s="7" t="s">
        <v>332</v>
      </c>
      <c r="D108" s="7" t="s">
        <v>332</v>
      </c>
      <c r="E108" s="5"/>
      <c r="F108" s="4"/>
      <c r="G108" s="7" t="s">
        <v>348</v>
      </c>
      <c r="H108" s="5"/>
      <c r="I108" s="5"/>
      <c r="J108" s="7" t="s">
        <v>349</v>
      </c>
      <c r="K108" s="7" t="s">
        <v>24</v>
      </c>
      <c r="L108" s="7" t="s">
        <v>350</v>
      </c>
      <c r="M108" s="109">
        <v>174193488</v>
      </c>
      <c r="N108" s="111"/>
      <c r="O108" s="109">
        <v>7500000</v>
      </c>
      <c r="P108" s="110"/>
      <c r="Q108" s="109">
        <f t="shared" si="8"/>
        <v>181693488</v>
      </c>
      <c r="R108" s="36">
        <v>174193488</v>
      </c>
      <c r="S108" s="5"/>
      <c r="T108" s="30">
        <v>7500000</v>
      </c>
      <c r="U108" s="5"/>
      <c r="V108" s="5"/>
      <c r="W108" s="28"/>
      <c r="X108" s="28">
        <f t="shared" si="9"/>
        <v>0</v>
      </c>
      <c r="Y108" s="28">
        <f t="shared" si="10"/>
        <v>0</v>
      </c>
      <c r="Z108" s="28">
        <f t="shared" si="11"/>
        <v>0</v>
      </c>
      <c r="AA108" s="4"/>
      <c r="AB108" s="4"/>
      <c r="AC108">
        <f t="shared" si="12"/>
        <v>2</v>
      </c>
    </row>
    <row r="109" spans="1:30" ht="31.2" x14ac:dyDescent="0.3">
      <c r="A109" s="7" t="s">
        <v>18</v>
      </c>
      <c r="B109" s="6">
        <v>96</v>
      </c>
      <c r="C109" s="7" t="s">
        <v>332</v>
      </c>
      <c r="D109" s="7" t="s">
        <v>332</v>
      </c>
      <c r="E109" s="5"/>
      <c r="F109" s="4"/>
      <c r="G109" s="7" t="s">
        <v>351</v>
      </c>
      <c r="H109" s="5"/>
      <c r="I109" s="5"/>
      <c r="J109" s="7" t="s">
        <v>352</v>
      </c>
      <c r="K109" s="7" t="s">
        <v>24</v>
      </c>
      <c r="L109" s="7" t="s">
        <v>353</v>
      </c>
      <c r="M109" s="109">
        <v>561134642</v>
      </c>
      <c r="N109" s="111"/>
      <c r="O109" s="109">
        <v>7500000</v>
      </c>
      <c r="P109" s="110"/>
      <c r="Q109" s="109">
        <f t="shared" si="8"/>
        <v>568634642</v>
      </c>
      <c r="R109" s="3">
        <v>561134642</v>
      </c>
      <c r="S109" s="5"/>
      <c r="T109" s="30">
        <v>7500000</v>
      </c>
      <c r="U109" s="5"/>
      <c r="V109" s="5"/>
      <c r="W109" s="28"/>
      <c r="X109" s="28">
        <f t="shared" si="9"/>
        <v>0</v>
      </c>
      <c r="Y109" s="28">
        <f t="shared" si="10"/>
        <v>0</v>
      </c>
      <c r="Z109" s="28">
        <f t="shared" si="11"/>
        <v>0</v>
      </c>
      <c r="AA109" s="4"/>
      <c r="AB109" s="4"/>
      <c r="AC109">
        <f t="shared" si="12"/>
        <v>2</v>
      </c>
    </row>
    <row r="110" spans="1:30" ht="31.2" x14ac:dyDescent="0.3">
      <c r="A110" s="7" t="s">
        <v>62</v>
      </c>
      <c r="B110" s="6">
        <v>97</v>
      </c>
      <c r="C110" s="7" t="s">
        <v>332</v>
      </c>
      <c r="D110" s="7" t="s">
        <v>332</v>
      </c>
      <c r="E110" s="5"/>
      <c r="F110" s="4"/>
      <c r="G110" s="7" t="s">
        <v>354</v>
      </c>
      <c r="H110" s="5"/>
      <c r="I110" s="5"/>
      <c r="J110" s="7" t="s">
        <v>355</v>
      </c>
      <c r="K110" s="7" t="s">
        <v>24</v>
      </c>
      <c r="L110" s="7" t="s">
        <v>356</v>
      </c>
      <c r="M110" s="109">
        <v>5030906224</v>
      </c>
      <c r="N110" s="111"/>
      <c r="O110" s="109">
        <v>15000000</v>
      </c>
      <c r="P110" s="110"/>
      <c r="Q110" s="109">
        <f t="shared" si="8"/>
        <v>5045906224</v>
      </c>
      <c r="R110" s="3">
        <v>5030906224</v>
      </c>
      <c r="S110" s="5"/>
      <c r="T110" s="30">
        <v>15000000</v>
      </c>
      <c r="U110" s="5"/>
      <c r="V110" s="5"/>
      <c r="W110" s="28"/>
      <c r="X110" s="28">
        <f t="shared" si="9"/>
        <v>0</v>
      </c>
      <c r="Y110" s="28">
        <f t="shared" si="10"/>
        <v>0</v>
      </c>
      <c r="Z110" s="28">
        <f t="shared" si="11"/>
        <v>0</v>
      </c>
      <c r="AA110" s="4"/>
      <c r="AB110" s="4"/>
      <c r="AC110">
        <f t="shared" si="12"/>
        <v>2</v>
      </c>
    </row>
    <row r="111" spans="1:30" ht="31.2" x14ac:dyDescent="0.3">
      <c r="A111" s="7" t="s">
        <v>46</v>
      </c>
      <c r="B111" s="6">
        <v>98</v>
      </c>
      <c r="C111" s="7" t="s">
        <v>357</v>
      </c>
      <c r="D111" s="7" t="s">
        <v>357</v>
      </c>
      <c r="E111" s="5"/>
      <c r="F111" s="4"/>
      <c r="G111" s="7" t="s">
        <v>358</v>
      </c>
      <c r="H111" s="5"/>
      <c r="I111" s="5"/>
      <c r="J111" s="7" t="s">
        <v>359</v>
      </c>
      <c r="K111" s="7" t="s">
        <v>24</v>
      </c>
      <c r="L111" s="7" t="s">
        <v>360</v>
      </c>
      <c r="M111" s="109">
        <v>5668407622</v>
      </c>
      <c r="N111" s="111"/>
      <c r="O111" s="109">
        <v>15000000</v>
      </c>
      <c r="P111" s="110"/>
      <c r="Q111" s="109">
        <f t="shared" si="8"/>
        <v>5683407622</v>
      </c>
      <c r="R111" s="36">
        <v>5668407622</v>
      </c>
      <c r="S111" s="5"/>
      <c r="T111" s="30">
        <v>15000000</v>
      </c>
      <c r="U111" s="5"/>
      <c r="V111" s="5"/>
      <c r="W111" s="28"/>
      <c r="X111" s="28">
        <f t="shared" si="9"/>
        <v>0</v>
      </c>
      <c r="Y111" s="28">
        <f t="shared" si="10"/>
        <v>0</v>
      </c>
      <c r="Z111" s="28">
        <f t="shared" si="11"/>
        <v>0</v>
      </c>
      <c r="AA111" s="4"/>
      <c r="AB111" s="4"/>
      <c r="AC111">
        <f t="shared" si="12"/>
        <v>2</v>
      </c>
    </row>
    <row r="112" spans="1:30" ht="31.2" x14ac:dyDescent="0.3">
      <c r="A112" s="7" t="s">
        <v>18</v>
      </c>
      <c r="B112" s="6">
        <v>99</v>
      </c>
      <c r="C112" s="7" t="s">
        <v>357</v>
      </c>
      <c r="D112" s="7" t="s">
        <v>357</v>
      </c>
      <c r="E112" s="5"/>
      <c r="F112" s="4"/>
      <c r="G112" s="7" t="s">
        <v>361</v>
      </c>
      <c r="H112" s="5"/>
      <c r="I112" s="5"/>
      <c r="J112" s="7" t="s">
        <v>362</v>
      </c>
      <c r="K112" s="7" t="s">
        <v>24</v>
      </c>
      <c r="L112" s="7" t="s">
        <v>363</v>
      </c>
      <c r="M112" s="109">
        <v>3310083600</v>
      </c>
      <c r="N112" s="111"/>
      <c r="O112" s="109">
        <v>7500000</v>
      </c>
      <c r="P112" s="110"/>
      <c r="Q112" s="109">
        <f t="shared" si="8"/>
        <v>3317583600</v>
      </c>
      <c r="R112" s="36">
        <v>3310083600</v>
      </c>
      <c r="S112" s="5"/>
      <c r="T112" s="31">
        <v>7500000</v>
      </c>
      <c r="U112" s="5"/>
      <c r="V112" s="5"/>
      <c r="W112" s="28"/>
      <c r="X112" s="28">
        <f t="shared" si="9"/>
        <v>0</v>
      </c>
      <c r="Y112" s="28">
        <f t="shared" si="10"/>
        <v>0</v>
      </c>
      <c r="Z112" s="28">
        <f t="shared" si="11"/>
        <v>0</v>
      </c>
      <c r="AA112" s="4"/>
      <c r="AB112" s="4"/>
      <c r="AC112">
        <f t="shared" si="12"/>
        <v>2</v>
      </c>
    </row>
    <row r="113" spans="1:30" ht="31.2" x14ac:dyDescent="0.3">
      <c r="A113" s="7" t="s">
        <v>53</v>
      </c>
      <c r="B113" s="6">
        <v>100</v>
      </c>
      <c r="C113" s="7" t="s">
        <v>357</v>
      </c>
      <c r="D113" s="7" t="s">
        <v>357</v>
      </c>
      <c r="E113" s="5"/>
      <c r="F113" s="4"/>
      <c r="G113" s="7" t="s">
        <v>364</v>
      </c>
      <c r="H113" s="5"/>
      <c r="I113" s="5"/>
      <c r="J113" s="7" t="s">
        <v>365</v>
      </c>
      <c r="K113" s="7" t="s">
        <v>24</v>
      </c>
      <c r="L113" s="7" t="s">
        <v>366</v>
      </c>
      <c r="M113" s="109">
        <v>1175040216</v>
      </c>
      <c r="N113" s="111"/>
      <c r="O113" s="109">
        <v>7500000</v>
      </c>
      <c r="P113" s="110"/>
      <c r="Q113" s="109">
        <f t="shared" si="8"/>
        <v>1182540216</v>
      </c>
      <c r="R113" s="3">
        <v>1175040216</v>
      </c>
      <c r="S113" s="5"/>
      <c r="T113" s="30">
        <v>7500000</v>
      </c>
      <c r="U113" s="5"/>
      <c r="V113" s="5"/>
      <c r="W113" s="28"/>
      <c r="X113" s="28">
        <f t="shared" si="9"/>
        <v>0</v>
      </c>
      <c r="Y113" s="28">
        <f t="shared" si="10"/>
        <v>0</v>
      </c>
      <c r="Z113" s="28">
        <f t="shared" si="11"/>
        <v>0</v>
      </c>
      <c r="AA113" s="4"/>
      <c r="AB113" s="4"/>
      <c r="AC113">
        <f t="shared" si="12"/>
        <v>2</v>
      </c>
    </row>
    <row r="114" spans="1:30" ht="31.2" x14ac:dyDescent="0.3">
      <c r="A114" s="7" t="s">
        <v>62</v>
      </c>
      <c r="B114" s="6">
        <v>101</v>
      </c>
      <c r="C114" s="7" t="s">
        <v>357</v>
      </c>
      <c r="D114" s="7" t="s">
        <v>357</v>
      </c>
      <c r="E114" s="5"/>
      <c r="F114" s="4"/>
      <c r="G114" s="7" t="s">
        <v>367</v>
      </c>
      <c r="H114" s="5"/>
      <c r="I114" s="5"/>
      <c r="J114" s="7" t="s">
        <v>368</v>
      </c>
      <c r="K114" s="7" t="s">
        <v>24</v>
      </c>
      <c r="L114" s="7" t="s">
        <v>369</v>
      </c>
      <c r="M114" s="109">
        <v>284424800</v>
      </c>
      <c r="N114" s="111"/>
      <c r="O114" s="109">
        <v>7500000</v>
      </c>
      <c r="P114" s="110"/>
      <c r="Q114" s="109">
        <f t="shared" si="8"/>
        <v>291924800</v>
      </c>
      <c r="R114" s="3">
        <v>284424800</v>
      </c>
      <c r="S114" s="5"/>
      <c r="T114" s="30">
        <v>7500000</v>
      </c>
      <c r="U114" s="5"/>
      <c r="V114" s="5"/>
      <c r="W114" s="28"/>
      <c r="X114" s="28">
        <f t="shared" si="9"/>
        <v>0</v>
      </c>
      <c r="Y114" s="28">
        <f t="shared" si="10"/>
        <v>0</v>
      </c>
      <c r="Z114" s="28">
        <f t="shared" si="11"/>
        <v>0</v>
      </c>
      <c r="AA114" s="4"/>
      <c r="AB114" s="4"/>
      <c r="AC114">
        <f t="shared" si="12"/>
        <v>2</v>
      </c>
    </row>
    <row r="115" spans="1:30" ht="31.2" x14ac:dyDescent="0.3">
      <c r="A115" s="7" t="s">
        <v>53</v>
      </c>
      <c r="B115" s="6">
        <v>102</v>
      </c>
      <c r="C115" s="7" t="s">
        <v>357</v>
      </c>
      <c r="D115" s="7" t="s">
        <v>357</v>
      </c>
      <c r="E115" s="5"/>
      <c r="F115" s="4"/>
      <c r="G115" s="7" t="s">
        <v>370</v>
      </c>
      <c r="H115" s="5"/>
      <c r="I115" s="5"/>
      <c r="J115" s="7" t="s">
        <v>371</v>
      </c>
      <c r="K115" s="7" t="s">
        <v>24</v>
      </c>
      <c r="L115" s="7" t="s">
        <v>372</v>
      </c>
      <c r="M115" s="109">
        <v>3150363430</v>
      </c>
      <c r="N115" s="111"/>
      <c r="O115" s="109">
        <v>15000000</v>
      </c>
      <c r="P115" s="110"/>
      <c r="Q115" s="109">
        <f t="shared" si="8"/>
        <v>3165363430</v>
      </c>
      <c r="R115" s="3">
        <v>3150363430</v>
      </c>
      <c r="S115" s="5"/>
      <c r="T115" s="30">
        <v>15000000</v>
      </c>
      <c r="U115" s="5"/>
      <c r="V115" s="5"/>
      <c r="W115" s="28"/>
      <c r="X115" s="28">
        <f t="shared" si="9"/>
        <v>0</v>
      </c>
      <c r="Y115" s="28">
        <f t="shared" si="10"/>
        <v>0</v>
      </c>
      <c r="Z115" s="28">
        <f t="shared" si="11"/>
        <v>0</v>
      </c>
      <c r="AA115" s="4"/>
      <c r="AB115" s="4"/>
      <c r="AC115">
        <f t="shared" si="12"/>
        <v>2</v>
      </c>
    </row>
    <row r="116" spans="1:30" ht="46.8" x14ac:dyDescent="0.3">
      <c r="A116" s="7" t="s">
        <v>53</v>
      </c>
      <c r="B116" s="6">
        <v>103</v>
      </c>
      <c r="C116" s="7" t="s">
        <v>357</v>
      </c>
      <c r="D116" s="7" t="s">
        <v>357</v>
      </c>
      <c r="E116" s="7" t="s">
        <v>373</v>
      </c>
      <c r="F116" s="4"/>
      <c r="G116" s="7" t="s">
        <v>374</v>
      </c>
      <c r="H116" s="7" t="s">
        <v>375</v>
      </c>
      <c r="I116" s="5"/>
      <c r="J116" s="7" t="s">
        <v>376</v>
      </c>
      <c r="K116" s="7" t="s">
        <v>24</v>
      </c>
      <c r="L116" s="7" t="s">
        <v>377</v>
      </c>
      <c r="M116" s="109">
        <v>1346007746</v>
      </c>
      <c r="N116" s="109">
        <v>80365824</v>
      </c>
      <c r="O116" s="109">
        <v>15000000</v>
      </c>
      <c r="P116" s="110"/>
      <c r="Q116" s="109">
        <f t="shared" si="8"/>
        <v>1441373570</v>
      </c>
      <c r="R116" s="3">
        <v>1346007746</v>
      </c>
      <c r="S116" s="3">
        <v>80365824</v>
      </c>
      <c r="T116" s="30">
        <v>15000000</v>
      </c>
      <c r="U116" s="5"/>
      <c r="V116" s="5"/>
      <c r="W116" s="28"/>
      <c r="X116" s="28">
        <f t="shared" si="9"/>
        <v>0</v>
      </c>
      <c r="Y116" s="28">
        <f t="shared" si="10"/>
        <v>0</v>
      </c>
      <c r="Z116" s="28">
        <f t="shared" si="11"/>
        <v>0</v>
      </c>
      <c r="AA116" s="4"/>
      <c r="AB116" s="4"/>
      <c r="AC116">
        <f t="shared" si="12"/>
        <v>2</v>
      </c>
    </row>
    <row r="117" spans="1:30" ht="31.2" x14ac:dyDescent="0.3">
      <c r="A117" s="7" t="s">
        <v>46</v>
      </c>
      <c r="B117" s="6">
        <v>104</v>
      </c>
      <c r="C117" s="7" t="s">
        <v>357</v>
      </c>
      <c r="D117" s="7" t="s">
        <v>357</v>
      </c>
      <c r="E117" s="5"/>
      <c r="F117" s="40" t="s">
        <v>378</v>
      </c>
      <c r="G117" s="7" t="s">
        <v>379</v>
      </c>
      <c r="H117" s="5"/>
      <c r="I117" s="5"/>
      <c r="J117" s="7" t="s">
        <v>380</v>
      </c>
      <c r="K117" s="7" t="s">
        <v>24</v>
      </c>
      <c r="L117" s="7" t="s">
        <v>381</v>
      </c>
      <c r="M117" s="109">
        <v>2113955500</v>
      </c>
      <c r="N117" s="111"/>
      <c r="O117" s="109">
        <v>15000000</v>
      </c>
      <c r="P117" s="112">
        <v>40000000</v>
      </c>
      <c r="Q117" s="109">
        <f t="shared" si="8"/>
        <v>2168955500</v>
      </c>
      <c r="R117" s="36">
        <v>2113955500</v>
      </c>
      <c r="S117" s="5"/>
      <c r="T117" s="30">
        <v>15000000</v>
      </c>
      <c r="U117" s="3">
        <v>40000000</v>
      </c>
      <c r="V117" s="5"/>
      <c r="W117" s="28"/>
      <c r="X117" s="28">
        <f t="shared" si="9"/>
        <v>0</v>
      </c>
      <c r="Y117" s="28">
        <f t="shared" si="10"/>
        <v>0</v>
      </c>
      <c r="Z117" s="28">
        <f t="shared" si="11"/>
        <v>0</v>
      </c>
      <c r="AA117" s="4"/>
      <c r="AB117" s="4"/>
      <c r="AC117">
        <f t="shared" si="12"/>
        <v>2</v>
      </c>
    </row>
    <row r="118" spans="1:30" ht="31.2" x14ac:dyDescent="0.3">
      <c r="A118" s="7" t="s">
        <v>53</v>
      </c>
      <c r="B118" s="6">
        <v>105</v>
      </c>
      <c r="C118" s="7" t="s">
        <v>357</v>
      </c>
      <c r="D118" s="7" t="s">
        <v>357</v>
      </c>
      <c r="E118" s="7" t="s">
        <v>177</v>
      </c>
      <c r="F118" s="4"/>
      <c r="G118" s="7" t="s">
        <v>382</v>
      </c>
      <c r="H118" s="7" t="s">
        <v>383</v>
      </c>
      <c r="I118" s="5"/>
      <c r="J118" s="7" t="s">
        <v>384</v>
      </c>
      <c r="K118" s="7" t="s">
        <v>24</v>
      </c>
      <c r="L118" s="7" t="s">
        <v>385</v>
      </c>
      <c r="M118" s="109">
        <v>897636048</v>
      </c>
      <c r="N118" s="109">
        <v>250664832</v>
      </c>
      <c r="O118" s="109">
        <v>7500000</v>
      </c>
      <c r="P118" s="110"/>
      <c r="Q118" s="109">
        <f t="shared" si="8"/>
        <v>1155800880</v>
      </c>
      <c r="R118" s="3">
        <v>897636048</v>
      </c>
      <c r="S118" s="3">
        <v>250664832</v>
      </c>
      <c r="T118" s="30">
        <v>7500000</v>
      </c>
      <c r="U118" s="5"/>
      <c r="V118" s="5"/>
      <c r="W118" s="28"/>
      <c r="X118" s="28">
        <f t="shared" si="9"/>
        <v>0</v>
      </c>
      <c r="Y118" s="28">
        <f t="shared" si="10"/>
        <v>0</v>
      </c>
      <c r="Z118" s="28">
        <f t="shared" si="11"/>
        <v>0</v>
      </c>
      <c r="AA118" s="4"/>
      <c r="AB118" s="4"/>
      <c r="AC118">
        <f t="shared" si="12"/>
        <v>2</v>
      </c>
    </row>
    <row r="119" spans="1:30" ht="31.2" x14ac:dyDescent="0.3">
      <c r="A119" s="7" t="s">
        <v>62</v>
      </c>
      <c r="B119" s="6">
        <v>106</v>
      </c>
      <c r="C119" s="7" t="s">
        <v>357</v>
      </c>
      <c r="D119" s="7" t="s">
        <v>357</v>
      </c>
      <c r="E119" s="5"/>
      <c r="F119" s="4"/>
      <c r="G119" s="7" t="s">
        <v>386</v>
      </c>
      <c r="H119" s="5"/>
      <c r="I119" s="5"/>
      <c r="J119" s="7" t="s">
        <v>387</v>
      </c>
      <c r="K119" s="7" t="s">
        <v>24</v>
      </c>
      <c r="L119" s="7" t="s">
        <v>388</v>
      </c>
      <c r="M119" s="109">
        <v>4231623100</v>
      </c>
      <c r="N119" s="111"/>
      <c r="O119" s="109">
        <v>7500000</v>
      </c>
      <c r="P119" s="110"/>
      <c r="Q119" s="109">
        <f t="shared" si="8"/>
        <v>4239123100</v>
      </c>
      <c r="R119" s="3">
        <v>4231623100</v>
      </c>
      <c r="S119" s="5"/>
      <c r="T119" s="30">
        <v>7500000</v>
      </c>
      <c r="U119" s="5"/>
      <c r="V119" s="5"/>
      <c r="W119" s="28"/>
      <c r="X119" s="28">
        <f t="shared" si="9"/>
        <v>0</v>
      </c>
      <c r="Y119" s="28">
        <f t="shared" si="10"/>
        <v>0</v>
      </c>
      <c r="Z119" s="28">
        <f t="shared" si="11"/>
        <v>0</v>
      </c>
      <c r="AA119" s="4"/>
      <c r="AB119" s="4"/>
      <c r="AC119">
        <f t="shared" si="12"/>
        <v>2</v>
      </c>
    </row>
    <row r="120" spans="1:30" ht="31.2" x14ac:dyDescent="0.3">
      <c r="A120" s="7" t="s">
        <v>18</v>
      </c>
      <c r="B120" s="6">
        <v>107</v>
      </c>
      <c r="C120" s="7" t="s">
        <v>357</v>
      </c>
      <c r="D120" s="7" t="s">
        <v>357</v>
      </c>
      <c r="E120" s="7" t="s">
        <v>389</v>
      </c>
      <c r="F120" s="4"/>
      <c r="G120" s="7" t="s">
        <v>390</v>
      </c>
      <c r="H120" s="7" t="s">
        <v>391</v>
      </c>
      <c r="I120" s="5"/>
      <c r="J120" s="7" t="s">
        <v>392</v>
      </c>
      <c r="K120" s="7" t="s">
        <v>24</v>
      </c>
      <c r="L120" s="7" t="s">
        <v>393</v>
      </c>
      <c r="M120" s="109">
        <v>10867091933</v>
      </c>
      <c r="N120" s="109">
        <v>156002688</v>
      </c>
      <c r="O120" s="109">
        <v>15000000</v>
      </c>
      <c r="P120" s="110"/>
      <c r="Q120" s="109">
        <f t="shared" si="8"/>
        <v>11038094621</v>
      </c>
      <c r="R120" s="3">
        <v>10867091933</v>
      </c>
      <c r="S120" s="3">
        <v>156002688</v>
      </c>
      <c r="T120" s="30">
        <v>15000000</v>
      </c>
      <c r="U120" s="5"/>
      <c r="V120" s="5"/>
      <c r="W120" s="28"/>
      <c r="X120" s="28">
        <f t="shared" si="9"/>
        <v>0</v>
      </c>
      <c r="Y120" s="28">
        <f t="shared" si="10"/>
        <v>0</v>
      </c>
      <c r="Z120" s="28">
        <f t="shared" si="11"/>
        <v>0</v>
      </c>
      <c r="AA120" s="4"/>
      <c r="AB120" s="4"/>
      <c r="AC120">
        <f t="shared" si="12"/>
        <v>2</v>
      </c>
    </row>
    <row r="121" spans="1:30" ht="62.4" x14ac:dyDescent="0.3">
      <c r="A121" s="7" t="s">
        <v>53</v>
      </c>
      <c r="B121" s="6">
        <v>108</v>
      </c>
      <c r="C121" s="7" t="s">
        <v>357</v>
      </c>
      <c r="D121" s="7" t="s">
        <v>357</v>
      </c>
      <c r="E121" s="5"/>
      <c r="F121" s="4"/>
      <c r="G121" s="7" t="s">
        <v>394</v>
      </c>
      <c r="H121" s="7" t="s">
        <v>395</v>
      </c>
      <c r="I121" s="5"/>
      <c r="J121" s="7" t="s">
        <v>396</v>
      </c>
      <c r="K121" s="7" t="s">
        <v>24</v>
      </c>
      <c r="L121" s="7" t="s">
        <v>397</v>
      </c>
      <c r="M121" s="109">
        <v>724953680</v>
      </c>
      <c r="N121" s="111"/>
      <c r="O121" s="109">
        <v>7500000</v>
      </c>
      <c r="P121" s="110"/>
      <c r="Q121" s="109">
        <f t="shared" si="8"/>
        <v>732453680</v>
      </c>
      <c r="R121" s="3">
        <v>724953680</v>
      </c>
      <c r="S121" s="5"/>
      <c r="T121" s="30">
        <v>7500000</v>
      </c>
      <c r="U121" s="5"/>
      <c r="V121" s="5"/>
      <c r="W121" s="28"/>
      <c r="X121" s="28">
        <f t="shared" si="9"/>
        <v>0</v>
      </c>
      <c r="Y121" s="28">
        <f t="shared" si="10"/>
        <v>0</v>
      </c>
      <c r="Z121" s="28">
        <f t="shared" si="11"/>
        <v>0</v>
      </c>
      <c r="AA121" s="4"/>
      <c r="AB121" s="4"/>
      <c r="AC121">
        <f t="shared" si="12"/>
        <v>2</v>
      </c>
    </row>
    <row r="122" spans="1:30" ht="31.2" x14ac:dyDescent="0.3">
      <c r="A122" s="7" t="s">
        <v>18</v>
      </c>
      <c r="B122" s="6">
        <v>109</v>
      </c>
      <c r="C122" s="7" t="s">
        <v>398</v>
      </c>
      <c r="D122" s="7" t="s">
        <v>398</v>
      </c>
      <c r="E122" s="5"/>
      <c r="F122" s="4"/>
      <c r="G122" s="7" t="s">
        <v>399</v>
      </c>
      <c r="H122" s="7" t="s">
        <v>400</v>
      </c>
      <c r="I122" s="5"/>
      <c r="J122" s="7" t="s">
        <v>401</v>
      </c>
      <c r="K122" s="7" t="s">
        <v>24</v>
      </c>
      <c r="L122" s="7" t="s">
        <v>402</v>
      </c>
      <c r="M122" s="109">
        <v>181108800</v>
      </c>
      <c r="N122" s="111"/>
      <c r="O122" s="109">
        <v>7500000</v>
      </c>
      <c r="P122" s="110"/>
      <c r="Q122" s="109">
        <f t="shared" si="8"/>
        <v>188608800</v>
      </c>
      <c r="R122" s="3">
        <v>181108800</v>
      </c>
      <c r="S122" s="5"/>
      <c r="T122" s="30">
        <v>7500000</v>
      </c>
      <c r="U122" s="5"/>
      <c r="V122" s="5"/>
      <c r="W122" s="28"/>
      <c r="X122" s="28">
        <f t="shared" si="9"/>
        <v>0</v>
      </c>
      <c r="Y122" s="28">
        <f t="shared" si="10"/>
        <v>0</v>
      </c>
      <c r="Z122" s="28">
        <f t="shared" si="11"/>
        <v>0</v>
      </c>
      <c r="AA122" s="4"/>
      <c r="AB122" s="4"/>
      <c r="AC122">
        <f t="shared" si="12"/>
        <v>2</v>
      </c>
    </row>
    <row r="123" spans="1:30" ht="31.2" x14ac:dyDescent="0.3">
      <c r="A123" s="7" t="s">
        <v>62</v>
      </c>
      <c r="B123" s="6">
        <v>110</v>
      </c>
      <c r="C123" s="7" t="s">
        <v>398</v>
      </c>
      <c r="D123" s="7" t="s">
        <v>398</v>
      </c>
      <c r="E123" s="7" t="s">
        <v>158</v>
      </c>
      <c r="F123" s="4"/>
      <c r="G123" s="7" t="s">
        <v>403</v>
      </c>
      <c r="H123" s="7" t="s">
        <v>404</v>
      </c>
      <c r="I123" s="5"/>
      <c r="J123" s="7" t="s">
        <v>405</v>
      </c>
      <c r="K123" s="7" t="s">
        <v>24</v>
      </c>
      <c r="L123" s="7" t="s">
        <v>406</v>
      </c>
      <c r="M123" s="109">
        <v>175354039</v>
      </c>
      <c r="N123" s="109">
        <v>21563136</v>
      </c>
      <c r="O123" s="109">
        <v>7500000</v>
      </c>
      <c r="P123" s="110"/>
      <c r="Q123" s="109">
        <f t="shared" si="8"/>
        <v>204417175</v>
      </c>
      <c r="R123" s="3">
        <v>175354039</v>
      </c>
      <c r="S123" s="3">
        <v>21563136</v>
      </c>
      <c r="T123" s="30">
        <v>7500000</v>
      </c>
      <c r="U123" s="5"/>
      <c r="V123" s="5"/>
      <c r="W123" s="28"/>
      <c r="X123" s="28">
        <f t="shared" si="9"/>
        <v>0</v>
      </c>
      <c r="Y123" s="28">
        <f t="shared" si="10"/>
        <v>0</v>
      </c>
      <c r="Z123" s="28">
        <f t="shared" si="11"/>
        <v>0</v>
      </c>
      <c r="AA123" s="4"/>
      <c r="AB123" s="4"/>
      <c r="AC123">
        <f t="shared" si="12"/>
        <v>2</v>
      </c>
    </row>
    <row r="124" spans="1:30" ht="31.2" x14ac:dyDescent="0.3">
      <c r="A124" s="7" t="s">
        <v>53</v>
      </c>
      <c r="B124" s="6">
        <v>111</v>
      </c>
      <c r="C124" s="7" t="s">
        <v>398</v>
      </c>
      <c r="D124" s="7" t="s">
        <v>398</v>
      </c>
      <c r="E124" s="7"/>
      <c r="F124" s="4"/>
      <c r="G124" s="7" t="s">
        <v>407</v>
      </c>
      <c r="H124" s="7"/>
      <c r="I124" s="7"/>
      <c r="J124" s="7" t="s">
        <v>408</v>
      </c>
      <c r="K124" s="7" t="s">
        <v>24</v>
      </c>
      <c r="L124" s="7" t="s">
        <v>409</v>
      </c>
      <c r="M124" s="109">
        <v>4822077237</v>
      </c>
      <c r="N124" s="111"/>
      <c r="O124" s="109">
        <v>7500000</v>
      </c>
      <c r="P124" s="110"/>
      <c r="Q124" s="109">
        <f t="shared" si="8"/>
        <v>4829577237</v>
      </c>
      <c r="R124" s="3">
        <v>4822077237</v>
      </c>
      <c r="S124" s="5"/>
      <c r="T124" s="72"/>
      <c r="U124" s="5"/>
      <c r="V124" s="5"/>
      <c r="W124" s="28"/>
      <c r="X124" s="28">
        <f t="shared" si="9"/>
        <v>0</v>
      </c>
      <c r="Y124" s="36">
        <f t="shared" si="10"/>
        <v>7500000</v>
      </c>
      <c r="Z124" s="28">
        <f t="shared" si="11"/>
        <v>0</v>
      </c>
      <c r="AA124" s="4"/>
      <c r="AB124" s="40"/>
      <c r="AC124" s="121">
        <f t="shared" si="12"/>
        <v>2</v>
      </c>
      <c r="AD124" s="121"/>
    </row>
    <row r="125" spans="1:30" ht="62.4" x14ac:dyDescent="0.3">
      <c r="A125" s="7" t="s">
        <v>53</v>
      </c>
      <c r="B125" s="6">
        <v>112</v>
      </c>
      <c r="C125" s="7" t="s">
        <v>398</v>
      </c>
      <c r="D125" s="7" t="s">
        <v>398</v>
      </c>
      <c r="E125" s="5"/>
      <c r="F125" s="4"/>
      <c r="G125" s="7" t="s">
        <v>410</v>
      </c>
      <c r="H125" s="5"/>
      <c r="I125" s="5"/>
      <c r="J125" s="7" t="s">
        <v>411</v>
      </c>
      <c r="K125" s="7" t="s">
        <v>24</v>
      </c>
      <c r="L125" s="7" t="s">
        <v>412</v>
      </c>
      <c r="M125" s="109">
        <v>216787032</v>
      </c>
      <c r="N125" s="111"/>
      <c r="O125" s="109">
        <v>7500000</v>
      </c>
      <c r="P125" s="110"/>
      <c r="Q125" s="109">
        <f t="shared" si="8"/>
        <v>224287032</v>
      </c>
      <c r="R125" s="3">
        <v>216787032</v>
      </c>
      <c r="S125" s="5"/>
      <c r="T125" s="30">
        <v>7500000</v>
      </c>
      <c r="U125" s="5"/>
      <c r="V125" s="5"/>
      <c r="W125" s="28"/>
      <c r="X125" s="28">
        <f t="shared" si="9"/>
        <v>0</v>
      </c>
      <c r="Y125" s="28">
        <f t="shared" si="10"/>
        <v>0</v>
      </c>
      <c r="Z125" s="28">
        <f t="shared" si="11"/>
        <v>0</v>
      </c>
      <c r="AA125" s="4"/>
      <c r="AB125" s="4"/>
      <c r="AC125">
        <f t="shared" si="12"/>
        <v>2</v>
      </c>
    </row>
    <row r="126" spans="1:30" ht="31.2" x14ac:dyDescent="0.3">
      <c r="A126" s="7" t="s">
        <v>18</v>
      </c>
      <c r="B126" s="6">
        <v>113</v>
      </c>
      <c r="C126" s="7" t="s">
        <v>398</v>
      </c>
      <c r="D126" s="7" t="s">
        <v>398</v>
      </c>
      <c r="E126" s="5"/>
      <c r="F126" s="4"/>
      <c r="G126" s="7" t="s">
        <v>413</v>
      </c>
      <c r="H126" s="5"/>
      <c r="I126" s="5"/>
      <c r="J126" s="7" t="s">
        <v>414</v>
      </c>
      <c r="K126" s="7" t="s">
        <v>24</v>
      </c>
      <c r="L126" s="7" t="s">
        <v>415</v>
      </c>
      <c r="M126" s="109">
        <v>5253286196</v>
      </c>
      <c r="N126" s="111"/>
      <c r="O126" s="109">
        <v>15000000</v>
      </c>
      <c r="P126" s="110"/>
      <c r="Q126" s="109">
        <f t="shared" si="8"/>
        <v>5268286196</v>
      </c>
      <c r="R126" s="36">
        <v>5253286196</v>
      </c>
      <c r="S126" s="5"/>
      <c r="T126" s="30">
        <v>15000000</v>
      </c>
      <c r="U126" s="5"/>
      <c r="V126" s="5"/>
      <c r="W126" s="28"/>
      <c r="X126" s="28">
        <f t="shared" si="9"/>
        <v>0</v>
      </c>
      <c r="Y126" s="28">
        <f t="shared" si="10"/>
        <v>0</v>
      </c>
      <c r="Z126" s="28">
        <f t="shared" si="11"/>
        <v>0</v>
      </c>
      <c r="AA126" s="4"/>
      <c r="AB126" s="4"/>
      <c r="AC126">
        <f t="shared" si="12"/>
        <v>2</v>
      </c>
    </row>
    <row r="127" spans="1:30" ht="31.2" x14ac:dyDescent="0.3">
      <c r="A127" s="7" t="s">
        <v>46</v>
      </c>
      <c r="B127" s="6">
        <v>114</v>
      </c>
      <c r="C127" s="7" t="s">
        <v>398</v>
      </c>
      <c r="D127" s="7" t="s">
        <v>398</v>
      </c>
      <c r="E127" s="7" t="s">
        <v>389</v>
      </c>
      <c r="F127" s="4"/>
      <c r="G127" s="7" t="s">
        <v>416</v>
      </c>
      <c r="H127" s="7" t="s">
        <v>417</v>
      </c>
      <c r="I127" s="5"/>
      <c r="J127" s="7" t="s">
        <v>418</v>
      </c>
      <c r="K127" s="7" t="s">
        <v>24</v>
      </c>
      <c r="L127" s="7" t="s">
        <v>419</v>
      </c>
      <c r="M127" s="109">
        <v>2790170557</v>
      </c>
      <c r="N127" s="109">
        <v>608177941</v>
      </c>
      <c r="O127" s="109">
        <v>15000000</v>
      </c>
      <c r="P127" s="110"/>
      <c r="Q127" s="109">
        <f t="shared" si="8"/>
        <v>3413348498</v>
      </c>
      <c r="R127" s="36">
        <v>2790170557</v>
      </c>
      <c r="S127" s="3">
        <v>608177941</v>
      </c>
      <c r="T127" s="30">
        <v>15000000</v>
      </c>
      <c r="U127" s="5"/>
      <c r="V127" s="5"/>
      <c r="W127" s="28"/>
      <c r="X127" s="28">
        <f t="shared" si="9"/>
        <v>0</v>
      </c>
      <c r="Y127" s="28">
        <f t="shared" si="10"/>
        <v>0</v>
      </c>
      <c r="Z127" s="28">
        <f t="shared" si="11"/>
        <v>0</v>
      </c>
      <c r="AA127" s="4"/>
      <c r="AB127" s="4"/>
      <c r="AC127">
        <f t="shared" si="12"/>
        <v>2</v>
      </c>
    </row>
    <row r="128" spans="1:30" ht="31.2" x14ac:dyDescent="0.3">
      <c r="A128" s="7" t="s">
        <v>53</v>
      </c>
      <c r="B128" s="6">
        <v>115</v>
      </c>
      <c r="C128" s="7" t="s">
        <v>398</v>
      </c>
      <c r="D128" s="7" t="s">
        <v>398</v>
      </c>
      <c r="E128" s="5"/>
      <c r="F128" s="4"/>
      <c r="G128" s="7" t="s">
        <v>420</v>
      </c>
      <c r="H128" s="7" t="s">
        <v>421</v>
      </c>
      <c r="I128" s="5"/>
      <c r="J128" s="7" t="s">
        <v>422</v>
      </c>
      <c r="K128" s="7" t="s">
        <v>24</v>
      </c>
      <c r="L128" s="7" t="s">
        <v>423</v>
      </c>
      <c r="M128" s="109">
        <v>2695621120</v>
      </c>
      <c r="N128" s="111"/>
      <c r="O128" s="109">
        <v>15000000</v>
      </c>
      <c r="P128" s="110"/>
      <c r="Q128" s="109">
        <f t="shared" si="8"/>
        <v>2710621120</v>
      </c>
      <c r="R128" s="3">
        <v>2695621120</v>
      </c>
      <c r="S128" s="5"/>
      <c r="T128" s="30">
        <v>15000000</v>
      </c>
      <c r="U128" s="5"/>
      <c r="V128" s="5"/>
      <c r="W128" s="28"/>
      <c r="X128" s="28">
        <f t="shared" si="9"/>
        <v>0</v>
      </c>
      <c r="Y128" s="28">
        <f t="shared" si="10"/>
        <v>0</v>
      </c>
      <c r="Z128" s="28">
        <f t="shared" si="11"/>
        <v>0</v>
      </c>
      <c r="AA128" s="4"/>
      <c r="AB128" s="4"/>
      <c r="AC128">
        <f t="shared" si="12"/>
        <v>2</v>
      </c>
    </row>
    <row r="129" spans="1:30" ht="31.2" x14ac:dyDescent="0.3">
      <c r="A129" s="7" t="s">
        <v>46</v>
      </c>
      <c r="B129" s="6">
        <v>116</v>
      </c>
      <c r="C129" s="7" t="s">
        <v>398</v>
      </c>
      <c r="D129" s="7" t="s">
        <v>398</v>
      </c>
      <c r="E129" s="5"/>
      <c r="F129" s="4"/>
      <c r="G129" s="7" t="s">
        <v>424</v>
      </c>
      <c r="H129" s="5"/>
      <c r="I129" s="5"/>
      <c r="J129" s="7" t="s">
        <v>425</v>
      </c>
      <c r="K129" s="7" t="s">
        <v>24</v>
      </c>
      <c r="L129" s="7" t="s">
        <v>426</v>
      </c>
      <c r="M129" s="109">
        <v>1190765838</v>
      </c>
      <c r="N129" s="111"/>
      <c r="O129" s="109">
        <v>15000000</v>
      </c>
      <c r="P129" s="110"/>
      <c r="Q129" s="109">
        <f t="shared" si="8"/>
        <v>1205765838</v>
      </c>
      <c r="R129" s="36">
        <v>1190765838</v>
      </c>
      <c r="S129" s="5"/>
      <c r="T129" s="30">
        <v>15000000</v>
      </c>
      <c r="U129" s="5"/>
      <c r="V129" s="5"/>
      <c r="W129" s="28"/>
      <c r="X129" s="28">
        <f t="shared" si="9"/>
        <v>0</v>
      </c>
      <c r="Y129" s="28">
        <f t="shared" si="10"/>
        <v>0</v>
      </c>
      <c r="Z129" s="28">
        <f t="shared" si="11"/>
        <v>0</v>
      </c>
      <c r="AA129" s="4"/>
      <c r="AB129" s="4"/>
      <c r="AC129">
        <f t="shared" si="12"/>
        <v>2</v>
      </c>
    </row>
    <row r="130" spans="1:30" ht="78" x14ac:dyDescent="0.3">
      <c r="A130" s="7" t="s">
        <v>18</v>
      </c>
      <c r="B130" s="6">
        <v>117</v>
      </c>
      <c r="C130" s="7" t="s">
        <v>398</v>
      </c>
      <c r="D130" s="7" t="s">
        <v>398</v>
      </c>
      <c r="E130" s="7" t="s">
        <v>427</v>
      </c>
      <c r="F130" s="4"/>
      <c r="G130" s="7" t="s">
        <v>428</v>
      </c>
      <c r="H130" s="5"/>
      <c r="I130" s="7" t="s">
        <v>28</v>
      </c>
      <c r="J130" s="7" t="s">
        <v>429</v>
      </c>
      <c r="K130" s="7" t="s">
        <v>24</v>
      </c>
      <c r="L130" s="7" t="s">
        <v>430</v>
      </c>
      <c r="M130" s="109">
        <v>725498800</v>
      </c>
      <c r="N130" s="111"/>
      <c r="O130" s="109">
        <v>7500000</v>
      </c>
      <c r="P130" s="110"/>
      <c r="Q130" s="109">
        <f t="shared" si="8"/>
        <v>732998800</v>
      </c>
      <c r="R130" s="36">
        <v>725498800</v>
      </c>
      <c r="S130" s="5"/>
      <c r="T130" s="30">
        <v>7500000</v>
      </c>
      <c r="U130" s="5"/>
      <c r="V130" s="12">
        <v>-193390512</v>
      </c>
      <c r="W130" s="28"/>
      <c r="X130" s="28">
        <f t="shared" si="9"/>
        <v>0</v>
      </c>
      <c r="Y130" s="28">
        <f t="shared" si="10"/>
        <v>0</v>
      </c>
      <c r="Z130" s="28">
        <f t="shared" si="11"/>
        <v>0</v>
      </c>
      <c r="AA130" s="4"/>
      <c r="AB130" s="4"/>
      <c r="AC130">
        <f t="shared" si="12"/>
        <v>2</v>
      </c>
    </row>
    <row r="131" spans="1:30" ht="62.4" x14ac:dyDescent="0.3">
      <c r="A131" s="7" t="s">
        <v>46</v>
      </c>
      <c r="B131" s="6">
        <v>118</v>
      </c>
      <c r="C131" s="7" t="s">
        <v>398</v>
      </c>
      <c r="D131" s="7" t="s">
        <v>398</v>
      </c>
      <c r="E131" s="5"/>
      <c r="F131" s="4"/>
      <c r="G131" s="7" t="s">
        <v>431</v>
      </c>
      <c r="H131" s="5"/>
      <c r="I131" s="5"/>
      <c r="J131" s="7" t="s">
        <v>432</v>
      </c>
      <c r="K131" s="7" t="s">
        <v>24</v>
      </c>
      <c r="L131" s="7" t="s">
        <v>433</v>
      </c>
      <c r="M131" s="109">
        <v>0</v>
      </c>
      <c r="N131" s="111"/>
      <c r="O131" s="109">
        <v>7500000</v>
      </c>
      <c r="P131" s="110"/>
      <c r="Q131" s="109">
        <f t="shared" si="8"/>
        <v>7500000</v>
      </c>
      <c r="R131" s="6">
        <v>0</v>
      </c>
      <c r="S131" s="5"/>
      <c r="T131" s="30">
        <v>7500000</v>
      </c>
      <c r="U131" s="5"/>
      <c r="V131" s="5"/>
      <c r="W131" s="28"/>
      <c r="X131" s="28">
        <f t="shared" si="9"/>
        <v>0</v>
      </c>
      <c r="Y131" s="28">
        <f t="shared" si="10"/>
        <v>0</v>
      </c>
      <c r="Z131" s="28">
        <f t="shared" si="11"/>
        <v>0</v>
      </c>
      <c r="AA131" s="4"/>
      <c r="AB131" s="4"/>
      <c r="AC131">
        <f t="shared" si="12"/>
        <v>2</v>
      </c>
    </row>
    <row r="132" spans="1:30" ht="31.2" x14ac:dyDescent="0.3">
      <c r="A132" s="7" t="s">
        <v>62</v>
      </c>
      <c r="B132" s="6">
        <v>119</v>
      </c>
      <c r="C132" s="7" t="s">
        <v>398</v>
      </c>
      <c r="D132" s="7" t="s">
        <v>398</v>
      </c>
      <c r="E132" s="5"/>
      <c r="F132" s="4"/>
      <c r="G132" s="7" t="s">
        <v>434</v>
      </c>
      <c r="H132" s="5"/>
      <c r="I132" s="5"/>
      <c r="J132" s="7" t="s">
        <v>435</v>
      </c>
      <c r="K132" s="7" t="s">
        <v>24</v>
      </c>
      <c r="L132" s="7" t="s">
        <v>436</v>
      </c>
      <c r="M132" s="109">
        <v>28234674360</v>
      </c>
      <c r="N132" s="111"/>
      <c r="O132" s="109">
        <v>7500000</v>
      </c>
      <c r="P132" s="110"/>
      <c r="Q132" s="109">
        <f t="shared" si="8"/>
        <v>28242174360</v>
      </c>
      <c r="R132" s="3">
        <v>28234674360</v>
      </c>
      <c r="S132" s="5"/>
      <c r="T132" s="30">
        <v>7500000</v>
      </c>
      <c r="U132" s="5"/>
      <c r="V132" s="5"/>
      <c r="W132" s="28"/>
      <c r="X132" s="28">
        <f t="shared" si="9"/>
        <v>0</v>
      </c>
      <c r="Y132" s="28">
        <f t="shared" si="10"/>
        <v>0</v>
      </c>
      <c r="Z132" s="28">
        <f t="shared" si="11"/>
        <v>0</v>
      </c>
      <c r="AA132" s="4"/>
      <c r="AB132" s="4"/>
      <c r="AC132">
        <f t="shared" si="12"/>
        <v>2</v>
      </c>
    </row>
    <row r="133" spans="1:30" ht="31.2" x14ac:dyDescent="0.3">
      <c r="A133" s="7" t="s">
        <v>62</v>
      </c>
      <c r="B133" s="6">
        <v>120</v>
      </c>
      <c r="C133" s="7" t="s">
        <v>398</v>
      </c>
      <c r="D133" s="7" t="s">
        <v>398</v>
      </c>
      <c r="E133" s="5"/>
      <c r="F133" s="4"/>
      <c r="G133" s="7" t="s">
        <v>437</v>
      </c>
      <c r="H133" s="5"/>
      <c r="I133" s="5"/>
      <c r="J133" s="7" t="s">
        <v>438</v>
      </c>
      <c r="K133" s="7" t="s">
        <v>24</v>
      </c>
      <c r="L133" s="7" t="s">
        <v>439</v>
      </c>
      <c r="M133" s="109">
        <v>1810252300</v>
      </c>
      <c r="N133" s="111"/>
      <c r="O133" s="109">
        <v>15000000</v>
      </c>
      <c r="P133" s="110"/>
      <c r="Q133" s="109">
        <f t="shared" si="8"/>
        <v>1825252300</v>
      </c>
      <c r="R133" s="3">
        <v>1810252300</v>
      </c>
      <c r="S133" s="5"/>
      <c r="T133" s="30">
        <v>15000000</v>
      </c>
      <c r="U133" s="5"/>
      <c r="V133" s="5"/>
      <c r="W133" s="28"/>
      <c r="X133" s="28">
        <f t="shared" si="9"/>
        <v>0</v>
      </c>
      <c r="Y133" s="28">
        <f t="shared" si="10"/>
        <v>0</v>
      </c>
      <c r="Z133" s="28">
        <f t="shared" si="11"/>
        <v>0</v>
      </c>
      <c r="AA133" s="4"/>
      <c r="AB133" s="4"/>
      <c r="AC133">
        <f t="shared" si="12"/>
        <v>2</v>
      </c>
    </row>
    <row r="134" spans="1:30" ht="31.2" x14ac:dyDescent="0.3">
      <c r="A134" s="7" t="s">
        <v>62</v>
      </c>
      <c r="B134" s="6">
        <v>121</v>
      </c>
      <c r="C134" s="7" t="s">
        <v>398</v>
      </c>
      <c r="D134" s="7" t="s">
        <v>398</v>
      </c>
      <c r="E134" s="5"/>
      <c r="F134" s="4"/>
      <c r="G134" s="7" t="s">
        <v>440</v>
      </c>
      <c r="H134" s="5"/>
      <c r="I134" s="5"/>
      <c r="J134" s="7" t="s">
        <v>441</v>
      </c>
      <c r="K134" s="7" t="s">
        <v>24</v>
      </c>
      <c r="L134" s="7" t="s">
        <v>442</v>
      </c>
      <c r="M134" s="109">
        <v>547702548</v>
      </c>
      <c r="N134" s="111"/>
      <c r="O134" s="109">
        <v>7500000</v>
      </c>
      <c r="P134" s="110"/>
      <c r="Q134" s="109">
        <f t="shared" si="8"/>
        <v>555202548</v>
      </c>
      <c r="R134" s="3">
        <v>547702548</v>
      </c>
      <c r="S134" s="5"/>
      <c r="T134" s="30">
        <v>7500000</v>
      </c>
      <c r="U134" s="5"/>
      <c r="V134" s="5"/>
      <c r="W134" s="28"/>
      <c r="X134" s="28">
        <f t="shared" si="9"/>
        <v>0</v>
      </c>
      <c r="Y134" s="28">
        <f t="shared" si="10"/>
        <v>0</v>
      </c>
      <c r="Z134" s="28">
        <f t="shared" si="11"/>
        <v>0</v>
      </c>
      <c r="AA134" s="4"/>
      <c r="AB134" s="4"/>
      <c r="AC134">
        <f t="shared" si="12"/>
        <v>2</v>
      </c>
    </row>
    <row r="135" spans="1:30" ht="31.2" x14ac:dyDescent="0.3">
      <c r="A135" s="7" t="s">
        <v>62</v>
      </c>
      <c r="B135" s="6">
        <v>122</v>
      </c>
      <c r="C135" s="7" t="s">
        <v>398</v>
      </c>
      <c r="D135" s="7" t="s">
        <v>398</v>
      </c>
      <c r="E135" s="5"/>
      <c r="F135" s="4"/>
      <c r="G135" s="7" t="s">
        <v>443</v>
      </c>
      <c r="H135" s="5"/>
      <c r="I135" s="5"/>
      <c r="J135" s="7" t="s">
        <v>441</v>
      </c>
      <c r="K135" s="7" t="s">
        <v>24</v>
      </c>
      <c r="L135" s="7" t="s">
        <v>444</v>
      </c>
      <c r="M135" s="109">
        <v>2570795140</v>
      </c>
      <c r="N135" s="111"/>
      <c r="O135" s="109">
        <v>7500000</v>
      </c>
      <c r="P135" s="110"/>
      <c r="Q135" s="109">
        <f t="shared" si="8"/>
        <v>2578295140</v>
      </c>
      <c r="R135" s="3">
        <v>2570795140</v>
      </c>
      <c r="S135" s="5"/>
      <c r="T135" s="30">
        <v>7500000</v>
      </c>
      <c r="U135" s="5"/>
      <c r="V135" s="5"/>
      <c r="W135" s="28"/>
      <c r="X135" s="28">
        <f t="shared" si="9"/>
        <v>0</v>
      </c>
      <c r="Y135" s="28">
        <f t="shared" si="10"/>
        <v>0</v>
      </c>
      <c r="Z135" s="28">
        <f t="shared" si="11"/>
        <v>0</v>
      </c>
      <c r="AA135" s="4"/>
      <c r="AB135" s="4"/>
      <c r="AC135">
        <f t="shared" si="12"/>
        <v>2</v>
      </c>
    </row>
    <row r="136" spans="1:30" ht="31.2" x14ac:dyDescent="0.3">
      <c r="A136" s="7" t="s">
        <v>46</v>
      </c>
      <c r="B136" s="6">
        <v>123</v>
      </c>
      <c r="C136" s="7" t="s">
        <v>398</v>
      </c>
      <c r="D136" s="7" t="s">
        <v>398</v>
      </c>
      <c r="E136" s="5"/>
      <c r="F136" s="4"/>
      <c r="G136" s="7" t="s">
        <v>445</v>
      </c>
      <c r="H136" s="5"/>
      <c r="I136" s="5"/>
      <c r="J136" s="7" t="s">
        <v>446</v>
      </c>
      <c r="K136" s="7" t="s">
        <v>24</v>
      </c>
      <c r="L136" s="7" t="s">
        <v>447</v>
      </c>
      <c r="M136" s="109">
        <v>3746087590</v>
      </c>
      <c r="N136" s="111"/>
      <c r="O136" s="109">
        <v>7500000</v>
      </c>
      <c r="P136" s="110"/>
      <c r="Q136" s="109">
        <f t="shared" si="8"/>
        <v>3753587590</v>
      </c>
      <c r="R136" s="36">
        <v>3746087590</v>
      </c>
      <c r="S136" s="5"/>
      <c r="T136" s="30">
        <v>7500000</v>
      </c>
      <c r="U136" s="5"/>
      <c r="V136" s="5"/>
      <c r="W136" s="28"/>
      <c r="X136" s="28">
        <f t="shared" si="9"/>
        <v>0</v>
      </c>
      <c r="Y136" s="28">
        <f t="shared" si="10"/>
        <v>0</v>
      </c>
      <c r="Z136" s="28">
        <f t="shared" si="11"/>
        <v>0</v>
      </c>
      <c r="AA136" s="4"/>
      <c r="AB136" s="4"/>
      <c r="AC136">
        <f t="shared" si="12"/>
        <v>2</v>
      </c>
    </row>
    <row r="137" spans="1:30" ht="31.2" x14ac:dyDescent="0.3">
      <c r="A137" s="7" t="s">
        <v>46</v>
      </c>
      <c r="B137" s="6">
        <v>124</v>
      </c>
      <c r="C137" s="7" t="s">
        <v>398</v>
      </c>
      <c r="D137" s="7" t="s">
        <v>398</v>
      </c>
      <c r="E137" s="5"/>
      <c r="F137" s="4"/>
      <c r="G137" s="7" t="s">
        <v>448</v>
      </c>
      <c r="H137" s="5"/>
      <c r="I137" s="5"/>
      <c r="J137" s="7" t="s">
        <v>449</v>
      </c>
      <c r="K137" s="7" t="s">
        <v>24</v>
      </c>
      <c r="L137" s="7" t="s">
        <v>450</v>
      </c>
      <c r="M137" s="109">
        <v>6045384105</v>
      </c>
      <c r="N137" s="111"/>
      <c r="O137" s="109">
        <v>15000000</v>
      </c>
      <c r="P137" s="110"/>
      <c r="Q137" s="109">
        <f t="shared" si="8"/>
        <v>6060384105</v>
      </c>
      <c r="R137" s="36">
        <v>6045384105</v>
      </c>
      <c r="S137" s="5"/>
      <c r="T137" s="30">
        <v>15000000</v>
      </c>
      <c r="U137" s="5"/>
      <c r="V137" s="5"/>
      <c r="W137" s="28"/>
      <c r="X137" s="28">
        <f t="shared" si="9"/>
        <v>0</v>
      </c>
      <c r="Y137" s="28">
        <f t="shared" si="10"/>
        <v>0</v>
      </c>
      <c r="Z137" s="28">
        <f t="shared" si="11"/>
        <v>0</v>
      </c>
      <c r="AA137" s="4"/>
      <c r="AB137" s="4"/>
      <c r="AC137">
        <f t="shared" si="12"/>
        <v>2</v>
      </c>
    </row>
    <row r="138" spans="1:30" ht="31.2" x14ac:dyDescent="0.3">
      <c r="A138" s="7" t="s">
        <v>18</v>
      </c>
      <c r="B138" s="6">
        <v>125</v>
      </c>
      <c r="C138" s="7" t="s">
        <v>398</v>
      </c>
      <c r="D138" s="7" t="s">
        <v>398</v>
      </c>
      <c r="E138" s="5"/>
      <c r="F138" s="4"/>
      <c r="G138" s="7" t="s">
        <v>451</v>
      </c>
      <c r="H138" s="5"/>
      <c r="I138" s="7" t="s">
        <v>40</v>
      </c>
      <c r="J138" s="7" t="s">
        <v>111</v>
      </c>
      <c r="K138" s="7" t="s">
        <v>24</v>
      </c>
      <c r="L138" s="7" t="s">
        <v>452</v>
      </c>
      <c r="M138" s="109">
        <v>0</v>
      </c>
      <c r="N138" s="111"/>
      <c r="O138" s="74"/>
      <c r="P138" s="110"/>
      <c r="Q138" s="109">
        <f t="shared" si="8"/>
        <v>0</v>
      </c>
      <c r="R138" s="6">
        <v>0</v>
      </c>
      <c r="S138" s="5"/>
      <c r="T138" s="31"/>
      <c r="U138" s="5"/>
      <c r="V138" s="5"/>
      <c r="W138" s="28"/>
      <c r="X138" s="28">
        <f t="shared" si="9"/>
        <v>0</v>
      </c>
      <c r="Y138" s="28">
        <f t="shared" si="10"/>
        <v>0</v>
      </c>
      <c r="Z138" s="28">
        <f t="shared" si="11"/>
        <v>0</v>
      </c>
      <c r="AA138" s="4"/>
      <c r="AB138" s="4"/>
      <c r="AC138">
        <f t="shared" si="12"/>
        <v>2</v>
      </c>
    </row>
    <row r="139" spans="1:30" ht="31.2" x14ac:dyDescent="0.3">
      <c r="A139" s="7" t="s">
        <v>62</v>
      </c>
      <c r="B139" s="6">
        <v>126</v>
      </c>
      <c r="C139" s="7" t="s">
        <v>398</v>
      </c>
      <c r="D139" s="7" t="s">
        <v>398</v>
      </c>
      <c r="E139" s="5"/>
      <c r="F139" s="4"/>
      <c r="G139" s="7" t="s">
        <v>453</v>
      </c>
      <c r="H139" s="5"/>
      <c r="I139" s="5"/>
      <c r="J139" s="7" t="s">
        <v>454</v>
      </c>
      <c r="K139" s="7" t="s">
        <v>24</v>
      </c>
      <c r="L139" s="7" t="s">
        <v>455</v>
      </c>
      <c r="M139" s="109">
        <v>659212100</v>
      </c>
      <c r="N139" s="111"/>
      <c r="O139" s="109">
        <v>7500000</v>
      </c>
      <c r="P139" s="110"/>
      <c r="Q139" s="109">
        <f t="shared" si="8"/>
        <v>666712100</v>
      </c>
      <c r="R139" s="3">
        <v>659212100</v>
      </c>
      <c r="S139" s="5"/>
      <c r="T139" s="31">
        <v>7500000</v>
      </c>
      <c r="U139" s="5"/>
      <c r="V139" s="5"/>
      <c r="W139" s="28"/>
      <c r="X139" s="28">
        <f t="shared" si="9"/>
        <v>0</v>
      </c>
      <c r="Y139" s="28">
        <f t="shared" si="10"/>
        <v>0</v>
      </c>
      <c r="Z139" s="28">
        <f t="shared" si="11"/>
        <v>0</v>
      </c>
      <c r="AA139" s="4"/>
      <c r="AB139" s="4"/>
      <c r="AC139">
        <f t="shared" si="12"/>
        <v>2</v>
      </c>
    </row>
    <row r="140" spans="1:30" ht="31.2" x14ac:dyDescent="0.3">
      <c r="A140" s="7" t="s">
        <v>18</v>
      </c>
      <c r="B140" s="6">
        <v>127</v>
      </c>
      <c r="C140" s="7" t="s">
        <v>398</v>
      </c>
      <c r="D140" s="7" t="s">
        <v>398</v>
      </c>
      <c r="E140" s="5"/>
      <c r="F140" s="4"/>
      <c r="G140" s="7" t="s">
        <v>456</v>
      </c>
      <c r="H140" s="5"/>
      <c r="I140" s="5"/>
      <c r="J140" s="7" t="s">
        <v>457</v>
      </c>
      <c r="K140" s="7" t="s">
        <v>24</v>
      </c>
      <c r="L140" s="7" t="s">
        <v>458</v>
      </c>
      <c r="M140" s="109">
        <v>99800000</v>
      </c>
      <c r="N140" s="111"/>
      <c r="O140" s="109">
        <v>7500000</v>
      </c>
      <c r="P140" s="110"/>
      <c r="Q140" s="109">
        <f t="shared" si="8"/>
        <v>107300000</v>
      </c>
      <c r="R140" s="3">
        <v>99800000</v>
      </c>
      <c r="S140" s="5"/>
      <c r="T140" s="30">
        <v>7500000</v>
      </c>
      <c r="U140" s="5"/>
      <c r="V140" s="5"/>
      <c r="W140" s="28"/>
      <c r="X140" s="28">
        <f t="shared" si="9"/>
        <v>0</v>
      </c>
      <c r="Y140" s="28">
        <f t="shared" si="10"/>
        <v>0</v>
      </c>
      <c r="Z140" s="28">
        <f t="shared" si="11"/>
        <v>0</v>
      </c>
      <c r="AA140" s="4"/>
      <c r="AB140" s="4"/>
      <c r="AC140">
        <f t="shared" si="12"/>
        <v>2</v>
      </c>
    </row>
    <row r="141" spans="1:30" ht="31.2" x14ac:dyDescent="0.3">
      <c r="A141" s="7" t="s">
        <v>53</v>
      </c>
      <c r="B141" s="6">
        <v>128</v>
      </c>
      <c r="C141" s="7" t="s">
        <v>398</v>
      </c>
      <c r="D141" s="7" t="s">
        <v>398</v>
      </c>
      <c r="E141" s="7" t="s">
        <v>212</v>
      </c>
      <c r="F141" s="4"/>
      <c r="G141" s="7" t="s">
        <v>459</v>
      </c>
      <c r="H141" s="7" t="s">
        <v>460</v>
      </c>
      <c r="I141" s="5"/>
      <c r="J141" s="7" t="s">
        <v>461</v>
      </c>
      <c r="K141" s="7" t="s">
        <v>24</v>
      </c>
      <c r="L141" s="7" t="s">
        <v>462</v>
      </c>
      <c r="M141" s="109">
        <v>3116216204</v>
      </c>
      <c r="N141" s="109">
        <v>1408896</v>
      </c>
      <c r="O141" s="109">
        <v>15000000</v>
      </c>
      <c r="P141" s="110"/>
      <c r="Q141" s="109">
        <f t="shared" si="8"/>
        <v>3132625100</v>
      </c>
      <c r="R141" s="3">
        <v>3116216204</v>
      </c>
      <c r="S141" s="3">
        <v>1408896</v>
      </c>
      <c r="T141" s="30">
        <v>15000000</v>
      </c>
      <c r="U141" s="5"/>
      <c r="V141" s="5"/>
      <c r="W141" s="28"/>
      <c r="X141" s="28">
        <f t="shared" si="9"/>
        <v>0</v>
      </c>
      <c r="Y141" s="28">
        <f t="shared" si="10"/>
        <v>0</v>
      </c>
      <c r="Z141" s="28">
        <f t="shared" si="11"/>
        <v>0</v>
      </c>
      <c r="AA141" s="4"/>
      <c r="AB141" s="4"/>
      <c r="AC141">
        <f t="shared" si="12"/>
        <v>2</v>
      </c>
    </row>
    <row r="142" spans="1:30" ht="31.2" x14ac:dyDescent="0.3">
      <c r="A142" s="7" t="s">
        <v>18</v>
      </c>
      <c r="B142" s="6">
        <v>129</v>
      </c>
      <c r="C142" s="7" t="s">
        <v>398</v>
      </c>
      <c r="D142" s="7" t="s">
        <v>398</v>
      </c>
      <c r="E142" s="7"/>
      <c r="F142" s="4"/>
      <c r="G142" s="7" t="s">
        <v>463</v>
      </c>
      <c r="H142" s="7"/>
      <c r="I142" s="7"/>
      <c r="J142" s="7" t="s">
        <v>464</v>
      </c>
      <c r="K142" s="7" t="s">
        <v>24</v>
      </c>
      <c r="L142" s="7" t="s">
        <v>465</v>
      </c>
      <c r="M142" s="109">
        <v>2855511110</v>
      </c>
      <c r="N142" s="111"/>
      <c r="O142" s="109">
        <v>7500000</v>
      </c>
      <c r="P142" s="110"/>
      <c r="Q142" s="109">
        <f t="shared" si="8"/>
        <v>2863011110</v>
      </c>
      <c r="R142" s="3">
        <v>2855511110</v>
      </c>
      <c r="S142" s="5"/>
      <c r="T142" s="72"/>
      <c r="U142" s="5"/>
      <c r="V142" s="5"/>
      <c r="W142" s="28"/>
      <c r="X142" s="28">
        <f t="shared" si="9"/>
        <v>0</v>
      </c>
      <c r="Y142" s="36">
        <f t="shared" si="10"/>
        <v>7500000</v>
      </c>
      <c r="Z142" s="28">
        <f t="shared" si="11"/>
        <v>0</v>
      </c>
      <c r="AA142" s="4"/>
      <c r="AB142" s="40"/>
      <c r="AC142" s="121">
        <f t="shared" si="12"/>
        <v>2</v>
      </c>
      <c r="AD142" s="121"/>
    </row>
    <row r="143" spans="1:30" ht="31.2" x14ac:dyDescent="0.3">
      <c r="A143" s="7" t="s">
        <v>18</v>
      </c>
      <c r="B143" s="6">
        <v>130</v>
      </c>
      <c r="C143" s="7" t="s">
        <v>466</v>
      </c>
      <c r="D143" s="7" t="s">
        <v>466</v>
      </c>
      <c r="E143" s="5"/>
      <c r="F143" s="4"/>
      <c r="G143" s="7" t="s">
        <v>467</v>
      </c>
      <c r="H143" s="5"/>
      <c r="I143" s="5"/>
      <c r="J143" s="7" t="s">
        <v>468</v>
      </c>
      <c r="K143" s="7" t="s">
        <v>24</v>
      </c>
      <c r="L143" s="7" t="s">
        <v>469</v>
      </c>
      <c r="M143" s="109">
        <v>442633200</v>
      </c>
      <c r="N143" s="111"/>
      <c r="O143" s="109">
        <v>7500000</v>
      </c>
      <c r="P143" s="110"/>
      <c r="Q143" s="109">
        <f t="shared" ref="Q143:Q206" si="13">M143+N143+O143+P143</f>
        <v>450133200</v>
      </c>
      <c r="R143" s="3">
        <v>442633200</v>
      </c>
      <c r="S143" s="5"/>
      <c r="T143" s="30">
        <v>7500000</v>
      </c>
      <c r="U143" s="5"/>
      <c r="V143" s="5"/>
      <c r="W143" s="28"/>
      <c r="X143" s="28">
        <f t="shared" ref="X143:X206" si="14">N143-S143</f>
        <v>0</v>
      </c>
      <c r="Y143" s="28">
        <f t="shared" ref="Y143:Y206" si="15">O143-T143</f>
        <v>0</v>
      </c>
      <c r="Z143" s="28">
        <f t="shared" ref="Z143:Z206" si="16">P143-U143</f>
        <v>0</v>
      </c>
      <c r="AA143" s="4"/>
      <c r="AB143" s="4"/>
      <c r="AC143">
        <f t="shared" ref="AC143:AC206" si="17">IF(AB143=G143,1,2)</f>
        <v>2</v>
      </c>
    </row>
    <row r="144" spans="1:30" ht="31.2" x14ac:dyDescent="0.3">
      <c r="A144" s="7" t="s">
        <v>18</v>
      </c>
      <c r="B144" s="6">
        <v>131</v>
      </c>
      <c r="C144" s="7" t="s">
        <v>466</v>
      </c>
      <c r="D144" s="7" t="s">
        <v>466</v>
      </c>
      <c r="E144" s="7"/>
      <c r="F144" s="4"/>
      <c r="G144" s="7" t="s">
        <v>470</v>
      </c>
      <c r="H144" s="7"/>
      <c r="I144" s="7"/>
      <c r="J144" s="7" t="s">
        <v>471</v>
      </c>
      <c r="K144" s="7" t="s">
        <v>24</v>
      </c>
      <c r="L144" s="7" t="s">
        <v>472</v>
      </c>
      <c r="M144" s="109">
        <v>4416075000</v>
      </c>
      <c r="N144" s="111"/>
      <c r="O144" s="109">
        <v>7500000</v>
      </c>
      <c r="P144" s="110"/>
      <c r="Q144" s="109">
        <f t="shared" si="13"/>
        <v>4423575000</v>
      </c>
      <c r="R144" s="3">
        <v>4416075000</v>
      </c>
      <c r="S144" s="5"/>
      <c r="T144" s="72"/>
      <c r="U144" s="5"/>
      <c r="V144" s="5"/>
      <c r="W144" s="28"/>
      <c r="X144" s="28">
        <f t="shared" si="14"/>
        <v>0</v>
      </c>
      <c r="Y144" s="36">
        <f t="shared" si="15"/>
        <v>7500000</v>
      </c>
      <c r="Z144" s="28">
        <f t="shared" si="16"/>
        <v>0</v>
      </c>
      <c r="AA144" s="4"/>
      <c r="AB144" s="40"/>
      <c r="AC144" s="121">
        <f t="shared" si="17"/>
        <v>2</v>
      </c>
      <c r="AD144" s="121"/>
    </row>
    <row r="145" spans="1:30" ht="31.2" x14ac:dyDescent="0.3">
      <c r="A145" s="7" t="s">
        <v>62</v>
      </c>
      <c r="B145" s="6">
        <v>132</v>
      </c>
      <c r="C145" s="7" t="s">
        <v>466</v>
      </c>
      <c r="D145" s="7" t="s">
        <v>466</v>
      </c>
      <c r="E145" s="5"/>
      <c r="F145" s="4"/>
      <c r="G145" s="7" t="s">
        <v>473</v>
      </c>
      <c r="H145" s="5"/>
      <c r="I145" s="5"/>
      <c r="J145" s="7" t="s">
        <v>474</v>
      </c>
      <c r="K145" s="7" t="s">
        <v>24</v>
      </c>
      <c r="L145" s="7" t="s">
        <v>475</v>
      </c>
      <c r="M145" s="109">
        <v>371583574</v>
      </c>
      <c r="N145" s="111"/>
      <c r="O145" s="109">
        <v>7500000</v>
      </c>
      <c r="P145" s="110"/>
      <c r="Q145" s="109">
        <f t="shared" si="13"/>
        <v>379083574</v>
      </c>
      <c r="R145" s="3">
        <v>371583574</v>
      </c>
      <c r="S145" s="5"/>
      <c r="T145" s="30">
        <v>7500000</v>
      </c>
      <c r="U145" s="5"/>
      <c r="V145" s="5"/>
      <c r="W145" s="28"/>
      <c r="X145" s="28">
        <f t="shared" si="14"/>
        <v>0</v>
      </c>
      <c r="Y145" s="28">
        <f t="shared" si="15"/>
        <v>0</v>
      </c>
      <c r="Z145" s="28">
        <f t="shared" si="16"/>
        <v>0</v>
      </c>
      <c r="AA145" s="4"/>
      <c r="AB145" s="4"/>
      <c r="AC145">
        <f t="shared" si="17"/>
        <v>2</v>
      </c>
    </row>
    <row r="146" spans="1:30" ht="31.2" x14ac:dyDescent="0.3">
      <c r="A146" s="7" t="s">
        <v>62</v>
      </c>
      <c r="B146" s="6">
        <v>133</v>
      </c>
      <c r="C146" s="7" t="s">
        <v>466</v>
      </c>
      <c r="D146" s="7" t="s">
        <v>466</v>
      </c>
      <c r="E146" s="5"/>
      <c r="F146" s="4"/>
      <c r="G146" s="7" t="s">
        <v>476</v>
      </c>
      <c r="H146" s="5"/>
      <c r="I146" s="5"/>
      <c r="J146" s="7" t="s">
        <v>477</v>
      </c>
      <c r="K146" s="7" t="s">
        <v>24</v>
      </c>
      <c r="L146" s="7" t="s">
        <v>478</v>
      </c>
      <c r="M146" s="109">
        <v>374522488</v>
      </c>
      <c r="N146" s="111"/>
      <c r="O146" s="109">
        <v>7500000</v>
      </c>
      <c r="P146" s="110"/>
      <c r="Q146" s="109">
        <f t="shared" si="13"/>
        <v>382022488</v>
      </c>
      <c r="R146" s="3">
        <v>374522488</v>
      </c>
      <c r="S146" s="5"/>
      <c r="T146" s="30">
        <v>7500000</v>
      </c>
      <c r="U146" s="5"/>
      <c r="V146" s="5"/>
      <c r="W146" s="28"/>
      <c r="X146" s="28">
        <f t="shared" si="14"/>
        <v>0</v>
      </c>
      <c r="Y146" s="28">
        <f t="shared" si="15"/>
        <v>0</v>
      </c>
      <c r="Z146" s="28">
        <f t="shared" si="16"/>
        <v>0</v>
      </c>
      <c r="AA146" s="4"/>
      <c r="AB146" s="4"/>
      <c r="AC146">
        <f t="shared" si="17"/>
        <v>2</v>
      </c>
    </row>
    <row r="147" spans="1:30" ht="31.2" x14ac:dyDescent="0.3">
      <c r="A147" s="7" t="s">
        <v>53</v>
      </c>
      <c r="B147" s="6">
        <v>134</v>
      </c>
      <c r="C147" s="7" t="s">
        <v>466</v>
      </c>
      <c r="D147" s="7" t="s">
        <v>466</v>
      </c>
      <c r="E147" s="5"/>
      <c r="F147" s="4"/>
      <c r="G147" s="7" t="s">
        <v>479</v>
      </c>
      <c r="H147" s="5"/>
      <c r="I147" s="5"/>
      <c r="J147" s="7" t="s">
        <v>480</v>
      </c>
      <c r="K147" s="7" t="s">
        <v>24</v>
      </c>
      <c r="L147" s="7" t="s">
        <v>481</v>
      </c>
      <c r="M147" s="109">
        <v>1958914892</v>
      </c>
      <c r="N147" s="111"/>
      <c r="O147" s="109">
        <v>7500000</v>
      </c>
      <c r="P147" s="110"/>
      <c r="Q147" s="109">
        <f t="shared" si="13"/>
        <v>1966414892</v>
      </c>
      <c r="R147" s="3">
        <v>1958914892</v>
      </c>
      <c r="S147" s="5"/>
      <c r="T147" s="30">
        <v>7500000</v>
      </c>
      <c r="U147" s="5"/>
      <c r="V147" s="5"/>
      <c r="W147" s="28"/>
      <c r="X147" s="28">
        <f t="shared" si="14"/>
        <v>0</v>
      </c>
      <c r="Y147" s="28">
        <f t="shared" si="15"/>
        <v>0</v>
      </c>
      <c r="Z147" s="28">
        <f t="shared" si="16"/>
        <v>0</v>
      </c>
      <c r="AA147" s="4"/>
      <c r="AB147" s="4"/>
      <c r="AC147">
        <f t="shared" si="17"/>
        <v>2</v>
      </c>
    </row>
    <row r="148" spans="1:30" ht="31.2" x14ac:dyDescent="0.3">
      <c r="A148" s="7" t="s">
        <v>53</v>
      </c>
      <c r="B148" s="6">
        <v>135</v>
      </c>
      <c r="C148" s="7" t="s">
        <v>466</v>
      </c>
      <c r="D148" s="7" t="s">
        <v>466</v>
      </c>
      <c r="E148" s="5"/>
      <c r="F148" s="4"/>
      <c r="G148" s="7" t="s">
        <v>482</v>
      </c>
      <c r="H148" s="5"/>
      <c r="I148" s="5"/>
      <c r="J148" s="7" t="s">
        <v>483</v>
      </c>
      <c r="K148" s="7" t="s">
        <v>24</v>
      </c>
      <c r="L148" s="7" t="s">
        <v>484</v>
      </c>
      <c r="M148" s="109">
        <v>2065538000</v>
      </c>
      <c r="N148" s="111"/>
      <c r="O148" s="109">
        <v>7500000</v>
      </c>
      <c r="P148" s="110"/>
      <c r="Q148" s="109">
        <f t="shared" si="13"/>
        <v>2073038000</v>
      </c>
      <c r="R148" s="3">
        <v>2065538000</v>
      </c>
      <c r="S148" s="5"/>
      <c r="T148" s="30">
        <v>7500000</v>
      </c>
      <c r="U148" s="5"/>
      <c r="V148" s="5"/>
      <c r="W148" s="28"/>
      <c r="X148" s="28">
        <f t="shared" si="14"/>
        <v>0</v>
      </c>
      <c r="Y148" s="28">
        <f t="shared" si="15"/>
        <v>0</v>
      </c>
      <c r="Z148" s="28">
        <f t="shared" si="16"/>
        <v>0</v>
      </c>
      <c r="AA148" s="4"/>
      <c r="AB148" s="4"/>
      <c r="AC148">
        <f t="shared" si="17"/>
        <v>2</v>
      </c>
    </row>
    <row r="149" spans="1:30" ht="31.2" x14ac:dyDescent="0.3">
      <c r="A149" s="7" t="s">
        <v>46</v>
      </c>
      <c r="B149" s="6">
        <v>136</v>
      </c>
      <c r="C149" s="7" t="s">
        <v>485</v>
      </c>
      <c r="D149" s="7" t="s">
        <v>485</v>
      </c>
      <c r="E149" s="5"/>
      <c r="F149" s="4"/>
      <c r="G149" s="7" t="s">
        <v>486</v>
      </c>
      <c r="H149" s="5"/>
      <c r="I149" s="5"/>
      <c r="J149" s="7" t="s">
        <v>487</v>
      </c>
      <c r="K149" s="7" t="s">
        <v>24</v>
      </c>
      <c r="L149" s="7" t="s">
        <v>488</v>
      </c>
      <c r="M149" s="109">
        <v>1293714744</v>
      </c>
      <c r="N149" s="111"/>
      <c r="O149" s="109">
        <v>7500000</v>
      </c>
      <c r="P149" s="110"/>
      <c r="Q149" s="109">
        <f t="shared" si="13"/>
        <v>1301214744</v>
      </c>
      <c r="R149" s="36">
        <v>1293714744</v>
      </c>
      <c r="S149" s="5"/>
      <c r="T149" s="30">
        <v>7500000</v>
      </c>
      <c r="U149" s="5"/>
      <c r="V149" s="5"/>
      <c r="W149" s="28"/>
      <c r="X149" s="28">
        <f t="shared" si="14"/>
        <v>0</v>
      </c>
      <c r="Y149" s="28">
        <f t="shared" si="15"/>
        <v>0</v>
      </c>
      <c r="Z149" s="28">
        <f t="shared" si="16"/>
        <v>0</v>
      </c>
      <c r="AA149" s="4"/>
      <c r="AB149" s="4"/>
      <c r="AC149">
        <f t="shared" si="17"/>
        <v>2</v>
      </c>
    </row>
    <row r="150" spans="1:30" ht="31.2" x14ac:dyDescent="0.3">
      <c r="A150" s="7" t="s">
        <v>46</v>
      </c>
      <c r="B150" s="6">
        <v>137</v>
      </c>
      <c r="C150" s="7" t="s">
        <v>489</v>
      </c>
      <c r="D150" s="7" t="s">
        <v>490</v>
      </c>
      <c r="E150" s="5"/>
      <c r="F150" s="4"/>
      <c r="G150" s="7" t="s">
        <v>491</v>
      </c>
      <c r="H150" s="5"/>
      <c r="I150" s="7" t="s">
        <v>492</v>
      </c>
      <c r="J150" s="7" t="s">
        <v>493</v>
      </c>
      <c r="K150" s="7" t="s">
        <v>24</v>
      </c>
      <c r="L150" s="7" t="s">
        <v>494</v>
      </c>
      <c r="M150" s="109">
        <v>4217619670</v>
      </c>
      <c r="N150" s="111"/>
      <c r="O150" s="109">
        <v>15000000</v>
      </c>
      <c r="P150" s="110"/>
      <c r="Q150" s="109">
        <f t="shared" si="13"/>
        <v>4232619670</v>
      </c>
      <c r="R150" s="3">
        <v>4217619670</v>
      </c>
      <c r="S150" s="5"/>
      <c r="T150" s="30">
        <v>15000000</v>
      </c>
      <c r="U150" s="5"/>
      <c r="V150" s="5"/>
      <c r="W150" s="28"/>
      <c r="X150" s="28">
        <f t="shared" si="14"/>
        <v>0</v>
      </c>
      <c r="Y150" s="28">
        <f t="shared" si="15"/>
        <v>0</v>
      </c>
      <c r="Z150" s="28">
        <f t="shared" si="16"/>
        <v>0</v>
      </c>
      <c r="AA150" s="4"/>
      <c r="AB150" s="4"/>
      <c r="AC150">
        <f t="shared" si="17"/>
        <v>2</v>
      </c>
    </row>
    <row r="151" spans="1:30" ht="31.2" x14ac:dyDescent="0.3">
      <c r="A151" s="7" t="s">
        <v>46</v>
      </c>
      <c r="B151" s="6">
        <v>138</v>
      </c>
      <c r="C151" s="7" t="s">
        <v>489</v>
      </c>
      <c r="D151" s="7" t="s">
        <v>495</v>
      </c>
      <c r="E151" s="7" t="s">
        <v>389</v>
      </c>
      <c r="F151" s="4"/>
      <c r="G151" s="7" t="s">
        <v>496</v>
      </c>
      <c r="H151" s="7" t="s">
        <v>497</v>
      </c>
      <c r="I151" s="7"/>
      <c r="J151" s="7" t="s">
        <v>498</v>
      </c>
      <c r="K151" s="7" t="s">
        <v>24</v>
      </c>
      <c r="L151" s="7" t="s">
        <v>499</v>
      </c>
      <c r="M151" s="109">
        <v>3194338952</v>
      </c>
      <c r="N151" s="109">
        <v>41139648</v>
      </c>
      <c r="O151" s="109">
        <v>15000000</v>
      </c>
      <c r="P151" s="110"/>
      <c r="Q151" s="109">
        <f t="shared" si="13"/>
        <v>3250478600</v>
      </c>
      <c r="R151" s="3">
        <v>3194338952</v>
      </c>
      <c r="S151" s="3">
        <v>41139648</v>
      </c>
      <c r="T151" s="72"/>
      <c r="U151" s="5"/>
      <c r="V151" s="5"/>
      <c r="W151" s="28"/>
      <c r="X151" s="28">
        <f t="shared" si="14"/>
        <v>0</v>
      </c>
      <c r="Y151" s="36">
        <f t="shared" si="15"/>
        <v>15000000</v>
      </c>
      <c r="Z151" s="28">
        <f t="shared" si="16"/>
        <v>0</v>
      </c>
      <c r="AA151" s="4"/>
      <c r="AB151" s="40"/>
      <c r="AC151" s="121">
        <f t="shared" si="17"/>
        <v>2</v>
      </c>
      <c r="AD151" s="121"/>
    </row>
    <row r="152" spans="1:30" ht="31.2" x14ac:dyDescent="0.3">
      <c r="A152" s="7" t="s">
        <v>53</v>
      </c>
      <c r="B152" s="6">
        <v>139</v>
      </c>
      <c r="C152" s="7" t="s">
        <v>489</v>
      </c>
      <c r="D152" s="7" t="s">
        <v>500</v>
      </c>
      <c r="E152" s="5"/>
      <c r="F152" s="4"/>
      <c r="G152" s="7" t="s">
        <v>501</v>
      </c>
      <c r="H152" s="5"/>
      <c r="I152" s="5"/>
      <c r="J152" s="7" t="s">
        <v>502</v>
      </c>
      <c r="K152" s="7" t="s">
        <v>24</v>
      </c>
      <c r="L152" s="7" t="s">
        <v>503</v>
      </c>
      <c r="M152" s="109">
        <v>1616275160</v>
      </c>
      <c r="N152" s="111"/>
      <c r="O152" s="109">
        <v>7500000</v>
      </c>
      <c r="P152" s="110"/>
      <c r="Q152" s="109">
        <f t="shared" si="13"/>
        <v>1623775160</v>
      </c>
      <c r="R152" s="3">
        <v>1616275160</v>
      </c>
      <c r="S152" s="5"/>
      <c r="T152" s="30">
        <v>7500000</v>
      </c>
      <c r="U152" s="5"/>
      <c r="V152" s="5"/>
      <c r="W152" s="28"/>
      <c r="X152" s="28">
        <f t="shared" si="14"/>
        <v>0</v>
      </c>
      <c r="Y152" s="28">
        <f t="shared" si="15"/>
        <v>0</v>
      </c>
      <c r="Z152" s="28">
        <f t="shared" si="16"/>
        <v>0</v>
      </c>
      <c r="AA152" s="4"/>
      <c r="AB152" s="4"/>
      <c r="AC152">
        <f t="shared" si="17"/>
        <v>2</v>
      </c>
    </row>
    <row r="153" spans="1:30" ht="31.2" x14ac:dyDescent="0.3">
      <c r="A153" s="7" t="s">
        <v>18</v>
      </c>
      <c r="B153" s="6">
        <v>140</v>
      </c>
      <c r="C153" s="7" t="s">
        <v>489</v>
      </c>
      <c r="D153" s="7" t="s">
        <v>504</v>
      </c>
      <c r="E153" s="5"/>
      <c r="F153" s="40" t="s">
        <v>505</v>
      </c>
      <c r="G153" s="7" t="s">
        <v>506</v>
      </c>
      <c r="H153" s="7" t="s">
        <v>395</v>
      </c>
      <c r="I153" s="5"/>
      <c r="J153" s="40" t="s">
        <v>507</v>
      </c>
      <c r="K153" s="7" t="s">
        <v>24</v>
      </c>
      <c r="L153" s="7" t="s">
        <v>508</v>
      </c>
      <c r="M153" s="109">
        <v>3156816400</v>
      </c>
      <c r="N153" s="111"/>
      <c r="O153" s="109">
        <v>15000000</v>
      </c>
      <c r="P153" s="112">
        <v>18000000</v>
      </c>
      <c r="Q153" s="109">
        <f t="shared" si="13"/>
        <v>3189816400</v>
      </c>
      <c r="R153" s="3">
        <v>3156816400</v>
      </c>
      <c r="S153" s="5"/>
      <c r="T153" s="30">
        <v>15000000</v>
      </c>
      <c r="U153" s="5"/>
      <c r="V153" s="5"/>
      <c r="W153" s="28"/>
      <c r="X153" s="28">
        <f t="shared" si="14"/>
        <v>0</v>
      </c>
      <c r="Y153" s="28">
        <f t="shared" si="15"/>
        <v>0</v>
      </c>
      <c r="Z153" s="28">
        <f t="shared" si="16"/>
        <v>18000000</v>
      </c>
      <c r="AA153" s="4"/>
      <c r="AB153" s="4"/>
      <c r="AC153">
        <f t="shared" si="17"/>
        <v>2</v>
      </c>
    </row>
    <row r="154" spans="1:30" ht="31.2" x14ac:dyDescent="0.3">
      <c r="A154" s="7" t="s">
        <v>18</v>
      </c>
      <c r="B154" s="6">
        <v>141</v>
      </c>
      <c r="C154" s="7" t="s">
        <v>489</v>
      </c>
      <c r="D154" s="7" t="s">
        <v>509</v>
      </c>
      <c r="E154" s="5"/>
      <c r="F154" s="4"/>
      <c r="G154" s="7" t="s">
        <v>510</v>
      </c>
      <c r="H154" s="5"/>
      <c r="I154" s="5"/>
      <c r="J154" s="7" t="s">
        <v>511</v>
      </c>
      <c r="K154" s="7" t="s">
        <v>24</v>
      </c>
      <c r="L154" s="7" t="s">
        <v>512</v>
      </c>
      <c r="M154" s="109">
        <v>1739119796</v>
      </c>
      <c r="N154" s="111"/>
      <c r="O154" s="109">
        <v>7500000</v>
      </c>
      <c r="P154" s="110"/>
      <c r="Q154" s="109">
        <f t="shared" si="13"/>
        <v>1746619796</v>
      </c>
      <c r="R154" s="3">
        <v>1739119796</v>
      </c>
      <c r="S154" s="5"/>
      <c r="T154" s="30">
        <v>7500000</v>
      </c>
      <c r="U154" s="5"/>
      <c r="V154" s="5"/>
      <c r="W154" s="28"/>
      <c r="X154" s="28">
        <f t="shared" si="14"/>
        <v>0</v>
      </c>
      <c r="Y154" s="28">
        <f t="shared" si="15"/>
        <v>0</v>
      </c>
      <c r="Z154" s="28">
        <f t="shared" si="16"/>
        <v>0</v>
      </c>
      <c r="AA154" s="4"/>
      <c r="AB154" s="4"/>
      <c r="AC154">
        <f t="shared" si="17"/>
        <v>2</v>
      </c>
    </row>
    <row r="155" spans="1:30" ht="31.2" x14ac:dyDescent="0.3">
      <c r="A155" s="7" t="s">
        <v>18</v>
      </c>
      <c r="B155" s="6">
        <v>142</v>
      </c>
      <c r="C155" s="7" t="s">
        <v>489</v>
      </c>
      <c r="D155" s="7" t="s">
        <v>513</v>
      </c>
      <c r="E155" s="5"/>
      <c r="F155" s="4"/>
      <c r="G155" s="7" t="s">
        <v>514</v>
      </c>
      <c r="H155" s="5"/>
      <c r="I155" s="5"/>
      <c r="J155" s="7" t="s">
        <v>515</v>
      </c>
      <c r="K155" s="7" t="s">
        <v>24</v>
      </c>
      <c r="L155" s="7" t="s">
        <v>250</v>
      </c>
      <c r="M155" s="109">
        <v>1019168200</v>
      </c>
      <c r="N155" s="111"/>
      <c r="O155" s="109">
        <v>7500000</v>
      </c>
      <c r="P155" s="110"/>
      <c r="Q155" s="109">
        <f t="shared" si="13"/>
        <v>1026668200</v>
      </c>
      <c r="R155" s="3">
        <v>1019168200</v>
      </c>
      <c r="S155" s="5"/>
      <c r="T155" s="30">
        <v>7500000</v>
      </c>
      <c r="U155" s="5"/>
      <c r="V155" s="5"/>
      <c r="W155" s="28"/>
      <c r="X155" s="28">
        <f t="shared" si="14"/>
        <v>0</v>
      </c>
      <c r="Y155" s="28">
        <f t="shared" si="15"/>
        <v>0</v>
      </c>
      <c r="Z155" s="28">
        <f t="shared" si="16"/>
        <v>0</v>
      </c>
      <c r="AA155" s="4"/>
      <c r="AB155" s="4"/>
      <c r="AC155">
        <f t="shared" si="17"/>
        <v>2</v>
      </c>
    </row>
    <row r="156" spans="1:30" ht="31.2" x14ac:dyDescent="0.3">
      <c r="A156" s="7" t="s">
        <v>18</v>
      </c>
      <c r="B156" s="6">
        <v>143</v>
      </c>
      <c r="C156" s="7" t="s">
        <v>489</v>
      </c>
      <c r="D156" s="7" t="s">
        <v>516</v>
      </c>
      <c r="E156" s="7" t="s">
        <v>158</v>
      </c>
      <c r="F156" s="4"/>
      <c r="G156" s="7" t="s">
        <v>517</v>
      </c>
      <c r="H156" s="7" t="s">
        <v>518</v>
      </c>
      <c r="I156" s="5"/>
      <c r="J156" s="7" t="s">
        <v>519</v>
      </c>
      <c r="K156" s="7" t="s">
        <v>24</v>
      </c>
      <c r="L156" s="7" t="s">
        <v>520</v>
      </c>
      <c r="M156" s="109">
        <v>7965890968</v>
      </c>
      <c r="N156" s="109">
        <v>161187840</v>
      </c>
      <c r="O156" s="109">
        <v>15000000</v>
      </c>
      <c r="P156" s="110"/>
      <c r="Q156" s="109">
        <f t="shared" si="13"/>
        <v>8142078808</v>
      </c>
      <c r="R156" s="3">
        <v>7965890968</v>
      </c>
      <c r="S156" s="7"/>
      <c r="T156" s="30">
        <v>15000000</v>
      </c>
      <c r="U156" s="5"/>
      <c r="V156" s="5"/>
      <c r="W156" s="28"/>
      <c r="X156" s="36">
        <f t="shared" si="14"/>
        <v>161187840</v>
      </c>
      <c r="Y156" s="28">
        <f t="shared" si="15"/>
        <v>0</v>
      </c>
      <c r="Z156" s="28">
        <f t="shared" si="16"/>
        <v>0</v>
      </c>
      <c r="AA156" s="40"/>
      <c r="AB156" s="40"/>
      <c r="AC156" s="61">
        <f t="shared" si="17"/>
        <v>2</v>
      </c>
      <c r="AD156" s="61"/>
    </row>
    <row r="157" spans="1:30" ht="31.2" x14ac:dyDescent="0.3">
      <c r="A157" s="7" t="s">
        <v>18</v>
      </c>
      <c r="B157" s="6">
        <v>144</v>
      </c>
      <c r="C157" s="7" t="s">
        <v>489</v>
      </c>
      <c r="D157" s="7" t="s">
        <v>521</v>
      </c>
      <c r="E157" s="5"/>
      <c r="F157" s="40" t="s">
        <v>308</v>
      </c>
      <c r="G157" s="7" t="s">
        <v>522</v>
      </c>
      <c r="H157" s="7" t="s">
        <v>27</v>
      </c>
      <c r="I157" s="5"/>
      <c r="J157" s="7" t="s">
        <v>523</v>
      </c>
      <c r="K157" s="7" t="s">
        <v>24</v>
      </c>
      <c r="L157" s="7" t="s">
        <v>369</v>
      </c>
      <c r="M157" s="109">
        <v>9907256382</v>
      </c>
      <c r="N157" s="111"/>
      <c r="O157" s="109">
        <v>15000000</v>
      </c>
      <c r="P157" s="112">
        <v>5600000</v>
      </c>
      <c r="Q157" s="109">
        <f t="shared" si="13"/>
        <v>9927856382</v>
      </c>
      <c r="R157" s="3">
        <v>9907256382</v>
      </c>
      <c r="S157" s="5"/>
      <c r="T157" s="30">
        <v>15000000</v>
      </c>
      <c r="U157" s="28">
        <v>5600000</v>
      </c>
      <c r="V157" s="5"/>
      <c r="W157" s="28"/>
      <c r="X157" s="28">
        <f t="shared" si="14"/>
        <v>0</v>
      </c>
      <c r="Y157" s="28">
        <f t="shared" si="15"/>
        <v>0</v>
      </c>
      <c r="Z157" s="28">
        <f t="shared" si="16"/>
        <v>0</v>
      </c>
      <c r="AA157" s="4"/>
      <c r="AB157" s="4"/>
      <c r="AC157">
        <f t="shared" si="17"/>
        <v>2</v>
      </c>
    </row>
    <row r="158" spans="1:30" ht="31.2" x14ac:dyDescent="0.3">
      <c r="A158" s="7" t="s">
        <v>18</v>
      </c>
      <c r="B158" s="6">
        <v>145</v>
      </c>
      <c r="C158" s="7" t="s">
        <v>489</v>
      </c>
      <c r="D158" s="7" t="s">
        <v>524</v>
      </c>
      <c r="E158" s="5"/>
      <c r="F158" s="4"/>
      <c r="G158" s="7" t="s">
        <v>525</v>
      </c>
      <c r="H158" s="5"/>
      <c r="I158" s="5"/>
      <c r="J158" s="7" t="s">
        <v>526</v>
      </c>
      <c r="K158" s="7" t="s">
        <v>24</v>
      </c>
      <c r="L158" s="7" t="s">
        <v>527</v>
      </c>
      <c r="M158" s="109">
        <v>1620845726</v>
      </c>
      <c r="N158" s="111"/>
      <c r="O158" s="109">
        <v>7500000</v>
      </c>
      <c r="P158" s="110"/>
      <c r="Q158" s="109">
        <f t="shared" si="13"/>
        <v>1628345726</v>
      </c>
      <c r="R158" s="3">
        <v>1620845726</v>
      </c>
      <c r="S158" s="5"/>
      <c r="T158" s="30">
        <v>7500000</v>
      </c>
      <c r="U158" s="5"/>
      <c r="V158" s="5"/>
      <c r="W158" s="28"/>
      <c r="X158" s="28">
        <f t="shared" si="14"/>
        <v>0</v>
      </c>
      <c r="Y158" s="28">
        <f t="shared" si="15"/>
        <v>0</v>
      </c>
      <c r="Z158" s="28">
        <f t="shared" si="16"/>
        <v>0</v>
      </c>
      <c r="AA158" s="4"/>
      <c r="AB158" s="4"/>
      <c r="AC158">
        <f t="shared" si="17"/>
        <v>2</v>
      </c>
    </row>
    <row r="159" spans="1:30" ht="31.2" x14ac:dyDescent="0.3">
      <c r="A159" s="7" t="s">
        <v>62</v>
      </c>
      <c r="B159" s="6">
        <v>146</v>
      </c>
      <c r="C159" s="7" t="s">
        <v>489</v>
      </c>
      <c r="D159" s="7" t="s">
        <v>528</v>
      </c>
      <c r="E159" s="7" t="s">
        <v>3887</v>
      </c>
      <c r="F159" s="7" t="s">
        <v>529</v>
      </c>
      <c r="G159" s="7" t="s">
        <v>530</v>
      </c>
      <c r="H159" s="7" t="s">
        <v>3899</v>
      </c>
      <c r="I159" s="5"/>
      <c r="J159" s="7" t="s">
        <v>531</v>
      </c>
      <c r="K159" s="7" t="s">
        <v>24</v>
      </c>
      <c r="L159" s="7" t="s">
        <v>532</v>
      </c>
      <c r="M159" s="109">
        <v>3395712926</v>
      </c>
      <c r="N159" s="74">
        <v>194860554</v>
      </c>
      <c r="O159" s="109">
        <v>15000000</v>
      </c>
      <c r="P159" s="112">
        <v>30000000</v>
      </c>
      <c r="Q159" s="109">
        <f t="shared" si="13"/>
        <v>3635573480</v>
      </c>
      <c r="R159" s="28">
        <v>3395712926</v>
      </c>
      <c r="S159" s="7"/>
      <c r="T159" s="30">
        <v>15000000</v>
      </c>
      <c r="U159" s="5"/>
      <c r="V159" s="5"/>
      <c r="W159" s="28"/>
      <c r="X159" s="36">
        <f t="shared" si="14"/>
        <v>194860554</v>
      </c>
      <c r="Y159" s="28">
        <f t="shared" si="15"/>
        <v>0</v>
      </c>
      <c r="Z159" s="28">
        <f t="shared" si="16"/>
        <v>30000000</v>
      </c>
      <c r="AA159" s="10"/>
      <c r="AB159" s="40"/>
      <c r="AC159" s="61">
        <f t="shared" si="17"/>
        <v>2</v>
      </c>
      <c r="AD159" s="61"/>
    </row>
    <row r="160" spans="1:30" ht="31.2" x14ac:dyDescent="0.3">
      <c r="A160" s="7" t="s">
        <v>62</v>
      </c>
      <c r="B160" s="6">
        <v>147</v>
      </c>
      <c r="C160" s="7" t="s">
        <v>489</v>
      </c>
      <c r="D160" s="7" t="s">
        <v>533</v>
      </c>
      <c r="E160" s="5"/>
      <c r="F160" s="4"/>
      <c r="G160" s="7" t="s">
        <v>534</v>
      </c>
      <c r="H160" s="5"/>
      <c r="I160" s="5"/>
      <c r="J160" s="7" t="s">
        <v>535</v>
      </c>
      <c r="K160" s="7" t="s">
        <v>24</v>
      </c>
      <c r="L160" s="7" t="s">
        <v>536</v>
      </c>
      <c r="M160" s="109">
        <v>1686837440</v>
      </c>
      <c r="N160" s="111"/>
      <c r="O160" s="109">
        <v>7500000</v>
      </c>
      <c r="P160" s="110"/>
      <c r="Q160" s="109">
        <f t="shared" si="13"/>
        <v>1694337440</v>
      </c>
      <c r="R160" s="3">
        <v>1686837440</v>
      </c>
      <c r="S160" s="5"/>
      <c r="T160" s="30">
        <v>7500000</v>
      </c>
      <c r="U160" s="5"/>
      <c r="V160" s="5"/>
      <c r="W160" s="28"/>
      <c r="X160" s="28">
        <f t="shared" si="14"/>
        <v>0</v>
      </c>
      <c r="Y160" s="28">
        <f t="shared" si="15"/>
        <v>0</v>
      </c>
      <c r="Z160" s="28">
        <f t="shared" si="16"/>
        <v>0</v>
      </c>
      <c r="AA160" s="4"/>
      <c r="AB160" s="4"/>
      <c r="AC160">
        <f t="shared" si="17"/>
        <v>2</v>
      </c>
    </row>
    <row r="161" spans="1:30" ht="31.2" x14ac:dyDescent="0.3">
      <c r="A161" s="7" t="s">
        <v>53</v>
      </c>
      <c r="B161" s="6">
        <v>148</v>
      </c>
      <c r="C161" s="7" t="s">
        <v>537</v>
      </c>
      <c r="D161" s="7" t="s">
        <v>538</v>
      </c>
      <c r="E161" s="5"/>
      <c r="F161" s="4"/>
      <c r="G161" s="7" t="s">
        <v>539</v>
      </c>
      <c r="H161" s="5"/>
      <c r="I161" s="5"/>
      <c r="J161" s="7" t="s">
        <v>540</v>
      </c>
      <c r="K161" s="7" t="s">
        <v>24</v>
      </c>
      <c r="L161" s="7" t="s">
        <v>541</v>
      </c>
      <c r="M161" s="109">
        <v>437187740</v>
      </c>
      <c r="N161" s="111"/>
      <c r="O161" s="109">
        <v>7500000</v>
      </c>
      <c r="P161" s="110"/>
      <c r="Q161" s="109">
        <f t="shared" si="13"/>
        <v>444687740</v>
      </c>
      <c r="R161" s="3">
        <v>437187740</v>
      </c>
      <c r="S161" s="5"/>
      <c r="T161" s="31">
        <v>7500000</v>
      </c>
      <c r="U161" s="5"/>
      <c r="V161" s="5"/>
      <c r="W161" s="28"/>
      <c r="X161" s="28">
        <f t="shared" si="14"/>
        <v>0</v>
      </c>
      <c r="Y161" s="28">
        <f t="shared" si="15"/>
        <v>0</v>
      </c>
      <c r="Z161" s="28">
        <f t="shared" si="16"/>
        <v>0</v>
      </c>
      <c r="AA161" s="4"/>
      <c r="AB161" s="4"/>
      <c r="AC161">
        <f t="shared" si="17"/>
        <v>2</v>
      </c>
    </row>
    <row r="162" spans="1:30" ht="31.2" x14ac:dyDescent="0.3">
      <c r="A162" s="7" t="s">
        <v>46</v>
      </c>
      <c r="B162" s="6">
        <v>149</v>
      </c>
      <c r="C162" s="7" t="s">
        <v>537</v>
      </c>
      <c r="D162" s="7" t="s">
        <v>542</v>
      </c>
      <c r="E162" s="5"/>
      <c r="F162" s="4"/>
      <c r="G162" s="7" t="s">
        <v>543</v>
      </c>
      <c r="H162" s="5"/>
      <c r="I162" s="5"/>
      <c r="J162" s="7" t="s">
        <v>544</v>
      </c>
      <c r="K162" s="7" t="s">
        <v>24</v>
      </c>
      <c r="L162" s="7" t="s">
        <v>545</v>
      </c>
      <c r="M162" s="109">
        <v>1573408200</v>
      </c>
      <c r="N162" s="111"/>
      <c r="O162" s="109">
        <v>7500000</v>
      </c>
      <c r="P162" s="110"/>
      <c r="Q162" s="109">
        <f t="shared" si="13"/>
        <v>1580908200</v>
      </c>
      <c r="R162" s="36">
        <v>1573408200</v>
      </c>
      <c r="S162" s="5"/>
      <c r="T162" s="30">
        <v>7500000</v>
      </c>
      <c r="U162" s="5"/>
      <c r="V162" s="5"/>
      <c r="W162" s="28"/>
      <c r="X162" s="28">
        <f t="shared" si="14"/>
        <v>0</v>
      </c>
      <c r="Y162" s="28">
        <f t="shared" si="15"/>
        <v>0</v>
      </c>
      <c r="Z162" s="28">
        <f t="shared" si="16"/>
        <v>0</v>
      </c>
      <c r="AA162" s="4"/>
      <c r="AB162" s="4"/>
      <c r="AC162">
        <f t="shared" si="17"/>
        <v>2</v>
      </c>
    </row>
    <row r="163" spans="1:30" ht="31.2" x14ac:dyDescent="0.3">
      <c r="A163" s="7" t="s">
        <v>62</v>
      </c>
      <c r="B163" s="6">
        <v>150</v>
      </c>
      <c r="C163" s="7" t="s">
        <v>546</v>
      </c>
      <c r="D163" s="7" t="s">
        <v>547</v>
      </c>
      <c r="E163" s="5"/>
      <c r="F163" s="4"/>
      <c r="G163" s="7" t="s">
        <v>548</v>
      </c>
      <c r="H163" s="5"/>
      <c r="I163" s="5"/>
      <c r="J163" s="7" t="s">
        <v>549</v>
      </c>
      <c r="K163" s="7" t="s">
        <v>24</v>
      </c>
      <c r="L163" s="7" t="s">
        <v>550</v>
      </c>
      <c r="M163" s="109">
        <v>861004700</v>
      </c>
      <c r="N163" s="111"/>
      <c r="O163" s="109">
        <v>7500000</v>
      </c>
      <c r="P163" s="110"/>
      <c r="Q163" s="109">
        <f t="shared" si="13"/>
        <v>868504700</v>
      </c>
      <c r="R163" s="3">
        <v>861004700</v>
      </c>
      <c r="S163" s="5"/>
      <c r="T163" s="30">
        <v>7500000</v>
      </c>
      <c r="U163" s="5"/>
      <c r="V163" s="5"/>
      <c r="W163" s="28"/>
      <c r="X163" s="28">
        <f t="shared" si="14"/>
        <v>0</v>
      </c>
      <c r="Y163" s="28">
        <f t="shared" si="15"/>
        <v>0</v>
      </c>
      <c r="Z163" s="28">
        <f t="shared" si="16"/>
        <v>0</v>
      </c>
      <c r="AA163" s="4"/>
      <c r="AB163" s="4"/>
      <c r="AC163">
        <f t="shared" si="17"/>
        <v>2</v>
      </c>
    </row>
    <row r="164" spans="1:30" ht="31.2" x14ac:dyDescent="0.3">
      <c r="A164" s="7" t="s">
        <v>18</v>
      </c>
      <c r="B164" s="6">
        <v>151</v>
      </c>
      <c r="C164" s="7" t="s">
        <v>546</v>
      </c>
      <c r="D164" s="7" t="s">
        <v>551</v>
      </c>
      <c r="E164" s="5"/>
      <c r="F164" s="4"/>
      <c r="G164" s="7" t="s">
        <v>552</v>
      </c>
      <c r="H164" s="5"/>
      <c r="I164" s="5"/>
      <c r="J164" s="7" t="s">
        <v>553</v>
      </c>
      <c r="K164" s="7" t="s">
        <v>24</v>
      </c>
      <c r="L164" s="7" t="s">
        <v>554</v>
      </c>
      <c r="M164" s="109">
        <v>151014160</v>
      </c>
      <c r="N164" s="111"/>
      <c r="O164" s="109">
        <v>7500000</v>
      </c>
      <c r="P164" s="110"/>
      <c r="Q164" s="109">
        <f t="shared" si="13"/>
        <v>158514160</v>
      </c>
      <c r="R164" s="3">
        <v>151014160</v>
      </c>
      <c r="S164" s="5"/>
      <c r="T164" s="30">
        <v>7500000</v>
      </c>
      <c r="U164" s="5"/>
      <c r="V164" s="5"/>
      <c r="W164" s="28"/>
      <c r="X164" s="28">
        <f t="shared" si="14"/>
        <v>0</v>
      </c>
      <c r="Y164" s="28">
        <f t="shared" si="15"/>
        <v>0</v>
      </c>
      <c r="Z164" s="28">
        <f t="shared" si="16"/>
        <v>0</v>
      </c>
      <c r="AA164" s="4"/>
      <c r="AB164" s="4"/>
      <c r="AC164">
        <f t="shared" si="17"/>
        <v>2</v>
      </c>
    </row>
    <row r="165" spans="1:30" ht="31.2" x14ac:dyDescent="0.3">
      <c r="A165" s="7" t="s">
        <v>18</v>
      </c>
      <c r="B165" s="6">
        <v>152</v>
      </c>
      <c r="C165" s="7" t="s">
        <v>555</v>
      </c>
      <c r="D165" s="7" t="s">
        <v>556</v>
      </c>
      <c r="E165" s="7" t="s">
        <v>389</v>
      </c>
      <c r="F165" s="40" t="s">
        <v>557</v>
      </c>
      <c r="G165" s="7" t="s">
        <v>558</v>
      </c>
      <c r="H165" s="7" t="s">
        <v>400</v>
      </c>
      <c r="I165" s="5"/>
      <c r="J165" s="7" t="s">
        <v>559</v>
      </c>
      <c r="K165" s="7" t="s">
        <v>24</v>
      </c>
      <c r="L165" s="7" t="s">
        <v>560</v>
      </c>
      <c r="M165" s="109">
        <v>2958066419</v>
      </c>
      <c r="N165" s="109">
        <v>403742592</v>
      </c>
      <c r="O165" s="109">
        <v>15000000</v>
      </c>
      <c r="P165" s="112">
        <v>45066673</v>
      </c>
      <c r="Q165" s="109">
        <f t="shared" si="13"/>
        <v>3421875684</v>
      </c>
      <c r="R165" s="3">
        <v>2958066419</v>
      </c>
      <c r="S165" s="3">
        <v>403742592</v>
      </c>
      <c r="T165" s="30">
        <v>15000000</v>
      </c>
      <c r="U165" s="28">
        <v>45066673</v>
      </c>
      <c r="V165" s="5"/>
      <c r="W165" s="28"/>
      <c r="X165" s="28">
        <f t="shared" si="14"/>
        <v>0</v>
      </c>
      <c r="Y165" s="28">
        <f t="shared" si="15"/>
        <v>0</v>
      </c>
      <c r="Z165" s="28">
        <f t="shared" si="16"/>
        <v>0</v>
      </c>
      <c r="AA165" s="4"/>
      <c r="AB165" s="4"/>
      <c r="AC165">
        <f t="shared" si="17"/>
        <v>2</v>
      </c>
    </row>
    <row r="166" spans="1:30" ht="31.2" x14ac:dyDescent="0.3">
      <c r="A166" s="7" t="s">
        <v>46</v>
      </c>
      <c r="B166" s="6">
        <v>153</v>
      </c>
      <c r="C166" s="7" t="s">
        <v>555</v>
      </c>
      <c r="D166" s="7" t="s">
        <v>561</v>
      </c>
      <c r="E166" s="7" t="s">
        <v>158</v>
      </c>
      <c r="F166" s="4"/>
      <c r="G166" s="7" t="s">
        <v>562</v>
      </c>
      <c r="H166" s="7" t="s">
        <v>563</v>
      </c>
      <c r="I166" s="5"/>
      <c r="J166" s="7" t="s">
        <v>564</v>
      </c>
      <c r="K166" s="7" t="s">
        <v>24</v>
      </c>
      <c r="L166" s="7" t="s">
        <v>565</v>
      </c>
      <c r="M166" s="109">
        <v>3584065926</v>
      </c>
      <c r="N166" s="109">
        <v>76538880</v>
      </c>
      <c r="O166" s="109">
        <v>7500000</v>
      </c>
      <c r="P166" s="110"/>
      <c r="Q166" s="109">
        <f t="shared" si="13"/>
        <v>3668104806</v>
      </c>
      <c r="R166" s="36">
        <v>3584065926</v>
      </c>
      <c r="S166" s="3">
        <v>76538880</v>
      </c>
      <c r="T166" s="30">
        <v>7500000</v>
      </c>
      <c r="U166" s="5"/>
      <c r="V166" s="5"/>
      <c r="W166" s="28"/>
      <c r="X166" s="28">
        <f t="shared" si="14"/>
        <v>0</v>
      </c>
      <c r="Y166" s="28">
        <f t="shared" si="15"/>
        <v>0</v>
      </c>
      <c r="Z166" s="28">
        <f t="shared" si="16"/>
        <v>0</v>
      </c>
      <c r="AA166" s="4"/>
      <c r="AB166" s="4"/>
      <c r="AC166">
        <f t="shared" si="17"/>
        <v>2</v>
      </c>
    </row>
    <row r="167" spans="1:30" ht="31.2" x14ac:dyDescent="0.3">
      <c r="A167" s="7" t="s">
        <v>18</v>
      </c>
      <c r="B167" s="6">
        <v>154</v>
      </c>
      <c r="C167" s="7" t="s">
        <v>555</v>
      </c>
      <c r="D167" s="7" t="s">
        <v>566</v>
      </c>
      <c r="E167" s="5"/>
      <c r="F167" s="4"/>
      <c r="G167" s="7" t="s">
        <v>567</v>
      </c>
      <c r="H167" s="5"/>
      <c r="I167" s="5"/>
      <c r="J167" s="7" t="s">
        <v>568</v>
      </c>
      <c r="K167" s="7" t="s">
        <v>24</v>
      </c>
      <c r="L167" s="7" t="s">
        <v>569</v>
      </c>
      <c r="M167" s="109">
        <v>628833560</v>
      </c>
      <c r="N167" s="111"/>
      <c r="O167" s="109">
        <v>7500000</v>
      </c>
      <c r="P167" s="110"/>
      <c r="Q167" s="109">
        <f t="shared" si="13"/>
        <v>636333560</v>
      </c>
      <c r="R167" s="3">
        <v>628833560</v>
      </c>
      <c r="S167" s="5"/>
      <c r="T167" s="30">
        <v>7500000</v>
      </c>
      <c r="U167" s="5"/>
      <c r="V167" s="5"/>
      <c r="W167" s="28"/>
      <c r="X167" s="28">
        <f t="shared" si="14"/>
        <v>0</v>
      </c>
      <c r="Y167" s="28">
        <f t="shared" si="15"/>
        <v>0</v>
      </c>
      <c r="Z167" s="28">
        <f t="shared" si="16"/>
        <v>0</v>
      </c>
      <c r="AA167" s="4"/>
      <c r="AB167" s="4"/>
      <c r="AC167">
        <f t="shared" si="17"/>
        <v>2</v>
      </c>
    </row>
    <row r="168" spans="1:30" ht="31.2" x14ac:dyDescent="0.3">
      <c r="A168" s="7" t="s">
        <v>62</v>
      </c>
      <c r="B168" s="6">
        <v>155</v>
      </c>
      <c r="C168" s="7" t="s">
        <v>555</v>
      </c>
      <c r="D168" s="7" t="s">
        <v>570</v>
      </c>
      <c r="E168" s="5"/>
      <c r="F168" s="4"/>
      <c r="G168" s="7" t="s">
        <v>571</v>
      </c>
      <c r="H168" s="5"/>
      <c r="I168" s="5"/>
      <c r="J168" s="7" t="s">
        <v>572</v>
      </c>
      <c r="K168" s="7" t="s">
        <v>24</v>
      </c>
      <c r="L168" s="7" t="s">
        <v>573</v>
      </c>
      <c r="M168" s="109">
        <v>1176606588</v>
      </c>
      <c r="N168" s="111"/>
      <c r="O168" s="109">
        <v>15000000</v>
      </c>
      <c r="P168" s="110"/>
      <c r="Q168" s="109">
        <f t="shared" si="13"/>
        <v>1191606588</v>
      </c>
      <c r="R168" s="3">
        <v>1176606588</v>
      </c>
      <c r="S168" s="5"/>
      <c r="T168" s="30">
        <v>15000000</v>
      </c>
      <c r="U168" s="5"/>
      <c r="V168" s="5"/>
      <c r="W168" s="28"/>
      <c r="X168" s="28">
        <f t="shared" si="14"/>
        <v>0</v>
      </c>
      <c r="Y168" s="28">
        <f t="shared" si="15"/>
        <v>0</v>
      </c>
      <c r="Z168" s="28">
        <f t="shared" si="16"/>
        <v>0</v>
      </c>
      <c r="AA168" s="4"/>
      <c r="AB168" s="4"/>
      <c r="AC168">
        <f t="shared" si="17"/>
        <v>2</v>
      </c>
    </row>
    <row r="169" spans="1:30" ht="31.2" x14ac:dyDescent="0.3">
      <c r="A169" s="7" t="s">
        <v>53</v>
      </c>
      <c r="B169" s="6">
        <v>156</v>
      </c>
      <c r="C169" s="7" t="s">
        <v>574</v>
      </c>
      <c r="D169" s="7" t="s">
        <v>575</v>
      </c>
      <c r="E169" s="5"/>
      <c r="F169" s="4"/>
      <c r="G169" s="7" t="s">
        <v>576</v>
      </c>
      <c r="H169" s="5"/>
      <c r="I169" s="5"/>
      <c r="J169" s="7" t="s">
        <v>577</v>
      </c>
      <c r="K169" s="7" t="s">
        <v>24</v>
      </c>
      <c r="L169" s="7" t="s">
        <v>578</v>
      </c>
      <c r="M169" s="109">
        <v>4803560172</v>
      </c>
      <c r="N169" s="111"/>
      <c r="O169" s="109">
        <v>7500000</v>
      </c>
      <c r="P169" s="110"/>
      <c r="Q169" s="109">
        <f t="shared" si="13"/>
        <v>4811060172</v>
      </c>
      <c r="R169" s="3">
        <v>4803560172</v>
      </c>
      <c r="S169" s="5"/>
      <c r="T169" s="30">
        <v>7500000</v>
      </c>
      <c r="U169" s="5"/>
      <c r="V169" s="5"/>
      <c r="W169" s="28"/>
      <c r="X169" s="28">
        <f t="shared" si="14"/>
        <v>0</v>
      </c>
      <c r="Y169" s="28">
        <f t="shared" si="15"/>
        <v>0</v>
      </c>
      <c r="Z169" s="28">
        <f t="shared" si="16"/>
        <v>0</v>
      </c>
      <c r="AA169" s="4"/>
      <c r="AB169" s="4"/>
      <c r="AC169">
        <f t="shared" si="17"/>
        <v>2</v>
      </c>
    </row>
    <row r="170" spans="1:30" ht="31.2" x14ac:dyDescent="0.3">
      <c r="A170" s="7" t="s">
        <v>53</v>
      </c>
      <c r="B170" s="6">
        <v>157</v>
      </c>
      <c r="C170" s="7" t="s">
        <v>574</v>
      </c>
      <c r="D170" s="7" t="s">
        <v>579</v>
      </c>
      <c r="E170" s="7" t="s">
        <v>389</v>
      </c>
      <c r="F170" s="40" t="s">
        <v>264</v>
      </c>
      <c r="G170" s="7" t="s">
        <v>580</v>
      </c>
      <c r="H170" s="7" t="s">
        <v>21</v>
      </c>
      <c r="I170" s="5"/>
      <c r="J170" s="7" t="s">
        <v>581</v>
      </c>
      <c r="K170" s="7" t="s">
        <v>24</v>
      </c>
      <c r="L170" s="7" t="s">
        <v>582</v>
      </c>
      <c r="M170" s="109">
        <v>1901994350</v>
      </c>
      <c r="N170" s="109">
        <v>63527270</v>
      </c>
      <c r="O170" s="109">
        <v>15000000</v>
      </c>
      <c r="P170" s="112">
        <v>90000000</v>
      </c>
      <c r="Q170" s="109">
        <f t="shared" si="13"/>
        <v>2070521620</v>
      </c>
      <c r="R170" s="3">
        <v>1901994350</v>
      </c>
      <c r="S170" s="3">
        <v>63527270</v>
      </c>
      <c r="T170" s="30">
        <v>15000000</v>
      </c>
      <c r="U170" s="3">
        <v>90000000</v>
      </c>
      <c r="V170" s="5"/>
      <c r="W170" s="28"/>
      <c r="X170" s="28">
        <f t="shared" si="14"/>
        <v>0</v>
      </c>
      <c r="Y170" s="28">
        <f t="shared" si="15"/>
        <v>0</v>
      </c>
      <c r="Z170" s="28">
        <f t="shared" si="16"/>
        <v>0</v>
      </c>
      <c r="AA170" s="4"/>
      <c r="AB170" s="4"/>
      <c r="AC170">
        <f t="shared" si="17"/>
        <v>2</v>
      </c>
    </row>
    <row r="171" spans="1:30" ht="31.2" x14ac:dyDescent="0.3">
      <c r="A171" s="7" t="s">
        <v>62</v>
      </c>
      <c r="B171" s="6">
        <v>158</v>
      </c>
      <c r="C171" s="7" t="s">
        <v>574</v>
      </c>
      <c r="D171" s="7" t="s">
        <v>583</v>
      </c>
      <c r="E171" s="5"/>
      <c r="F171" s="4"/>
      <c r="G171" s="7" t="s">
        <v>584</v>
      </c>
      <c r="H171" s="5"/>
      <c r="I171" s="5"/>
      <c r="J171" s="7" t="s">
        <v>585</v>
      </c>
      <c r="K171" s="7" t="s">
        <v>24</v>
      </c>
      <c r="L171" s="7" t="s">
        <v>586</v>
      </c>
      <c r="M171" s="109">
        <v>3339426044</v>
      </c>
      <c r="N171" s="111"/>
      <c r="O171" s="109">
        <v>7500000</v>
      </c>
      <c r="P171" s="110"/>
      <c r="Q171" s="109">
        <f t="shared" si="13"/>
        <v>3346926044</v>
      </c>
      <c r="R171" s="3">
        <v>3339426044</v>
      </c>
      <c r="S171" s="5"/>
      <c r="T171" s="30">
        <v>7500000</v>
      </c>
      <c r="U171" s="5"/>
      <c r="V171" s="5"/>
      <c r="W171" s="28"/>
      <c r="X171" s="28">
        <f t="shared" si="14"/>
        <v>0</v>
      </c>
      <c r="Y171" s="28">
        <f t="shared" si="15"/>
        <v>0</v>
      </c>
      <c r="Z171" s="28">
        <f t="shared" si="16"/>
        <v>0</v>
      </c>
      <c r="AA171" s="4"/>
      <c r="AB171" s="4"/>
      <c r="AC171">
        <f t="shared" si="17"/>
        <v>2</v>
      </c>
    </row>
    <row r="172" spans="1:30" ht="31.2" x14ac:dyDescent="0.3">
      <c r="A172" s="7" t="s">
        <v>46</v>
      </c>
      <c r="B172" s="6">
        <v>159</v>
      </c>
      <c r="C172" s="7" t="s">
        <v>574</v>
      </c>
      <c r="D172" s="7" t="s">
        <v>587</v>
      </c>
      <c r="E172" s="5"/>
      <c r="F172" s="4"/>
      <c r="G172" s="7" t="s">
        <v>588</v>
      </c>
      <c r="H172" s="5"/>
      <c r="I172" s="5"/>
      <c r="J172" s="7" t="s">
        <v>589</v>
      </c>
      <c r="K172" s="7" t="s">
        <v>24</v>
      </c>
      <c r="L172" s="7" t="s">
        <v>590</v>
      </c>
      <c r="M172" s="109">
        <v>1480854756</v>
      </c>
      <c r="N172" s="111"/>
      <c r="O172" s="109">
        <v>15000000</v>
      </c>
      <c r="P172" s="110"/>
      <c r="Q172" s="109">
        <f t="shared" si="13"/>
        <v>1495854756</v>
      </c>
      <c r="R172" s="36">
        <v>1480854756</v>
      </c>
      <c r="S172" s="5"/>
      <c r="T172" s="30">
        <v>15000000</v>
      </c>
      <c r="U172" s="5"/>
      <c r="V172" s="5"/>
      <c r="W172" s="28"/>
      <c r="X172" s="28">
        <f t="shared" si="14"/>
        <v>0</v>
      </c>
      <c r="Y172" s="28">
        <f t="shared" si="15"/>
        <v>0</v>
      </c>
      <c r="Z172" s="28">
        <f t="shared" si="16"/>
        <v>0</v>
      </c>
      <c r="AA172" s="4"/>
      <c r="AB172" s="4"/>
      <c r="AC172">
        <f t="shared" si="17"/>
        <v>2</v>
      </c>
    </row>
    <row r="173" spans="1:30" ht="31.2" x14ac:dyDescent="0.3">
      <c r="A173" s="7" t="s">
        <v>53</v>
      </c>
      <c r="B173" s="6">
        <v>160</v>
      </c>
      <c r="C173" s="7" t="s">
        <v>591</v>
      </c>
      <c r="D173" s="7" t="s">
        <v>592</v>
      </c>
      <c r="E173" s="7" t="s">
        <v>593</v>
      </c>
      <c r="F173" s="4"/>
      <c r="G173" s="7" t="s">
        <v>594</v>
      </c>
      <c r="H173" s="7" t="s">
        <v>595</v>
      </c>
      <c r="I173" s="5"/>
      <c r="J173" s="7" t="s">
        <v>596</v>
      </c>
      <c r="K173" s="7" t="s">
        <v>24</v>
      </c>
      <c r="L173" s="7" t="s">
        <v>597</v>
      </c>
      <c r="M173" s="109">
        <v>4073141200</v>
      </c>
      <c r="N173" s="109">
        <v>43408140</v>
      </c>
      <c r="O173" s="109">
        <v>7500000</v>
      </c>
      <c r="P173" s="110"/>
      <c r="Q173" s="109">
        <f t="shared" si="13"/>
        <v>4124049340</v>
      </c>
      <c r="R173" s="3">
        <v>4073141200</v>
      </c>
      <c r="S173" s="28">
        <v>43408140</v>
      </c>
      <c r="T173" s="30">
        <v>7500000</v>
      </c>
      <c r="U173" s="5"/>
      <c r="V173" s="5"/>
      <c r="W173" s="28"/>
      <c r="X173" s="28">
        <f t="shared" si="14"/>
        <v>0</v>
      </c>
      <c r="Y173" s="28">
        <f t="shared" si="15"/>
        <v>0</v>
      </c>
      <c r="Z173" s="28">
        <f t="shared" si="16"/>
        <v>0</v>
      </c>
      <c r="AA173" s="4"/>
      <c r="AB173" s="4"/>
      <c r="AC173">
        <f t="shared" si="17"/>
        <v>2</v>
      </c>
    </row>
    <row r="174" spans="1:30" ht="31.2" x14ac:dyDescent="0.3">
      <c r="A174" s="7" t="s">
        <v>62</v>
      </c>
      <c r="B174" s="6">
        <v>161</v>
      </c>
      <c r="C174" s="7" t="s">
        <v>591</v>
      </c>
      <c r="D174" s="7" t="s">
        <v>598</v>
      </c>
      <c r="E174" s="5"/>
      <c r="F174" s="4"/>
      <c r="G174" s="7" t="s">
        <v>599</v>
      </c>
      <c r="H174" s="5"/>
      <c r="I174" s="5"/>
      <c r="J174" s="7" t="s">
        <v>600</v>
      </c>
      <c r="K174" s="7" t="s">
        <v>24</v>
      </c>
      <c r="L174" s="7" t="s">
        <v>601</v>
      </c>
      <c r="M174" s="109">
        <v>0</v>
      </c>
      <c r="N174" s="111"/>
      <c r="O174" s="109">
        <v>7500000</v>
      </c>
      <c r="P174" s="110"/>
      <c r="Q174" s="109">
        <f t="shared" si="13"/>
        <v>7500000</v>
      </c>
      <c r="R174" s="6">
        <v>0</v>
      </c>
      <c r="S174" s="5"/>
      <c r="T174" s="30">
        <v>7500000</v>
      </c>
      <c r="U174" s="5"/>
      <c r="V174" s="5"/>
      <c r="W174" s="28"/>
      <c r="X174" s="28">
        <f t="shared" si="14"/>
        <v>0</v>
      </c>
      <c r="Y174" s="28">
        <f t="shared" si="15"/>
        <v>0</v>
      </c>
      <c r="Z174" s="28">
        <f t="shared" si="16"/>
        <v>0</v>
      </c>
      <c r="AA174" s="4"/>
      <c r="AB174" s="4"/>
      <c r="AC174">
        <f t="shared" si="17"/>
        <v>2</v>
      </c>
    </row>
    <row r="175" spans="1:30" ht="31.2" x14ac:dyDescent="0.3">
      <c r="A175" s="7" t="s">
        <v>18</v>
      </c>
      <c r="B175" s="6">
        <v>162</v>
      </c>
      <c r="C175" s="7" t="s">
        <v>591</v>
      </c>
      <c r="D175" s="7" t="s">
        <v>602</v>
      </c>
      <c r="E175" s="7" t="s">
        <v>158</v>
      </c>
      <c r="F175" s="4"/>
      <c r="G175" s="7" t="s">
        <v>603</v>
      </c>
      <c r="H175" s="7" t="s">
        <v>604</v>
      </c>
      <c r="I175" s="5"/>
      <c r="J175" s="7" t="s">
        <v>605</v>
      </c>
      <c r="K175" s="7" t="s">
        <v>24</v>
      </c>
      <c r="L175" s="7" t="s">
        <v>606</v>
      </c>
      <c r="M175" s="109">
        <v>1042237976</v>
      </c>
      <c r="N175" s="109">
        <v>271713024</v>
      </c>
      <c r="O175" s="109">
        <v>15000000</v>
      </c>
      <c r="P175" s="110"/>
      <c r="Q175" s="109">
        <f t="shared" si="13"/>
        <v>1328951000</v>
      </c>
      <c r="R175" s="36">
        <v>1042237976</v>
      </c>
      <c r="S175" s="3">
        <v>271713024</v>
      </c>
      <c r="T175" s="30">
        <v>15000000</v>
      </c>
      <c r="U175" s="5"/>
      <c r="V175" s="5"/>
      <c r="W175" s="28"/>
      <c r="X175" s="28">
        <f t="shared" si="14"/>
        <v>0</v>
      </c>
      <c r="Y175" s="28">
        <f t="shared" si="15"/>
        <v>0</v>
      </c>
      <c r="Z175" s="28">
        <f t="shared" si="16"/>
        <v>0</v>
      </c>
      <c r="AA175" s="4"/>
      <c r="AB175" s="4"/>
      <c r="AC175">
        <f t="shared" si="17"/>
        <v>2</v>
      </c>
    </row>
    <row r="176" spans="1:30" ht="31.2" x14ac:dyDescent="0.3">
      <c r="A176" s="7" t="s">
        <v>18</v>
      </c>
      <c r="B176" s="6">
        <v>163</v>
      </c>
      <c r="C176" s="7" t="s">
        <v>591</v>
      </c>
      <c r="D176" s="7" t="s">
        <v>607</v>
      </c>
      <c r="E176" s="7"/>
      <c r="F176" s="4"/>
      <c r="G176" s="7" t="s">
        <v>608</v>
      </c>
      <c r="H176" s="7"/>
      <c r="I176" s="7"/>
      <c r="J176" s="7" t="s">
        <v>609</v>
      </c>
      <c r="K176" s="7" t="s">
        <v>24</v>
      </c>
      <c r="L176" s="7" t="s">
        <v>610</v>
      </c>
      <c r="M176" s="109">
        <v>725476290</v>
      </c>
      <c r="N176" s="111"/>
      <c r="O176" s="109">
        <v>7500000</v>
      </c>
      <c r="P176" s="110"/>
      <c r="Q176" s="109">
        <f t="shared" si="13"/>
        <v>732976290</v>
      </c>
      <c r="R176" s="36">
        <v>725476290</v>
      </c>
      <c r="S176" s="5"/>
      <c r="T176" s="72"/>
      <c r="U176" s="5"/>
      <c r="V176" s="5"/>
      <c r="W176" s="28"/>
      <c r="X176" s="28">
        <f t="shared" si="14"/>
        <v>0</v>
      </c>
      <c r="Y176" s="36">
        <f t="shared" si="15"/>
        <v>7500000</v>
      </c>
      <c r="Z176" s="28">
        <f t="shared" si="16"/>
        <v>0</v>
      </c>
      <c r="AA176" s="4"/>
      <c r="AB176" s="40"/>
      <c r="AC176" s="121">
        <f t="shared" si="17"/>
        <v>2</v>
      </c>
      <c r="AD176" s="121"/>
    </row>
    <row r="177" spans="1:30" ht="31.2" x14ac:dyDescent="0.3">
      <c r="A177" s="7" t="s">
        <v>46</v>
      </c>
      <c r="B177" s="6">
        <v>164</v>
      </c>
      <c r="C177" s="7" t="s">
        <v>591</v>
      </c>
      <c r="D177" s="7" t="s">
        <v>611</v>
      </c>
      <c r="E177" s="7" t="s">
        <v>158</v>
      </c>
      <c r="F177" s="4"/>
      <c r="G177" s="7" t="s">
        <v>612</v>
      </c>
      <c r="H177" s="7" t="s">
        <v>613</v>
      </c>
      <c r="I177" s="5"/>
      <c r="J177" s="7" t="s">
        <v>614</v>
      </c>
      <c r="K177" s="7" t="s">
        <v>24</v>
      </c>
      <c r="L177" s="7" t="s">
        <v>615</v>
      </c>
      <c r="M177" s="109">
        <v>3565502327</v>
      </c>
      <c r="N177" s="109">
        <v>450846720</v>
      </c>
      <c r="O177" s="109">
        <v>15000000</v>
      </c>
      <c r="P177" s="110"/>
      <c r="Q177" s="109">
        <f t="shared" si="13"/>
        <v>4031349047</v>
      </c>
      <c r="R177" s="3">
        <v>3565502327</v>
      </c>
      <c r="S177" s="3">
        <v>450846720</v>
      </c>
      <c r="T177" s="30">
        <v>15000000</v>
      </c>
      <c r="U177" s="5"/>
      <c r="V177" s="5"/>
      <c r="W177" s="28"/>
      <c r="X177" s="28">
        <f t="shared" si="14"/>
        <v>0</v>
      </c>
      <c r="Y177" s="28">
        <f t="shared" si="15"/>
        <v>0</v>
      </c>
      <c r="Z177" s="28">
        <f t="shared" si="16"/>
        <v>0</v>
      </c>
      <c r="AA177" s="4"/>
      <c r="AB177" s="4"/>
      <c r="AC177">
        <f t="shared" si="17"/>
        <v>2</v>
      </c>
    </row>
    <row r="178" spans="1:30" ht="31.2" x14ac:dyDescent="0.3">
      <c r="A178" s="7" t="s">
        <v>53</v>
      </c>
      <c r="B178" s="6">
        <v>165</v>
      </c>
      <c r="C178" s="7" t="s">
        <v>591</v>
      </c>
      <c r="D178" s="7" t="s">
        <v>616</v>
      </c>
      <c r="E178" s="7" t="s">
        <v>389</v>
      </c>
      <c r="F178" s="4"/>
      <c r="G178" s="7" t="s">
        <v>617</v>
      </c>
      <c r="H178" s="7" t="s">
        <v>618</v>
      </c>
      <c r="I178" s="5"/>
      <c r="J178" s="7" t="s">
        <v>619</v>
      </c>
      <c r="K178" s="7" t="s">
        <v>24</v>
      </c>
      <c r="L178" s="7" t="s">
        <v>620</v>
      </c>
      <c r="M178" s="109">
        <v>1192465080</v>
      </c>
      <c r="N178" s="109">
        <v>287020800</v>
      </c>
      <c r="O178" s="109">
        <v>15000000</v>
      </c>
      <c r="P178" s="110"/>
      <c r="Q178" s="109">
        <f t="shared" si="13"/>
        <v>1494485880</v>
      </c>
      <c r="R178" s="3">
        <v>1192465080</v>
      </c>
      <c r="S178" s="3">
        <v>287020800</v>
      </c>
      <c r="T178" s="30">
        <v>15000000</v>
      </c>
      <c r="U178" s="5"/>
      <c r="V178" s="5"/>
      <c r="W178" s="28"/>
      <c r="X178" s="28">
        <f t="shared" si="14"/>
        <v>0</v>
      </c>
      <c r="Y178" s="28">
        <f t="shared" si="15"/>
        <v>0</v>
      </c>
      <c r="Z178" s="28">
        <f t="shared" si="16"/>
        <v>0</v>
      </c>
      <c r="AA178" s="4"/>
      <c r="AB178" s="4"/>
      <c r="AC178">
        <f t="shared" si="17"/>
        <v>2</v>
      </c>
    </row>
    <row r="179" spans="1:30" ht="31.2" x14ac:dyDescent="0.3">
      <c r="A179" s="7" t="s">
        <v>62</v>
      </c>
      <c r="B179" s="6">
        <v>166</v>
      </c>
      <c r="C179" s="7" t="s">
        <v>591</v>
      </c>
      <c r="D179" s="7" t="s">
        <v>621</v>
      </c>
      <c r="E179" s="5"/>
      <c r="F179" s="4"/>
      <c r="G179" s="7" t="s">
        <v>622</v>
      </c>
      <c r="H179" s="5"/>
      <c r="I179" s="5"/>
      <c r="J179" s="7" t="s">
        <v>623</v>
      </c>
      <c r="K179" s="7" t="s">
        <v>24</v>
      </c>
      <c r="L179" s="7" t="s">
        <v>624</v>
      </c>
      <c r="M179" s="109">
        <v>1818691780</v>
      </c>
      <c r="N179" s="111"/>
      <c r="O179" s="109">
        <v>7500000</v>
      </c>
      <c r="P179" s="110"/>
      <c r="Q179" s="109">
        <f t="shared" si="13"/>
        <v>1826191780</v>
      </c>
      <c r="R179" s="3">
        <v>1818691780</v>
      </c>
      <c r="S179" s="5"/>
      <c r="T179" s="30">
        <v>7500000</v>
      </c>
      <c r="U179" s="5"/>
      <c r="V179" s="5"/>
      <c r="W179" s="28"/>
      <c r="X179" s="28">
        <f t="shared" si="14"/>
        <v>0</v>
      </c>
      <c r="Y179" s="28">
        <f t="shared" si="15"/>
        <v>0</v>
      </c>
      <c r="Z179" s="28">
        <f t="shared" si="16"/>
        <v>0</v>
      </c>
      <c r="AA179" s="4"/>
      <c r="AB179" s="4"/>
      <c r="AC179">
        <f t="shared" si="17"/>
        <v>2</v>
      </c>
    </row>
    <row r="180" spans="1:30" ht="31.2" x14ac:dyDescent="0.3">
      <c r="A180" s="7" t="s">
        <v>62</v>
      </c>
      <c r="B180" s="6">
        <v>167</v>
      </c>
      <c r="C180" s="7" t="s">
        <v>625</v>
      </c>
      <c r="D180" s="7" t="s">
        <v>626</v>
      </c>
      <c r="E180" s="7" t="s">
        <v>627</v>
      </c>
      <c r="F180" s="4"/>
      <c r="G180" s="7" t="s">
        <v>628</v>
      </c>
      <c r="H180" s="7" t="s">
        <v>629</v>
      </c>
      <c r="I180" s="5"/>
      <c r="J180" s="7" t="s">
        <v>630</v>
      </c>
      <c r="K180" s="7" t="s">
        <v>24</v>
      </c>
      <c r="L180" s="7" t="s">
        <v>631</v>
      </c>
      <c r="M180" s="109">
        <v>3670953400</v>
      </c>
      <c r="N180" s="109">
        <v>858857640</v>
      </c>
      <c r="O180" s="109">
        <v>7500000</v>
      </c>
      <c r="P180" s="110"/>
      <c r="Q180" s="109">
        <f t="shared" si="13"/>
        <v>4537311040</v>
      </c>
      <c r="R180" s="3">
        <v>3670953400</v>
      </c>
      <c r="S180" s="36">
        <v>858857640</v>
      </c>
      <c r="T180" s="30">
        <v>7500000</v>
      </c>
      <c r="U180" s="5"/>
      <c r="V180" s="5"/>
      <c r="W180" s="28"/>
      <c r="X180" s="36">
        <f t="shared" si="14"/>
        <v>0</v>
      </c>
      <c r="Y180" s="28">
        <f t="shared" si="15"/>
        <v>0</v>
      </c>
      <c r="Z180" s="28">
        <f t="shared" si="16"/>
        <v>0</v>
      </c>
      <c r="AA180" s="40"/>
      <c r="AB180" s="40"/>
      <c r="AC180" s="61">
        <f t="shared" si="17"/>
        <v>2</v>
      </c>
      <c r="AD180" s="61"/>
    </row>
    <row r="181" spans="1:30" ht="31.2" x14ac:dyDescent="0.3">
      <c r="A181" s="7" t="s">
        <v>53</v>
      </c>
      <c r="B181" s="6">
        <v>168</v>
      </c>
      <c r="C181" s="7" t="s">
        <v>625</v>
      </c>
      <c r="D181" s="7" t="s">
        <v>632</v>
      </c>
      <c r="E181" s="7"/>
      <c r="F181" s="4"/>
      <c r="G181" s="7" t="s">
        <v>633</v>
      </c>
      <c r="H181" s="7"/>
      <c r="I181" s="7"/>
      <c r="J181" s="7" t="s">
        <v>634</v>
      </c>
      <c r="K181" s="7" t="s">
        <v>24</v>
      </c>
      <c r="L181" s="7" t="s">
        <v>635</v>
      </c>
      <c r="M181" s="109">
        <v>8433071600</v>
      </c>
      <c r="N181" s="111"/>
      <c r="O181" s="109">
        <v>7500000</v>
      </c>
      <c r="P181" s="110"/>
      <c r="Q181" s="109">
        <f t="shared" si="13"/>
        <v>8440571600</v>
      </c>
      <c r="R181" s="3">
        <v>8433071600</v>
      </c>
      <c r="S181" s="5"/>
      <c r="T181" s="72"/>
      <c r="U181" s="5"/>
      <c r="V181" s="5"/>
      <c r="W181" s="28"/>
      <c r="X181" s="28">
        <f t="shared" si="14"/>
        <v>0</v>
      </c>
      <c r="Y181" s="36">
        <f t="shared" si="15"/>
        <v>7500000</v>
      </c>
      <c r="Z181" s="28">
        <f t="shared" si="16"/>
        <v>0</v>
      </c>
      <c r="AA181" s="4"/>
      <c r="AB181" s="40"/>
      <c r="AC181" s="121">
        <f t="shared" si="17"/>
        <v>2</v>
      </c>
      <c r="AD181" s="121"/>
    </row>
    <row r="182" spans="1:30" ht="31.2" x14ac:dyDescent="0.3">
      <c r="A182" s="7" t="s">
        <v>18</v>
      </c>
      <c r="B182" s="6">
        <v>169</v>
      </c>
      <c r="C182" s="7" t="s">
        <v>625</v>
      </c>
      <c r="D182" s="7" t="s">
        <v>636</v>
      </c>
      <c r="E182" s="7" t="s">
        <v>638</v>
      </c>
      <c r="F182" s="40" t="s">
        <v>637</v>
      </c>
      <c r="G182" s="7" t="s">
        <v>639</v>
      </c>
      <c r="H182" s="7" t="s">
        <v>640</v>
      </c>
      <c r="I182" s="5"/>
      <c r="J182" s="7" t="s">
        <v>641</v>
      </c>
      <c r="K182" s="7" t="s">
        <v>24</v>
      </c>
      <c r="L182" s="7" t="s">
        <v>642</v>
      </c>
      <c r="M182" s="109">
        <v>5988544304</v>
      </c>
      <c r="N182" s="109">
        <v>118968048</v>
      </c>
      <c r="O182" s="109">
        <v>15000000</v>
      </c>
      <c r="P182" s="112">
        <v>36000000</v>
      </c>
      <c r="Q182" s="109">
        <f t="shared" si="13"/>
        <v>6158512352</v>
      </c>
      <c r="R182" s="3">
        <v>5988544304</v>
      </c>
      <c r="S182" s="3">
        <v>118968048</v>
      </c>
      <c r="T182" s="30">
        <v>15000000</v>
      </c>
      <c r="U182" s="3">
        <v>36000000</v>
      </c>
      <c r="V182" s="5"/>
      <c r="W182" s="28"/>
      <c r="X182" s="28">
        <f t="shared" si="14"/>
        <v>0</v>
      </c>
      <c r="Y182" s="28">
        <f t="shared" si="15"/>
        <v>0</v>
      </c>
      <c r="Z182" s="28">
        <f t="shared" si="16"/>
        <v>0</v>
      </c>
      <c r="AA182" s="4"/>
      <c r="AB182" s="4"/>
      <c r="AC182">
        <f t="shared" si="17"/>
        <v>2</v>
      </c>
    </row>
    <row r="183" spans="1:30" ht="31.2" x14ac:dyDescent="0.3">
      <c r="A183" s="7" t="s">
        <v>53</v>
      </c>
      <c r="B183" s="6">
        <v>170</v>
      </c>
      <c r="C183" s="7" t="s">
        <v>625</v>
      </c>
      <c r="D183" s="7" t="s">
        <v>643</v>
      </c>
      <c r="E183" s="7" t="s">
        <v>644</v>
      </c>
      <c r="F183" s="4"/>
      <c r="G183" s="7" t="s">
        <v>645</v>
      </c>
      <c r="H183" s="7" t="s">
        <v>646</v>
      </c>
      <c r="I183" s="5"/>
      <c r="J183" s="7" t="s">
        <v>647</v>
      </c>
      <c r="K183" s="7" t="s">
        <v>24</v>
      </c>
      <c r="L183" s="7" t="s">
        <v>648</v>
      </c>
      <c r="M183" s="109">
        <v>2032992492</v>
      </c>
      <c r="N183" s="109">
        <v>46891008</v>
      </c>
      <c r="O183" s="109">
        <v>15000000</v>
      </c>
      <c r="P183" s="110"/>
      <c r="Q183" s="109">
        <f t="shared" si="13"/>
        <v>2094883500</v>
      </c>
      <c r="R183" s="3">
        <v>2032992492</v>
      </c>
      <c r="S183" s="28">
        <v>46891008</v>
      </c>
      <c r="T183" s="30">
        <v>15000000</v>
      </c>
      <c r="U183" s="5"/>
      <c r="V183" s="5"/>
      <c r="W183" s="28"/>
      <c r="X183" s="28">
        <f t="shared" si="14"/>
        <v>0</v>
      </c>
      <c r="Y183" s="28">
        <f t="shared" si="15"/>
        <v>0</v>
      </c>
      <c r="Z183" s="28">
        <f t="shared" si="16"/>
        <v>0</v>
      </c>
      <c r="AA183" s="4"/>
      <c r="AB183" s="4"/>
      <c r="AC183">
        <f t="shared" si="17"/>
        <v>2</v>
      </c>
    </row>
    <row r="184" spans="1:30" ht="31.2" x14ac:dyDescent="0.3">
      <c r="A184" s="7" t="s">
        <v>62</v>
      </c>
      <c r="B184" s="6">
        <v>171</v>
      </c>
      <c r="C184" s="7" t="s">
        <v>625</v>
      </c>
      <c r="D184" s="7" t="s">
        <v>649</v>
      </c>
      <c r="E184" s="5"/>
      <c r="F184" s="4"/>
      <c r="G184" s="7" t="s">
        <v>650</v>
      </c>
      <c r="H184" s="5"/>
      <c r="I184" s="5"/>
      <c r="J184" s="7" t="s">
        <v>651</v>
      </c>
      <c r="K184" s="7" t="s">
        <v>24</v>
      </c>
      <c r="L184" s="7" t="s">
        <v>652</v>
      </c>
      <c r="M184" s="109">
        <v>3992486323</v>
      </c>
      <c r="N184" s="111"/>
      <c r="O184" s="109">
        <v>7500000</v>
      </c>
      <c r="P184" s="110"/>
      <c r="Q184" s="109">
        <f t="shared" si="13"/>
        <v>3999986323</v>
      </c>
      <c r="R184" s="3">
        <v>3992486323</v>
      </c>
      <c r="S184" s="5"/>
      <c r="T184" s="30">
        <v>7500000</v>
      </c>
      <c r="U184" s="5"/>
      <c r="V184" s="5"/>
      <c r="W184" s="28"/>
      <c r="X184" s="28">
        <f t="shared" si="14"/>
        <v>0</v>
      </c>
      <c r="Y184" s="28">
        <f t="shared" si="15"/>
        <v>0</v>
      </c>
      <c r="Z184" s="28">
        <f t="shared" si="16"/>
        <v>0</v>
      </c>
      <c r="AA184" s="4"/>
      <c r="AB184" s="4"/>
      <c r="AC184">
        <f t="shared" si="17"/>
        <v>2</v>
      </c>
    </row>
    <row r="185" spans="1:30" ht="31.2" x14ac:dyDescent="0.3">
      <c r="A185" s="7" t="s">
        <v>18</v>
      </c>
      <c r="B185" s="6">
        <v>172</v>
      </c>
      <c r="C185" s="7" t="s">
        <v>625</v>
      </c>
      <c r="D185" s="7" t="s">
        <v>653</v>
      </c>
      <c r="E185" s="5"/>
      <c r="F185" s="4"/>
      <c r="G185" s="7" t="s">
        <v>654</v>
      </c>
      <c r="H185" s="5"/>
      <c r="I185" s="5"/>
      <c r="J185" s="7" t="s">
        <v>655</v>
      </c>
      <c r="K185" s="7" t="s">
        <v>24</v>
      </c>
      <c r="L185" s="7" t="s">
        <v>656</v>
      </c>
      <c r="M185" s="109">
        <v>729829000</v>
      </c>
      <c r="N185" s="111"/>
      <c r="O185" s="109">
        <v>7500000</v>
      </c>
      <c r="P185" s="110"/>
      <c r="Q185" s="109">
        <f t="shared" si="13"/>
        <v>737329000</v>
      </c>
      <c r="R185" s="3">
        <v>729829000</v>
      </c>
      <c r="S185" s="5"/>
      <c r="T185" s="30">
        <v>7500000</v>
      </c>
      <c r="U185" s="5"/>
      <c r="V185" s="5"/>
      <c r="W185" s="28"/>
      <c r="X185" s="28">
        <f t="shared" si="14"/>
        <v>0</v>
      </c>
      <c r="Y185" s="28">
        <f t="shared" si="15"/>
        <v>0</v>
      </c>
      <c r="Z185" s="28">
        <f t="shared" si="16"/>
        <v>0</v>
      </c>
      <c r="AA185" s="4"/>
      <c r="AB185" s="4"/>
      <c r="AC185">
        <f t="shared" si="17"/>
        <v>2</v>
      </c>
    </row>
    <row r="186" spans="1:30" ht="31.2" x14ac:dyDescent="0.3">
      <c r="A186" s="7" t="s">
        <v>53</v>
      </c>
      <c r="B186" s="6">
        <v>173</v>
      </c>
      <c r="C186" s="7" t="s">
        <v>625</v>
      </c>
      <c r="D186" s="7" t="s">
        <v>657</v>
      </c>
      <c r="E186" s="5"/>
      <c r="F186" s="4"/>
      <c r="G186" s="7" t="s">
        <v>658</v>
      </c>
      <c r="H186" s="5"/>
      <c r="I186" s="5"/>
      <c r="J186" s="7" t="s">
        <v>659</v>
      </c>
      <c r="K186" s="7" t="s">
        <v>24</v>
      </c>
      <c r="L186" s="7" t="s">
        <v>660</v>
      </c>
      <c r="M186" s="109">
        <v>124266760</v>
      </c>
      <c r="N186" s="111"/>
      <c r="O186" s="109">
        <v>7500000</v>
      </c>
      <c r="P186" s="110"/>
      <c r="Q186" s="109">
        <f t="shared" si="13"/>
        <v>131766760</v>
      </c>
      <c r="R186" s="3">
        <v>124266760</v>
      </c>
      <c r="S186" s="5"/>
      <c r="T186" s="30">
        <v>7500000</v>
      </c>
      <c r="U186" s="5"/>
      <c r="V186" s="5"/>
      <c r="W186" s="28"/>
      <c r="X186" s="28">
        <f t="shared" si="14"/>
        <v>0</v>
      </c>
      <c r="Y186" s="28">
        <f t="shared" si="15"/>
        <v>0</v>
      </c>
      <c r="Z186" s="28">
        <f t="shared" si="16"/>
        <v>0</v>
      </c>
      <c r="AA186" s="4"/>
      <c r="AB186" s="4"/>
      <c r="AC186">
        <f t="shared" si="17"/>
        <v>2</v>
      </c>
    </row>
    <row r="187" spans="1:30" ht="31.2" x14ac:dyDescent="0.3">
      <c r="A187" s="7" t="s">
        <v>18</v>
      </c>
      <c r="B187" s="6">
        <v>174</v>
      </c>
      <c r="C187" s="7" t="s">
        <v>625</v>
      </c>
      <c r="D187" s="7" t="s">
        <v>661</v>
      </c>
      <c r="E187" s="7"/>
      <c r="F187" s="4"/>
      <c r="G187" s="7" t="s">
        <v>662</v>
      </c>
      <c r="H187" s="7"/>
      <c r="I187" s="7"/>
      <c r="J187" s="7" t="s">
        <v>663</v>
      </c>
      <c r="K187" s="7" t="s">
        <v>24</v>
      </c>
      <c r="L187" s="7" t="s">
        <v>664</v>
      </c>
      <c r="M187" s="109">
        <v>0</v>
      </c>
      <c r="N187" s="111"/>
      <c r="O187" s="109">
        <v>7500000</v>
      </c>
      <c r="P187" s="110"/>
      <c r="Q187" s="109">
        <f t="shared" si="13"/>
        <v>7500000</v>
      </c>
      <c r="R187" s="6">
        <v>0</v>
      </c>
      <c r="S187" s="5"/>
      <c r="T187" s="72"/>
      <c r="U187" s="5"/>
      <c r="V187" s="5"/>
      <c r="W187" s="28"/>
      <c r="X187" s="28">
        <f t="shared" si="14"/>
        <v>0</v>
      </c>
      <c r="Y187" s="36">
        <f t="shared" si="15"/>
        <v>7500000</v>
      </c>
      <c r="Z187" s="28">
        <f t="shared" si="16"/>
        <v>0</v>
      </c>
      <c r="AA187" s="4"/>
      <c r="AB187" s="40"/>
      <c r="AC187" s="121">
        <f t="shared" si="17"/>
        <v>2</v>
      </c>
      <c r="AD187" s="121"/>
    </row>
    <row r="188" spans="1:30" ht="62.4" x14ac:dyDescent="0.3">
      <c r="A188" s="7" t="s">
        <v>62</v>
      </c>
      <c r="B188" s="6">
        <v>175</v>
      </c>
      <c r="C188" s="7" t="s">
        <v>625</v>
      </c>
      <c r="D188" s="7" t="s">
        <v>665</v>
      </c>
      <c r="E188" s="7" t="s">
        <v>666</v>
      </c>
      <c r="F188" s="4"/>
      <c r="G188" s="7" t="s">
        <v>667</v>
      </c>
      <c r="H188" s="7" t="s">
        <v>668</v>
      </c>
      <c r="I188" s="7"/>
      <c r="J188" s="7" t="s">
        <v>669</v>
      </c>
      <c r="K188" s="7" t="s">
        <v>24</v>
      </c>
      <c r="L188" s="7" t="s">
        <v>670</v>
      </c>
      <c r="M188" s="109">
        <v>2265222670</v>
      </c>
      <c r="N188" s="109">
        <v>552867384</v>
      </c>
      <c r="O188" s="109">
        <v>7500000</v>
      </c>
      <c r="P188" s="110"/>
      <c r="Q188" s="109">
        <f t="shared" si="13"/>
        <v>2825590054</v>
      </c>
      <c r="R188" s="5"/>
      <c r="S188" s="7"/>
      <c r="T188" s="72"/>
      <c r="U188" s="5"/>
      <c r="V188" s="5"/>
      <c r="W188" s="28">
        <v>2265222670</v>
      </c>
      <c r="X188" s="36">
        <f t="shared" si="14"/>
        <v>552867384</v>
      </c>
      <c r="Y188" s="36">
        <f t="shared" si="15"/>
        <v>7500000</v>
      </c>
      <c r="Z188" s="28">
        <f t="shared" si="16"/>
        <v>0</v>
      </c>
      <c r="AA188" s="10">
        <v>2818090054</v>
      </c>
      <c r="AB188" s="40"/>
      <c r="AC188" s="121">
        <f t="shared" si="17"/>
        <v>2</v>
      </c>
      <c r="AD188" s="121"/>
    </row>
    <row r="189" spans="1:30" ht="31.2" x14ac:dyDescent="0.3">
      <c r="A189" s="7" t="s">
        <v>53</v>
      </c>
      <c r="B189" s="6">
        <v>176</v>
      </c>
      <c r="C189" s="7" t="s">
        <v>625</v>
      </c>
      <c r="D189" s="7" t="s">
        <v>671</v>
      </c>
      <c r="E189" s="5"/>
      <c r="F189" s="4"/>
      <c r="G189" s="7" t="s">
        <v>672</v>
      </c>
      <c r="H189" s="5"/>
      <c r="I189" s="5"/>
      <c r="J189" s="7" t="s">
        <v>673</v>
      </c>
      <c r="K189" s="7" t="s">
        <v>24</v>
      </c>
      <c r="L189" s="7" t="s">
        <v>674</v>
      </c>
      <c r="M189" s="109">
        <v>10643430</v>
      </c>
      <c r="N189" s="111"/>
      <c r="O189" s="109">
        <v>7500000</v>
      </c>
      <c r="P189" s="110"/>
      <c r="Q189" s="109">
        <f t="shared" si="13"/>
        <v>18143430</v>
      </c>
      <c r="R189" s="3">
        <v>10643430</v>
      </c>
      <c r="S189" s="5"/>
      <c r="T189" s="30">
        <v>7500000</v>
      </c>
      <c r="U189" s="5"/>
      <c r="V189" s="5"/>
      <c r="W189" s="28"/>
      <c r="X189" s="28">
        <f t="shared" si="14"/>
        <v>0</v>
      </c>
      <c r="Y189" s="28">
        <f t="shared" si="15"/>
        <v>0</v>
      </c>
      <c r="Z189" s="28">
        <f t="shared" si="16"/>
        <v>0</v>
      </c>
      <c r="AA189" s="4"/>
      <c r="AB189" s="4"/>
      <c r="AC189">
        <f t="shared" si="17"/>
        <v>2</v>
      </c>
    </row>
    <row r="190" spans="1:30" ht="31.2" x14ac:dyDescent="0.3">
      <c r="A190" s="7" t="s">
        <v>62</v>
      </c>
      <c r="B190" s="6">
        <v>177</v>
      </c>
      <c r="C190" s="7" t="s">
        <v>625</v>
      </c>
      <c r="D190" s="7" t="s">
        <v>675</v>
      </c>
      <c r="E190" s="5"/>
      <c r="F190" s="4"/>
      <c r="G190" s="7" t="s">
        <v>676</v>
      </c>
      <c r="H190" s="5"/>
      <c r="I190" s="5"/>
      <c r="J190" s="7" t="s">
        <v>677</v>
      </c>
      <c r="K190" s="7" t="s">
        <v>24</v>
      </c>
      <c r="L190" s="7" t="s">
        <v>678</v>
      </c>
      <c r="M190" s="109">
        <v>8918600276</v>
      </c>
      <c r="N190" s="111"/>
      <c r="O190" s="109">
        <v>15000000</v>
      </c>
      <c r="P190" s="110"/>
      <c r="Q190" s="109">
        <f t="shared" si="13"/>
        <v>8933600276</v>
      </c>
      <c r="R190" s="3">
        <v>8918600276</v>
      </c>
      <c r="S190" s="5"/>
      <c r="T190" s="30">
        <v>15000000</v>
      </c>
      <c r="U190" s="5"/>
      <c r="V190" s="5"/>
      <c r="W190" s="28"/>
      <c r="X190" s="28">
        <f t="shared" si="14"/>
        <v>0</v>
      </c>
      <c r="Y190" s="28">
        <f t="shared" si="15"/>
        <v>0</v>
      </c>
      <c r="Z190" s="28">
        <f t="shared" si="16"/>
        <v>0</v>
      </c>
      <c r="AA190" s="4"/>
      <c r="AB190" s="4"/>
      <c r="AC190">
        <f t="shared" si="17"/>
        <v>2</v>
      </c>
    </row>
    <row r="191" spans="1:30" ht="31.2" x14ac:dyDescent="0.3">
      <c r="A191" s="7" t="s">
        <v>62</v>
      </c>
      <c r="B191" s="6">
        <v>178</v>
      </c>
      <c r="C191" s="7" t="s">
        <v>625</v>
      </c>
      <c r="D191" s="7" t="s">
        <v>679</v>
      </c>
      <c r="E191" s="7" t="s">
        <v>389</v>
      </c>
      <c r="F191" s="4"/>
      <c r="G191" s="7" t="s">
        <v>680</v>
      </c>
      <c r="H191" s="7" t="s">
        <v>681</v>
      </c>
      <c r="I191" s="5"/>
      <c r="J191" s="7" t="s">
        <v>682</v>
      </c>
      <c r="K191" s="7" t="s">
        <v>24</v>
      </c>
      <c r="L191" s="7" t="s">
        <v>683</v>
      </c>
      <c r="M191" s="109">
        <v>1981953376</v>
      </c>
      <c r="N191" s="109">
        <v>93049344</v>
      </c>
      <c r="O191" s="109">
        <v>15000000</v>
      </c>
      <c r="P191" s="110"/>
      <c r="Q191" s="109">
        <f t="shared" si="13"/>
        <v>2090002720</v>
      </c>
      <c r="R191" s="3">
        <v>1981953376</v>
      </c>
      <c r="S191" s="3">
        <v>93049344</v>
      </c>
      <c r="T191" s="30">
        <v>15000000</v>
      </c>
      <c r="U191" s="5"/>
      <c r="V191" s="5"/>
      <c r="W191" s="28"/>
      <c r="X191" s="28">
        <f t="shared" si="14"/>
        <v>0</v>
      </c>
      <c r="Y191" s="28">
        <f t="shared" si="15"/>
        <v>0</v>
      </c>
      <c r="Z191" s="28">
        <f t="shared" si="16"/>
        <v>0</v>
      </c>
      <c r="AA191" s="4"/>
      <c r="AB191" s="4"/>
      <c r="AC191">
        <f t="shared" si="17"/>
        <v>2</v>
      </c>
    </row>
    <row r="192" spans="1:30" ht="31.2" x14ac:dyDescent="0.3">
      <c r="A192" s="7" t="s">
        <v>18</v>
      </c>
      <c r="B192" s="6">
        <v>179</v>
      </c>
      <c r="C192" s="7" t="s">
        <v>625</v>
      </c>
      <c r="D192" s="7" t="s">
        <v>684</v>
      </c>
      <c r="E192" s="5"/>
      <c r="F192" s="4"/>
      <c r="G192" s="7" t="s">
        <v>375</v>
      </c>
      <c r="H192" s="5"/>
      <c r="I192" s="5"/>
      <c r="J192" s="7" t="s">
        <v>685</v>
      </c>
      <c r="K192" s="7" t="s">
        <v>24</v>
      </c>
      <c r="L192" s="7" t="s">
        <v>109</v>
      </c>
      <c r="M192" s="109">
        <v>10000000</v>
      </c>
      <c r="N192" s="111"/>
      <c r="O192" s="109">
        <v>15000000</v>
      </c>
      <c r="P192" s="110"/>
      <c r="Q192" s="109">
        <f t="shared" si="13"/>
        <v>25000000</v>
      </c>
      <c r="R192" s="36">
        <v>10000000</v>
      </c>
      <c r="S192" s="5"/>
      <c r="T192" s="30">
        <v>15000000</v>
      </c>
      <c r="U192" s="5"/>
      <c r="V192" s="5"/>
      <c r="W192" s="28"/>
      <c r="X192" s="28">
        <f t="shared" si="14"/>
        <v>0</v>
      </c>
      <c r="Y192" s="28">
        <f t="shared" si="15"/>
        <v>0</v>
      </c>
      <c r="Z192" s="28">
        <f t="shared" si="16"/>
        <v>0</v>
      </c>
      <c r="AA192" s="4"/>
      <c r="AB192" s="4"/>
      <c r="AC192">
        <f t="shared" si="17"/>
        <v>2</v>
      </c>
    </row>
    <row r="193" spans="1:30" ht="31.2" x14ac:dyDescent="0.3">
      <c r="A193" s="7" t="s">
        <v>18</v>
      </c>
      <c r="B193" s="6">
        <v>180</v>
      </c>
      <c r="C193" s="7" t="s">
        <v>625</v>
      </c>
      <c r="D193" s="7" t="s">
        <v>686</v>
      </c>
      <c r="E193" s="5"/>
      <c r="F193" s="4"/>
      <c r="G193" s="7" t="s">
        <v>687</v>
      </c>
      <c r="H193" s="5"/>
      <c r="I193" s="5"/>
      <c r="J193" s="7" t="s">
        <v>688</v>
      </c>
      <c r="K193" s="7" t="s">
        <v>24</v>
      </c>
      <c r="L193" s="7" t="s">
        <v>689</v>
      </c>
      <c r="M193" s="109">
        <v>10000000</v>
      </c>
      <c r="N193" s="111"/>
      <c r="O193" s="109">
        <v>15000000</v>
      </c>
      <c r="P193" s="110"/>
      <c r="Q193" s="109">
        <f t="shared" si="13"/>
        <v>25000000</v>
      </c>
      <c r="R193" s="36">
        <v>10000000</v>
      </c>
      <c r="S193" s="5"/>
      <c r="T193" s="30">
        <v>15000000</v>
      </c>
      <c r="U193" s="5"/>
      <c r="V193" s="5"/>
      <c r="W193" s="28"/>
      <c r="X193" s="28">
        <f t="shared" si="14"/>
        <v>0</v>
      </c>
      <c r="Y193" s="28">
        <f t="shared" si="15"/>
        <v>0</v>
      </c>
      <c r="Z193" s="28">
        <f t="shared" si="16"/>
        <v>0</v>
      </c>
      <c r="AA193" s="4"/>
      <c r="AB193" s="4"/>
      <c r="AC193">
        <f t="shared" si="17"/>
        <v>2</v>
      </c>
    </row>
    <row r="194" spans="1:30" ht="31.2" x14ac:dyDescent="0.3">
      <c r="A194" s="7" t="s">
        <v>18</v>
      </c>
      <c r="B194" s="6">
        <v>181</v>
      </c>
      <c r="C194" s="7" t="s">
        <v>625</v>
      </c>
      <c r="D194" s="7" t="s">
        <v>690</v>
      </c>
      <c r="E194" s="7" t="s">
        <v>389</v>
      </c>
      <c r="F194" s="40" t="s">
        <v>691</v>
      </c>
      <c r="G194" s="7" t="s">
        <v>692</v>
      </c>
      <c r="H194" s="7" t="s">
        <v>693</v>
      </c>
      <c r="I194" s="5"/>
      <c r="J194" s="7" t="s">
        <v>694</v>
      </c>
      <c r="K194" s="7" t="s">
        <v>24</v>
      </c>
      <c r="L194" s="7" t="s">
        <v>695</v>
      </c>
      <c r="M194" s="109">
        <v>14532544980</v>
      </c>
      <c r="N194" s="109">
        <v>643772000</v>
      </c>
      <c r="O194" s="109">
        <v>15000000</v>
      </c>
      <c r="P194" s="112">
        <v>48000000</v>
      </c>
      <c r="Q194" s="109">
        <f t="shared" si="13"/>
        <v>15239316980</v>
      </c>
      <c r="R194" s="3">
        <v>14532544980</v>
      </c>
      <c r="S194" s="3">
        <v>643772000</v>
      </c>
      <c r="T194" s="30">
        <v>15000000</v>
      </c>
      <c r="U194" s="3">
        <v>48000000</v>
      </c>
      <c r="V194" s="5"/>
      <c r="W194" s="28"/>
      <c r="X194" s="28">
        <f t="shared" si="14"/>
        <v>0</v>
      </c>
      <c r="Y194" s="28">
        <f t="shared" si="15"/>
        <v>0</v>
      </c>
      <c r="Z194" s="28">
        <f t="shared" si="16"/>
        <v>0</v>
      </c>
      <c r="AA194" s="4"/>
      <c r="AB194" s="4"/>
      <c r="AC194">
        <f t="shared" si="17"/>
        <v>2</v>
      </c>
    </row>
    <row r="195" spans="1:30" ht="62.4" x14ac:dyDescent="0.3">
      <c r="A195" s="7" t="s">
        <v>18</v>
      </c>
      <c r="B195" s="6">
        <v>182</v>
      </c>
      <c r="C195" s="7" t="s">
        <v>696</v>
      </c>
      <c r="D195" s="7" t="s">
        <v>697</v>
      </c>
      <c r="E195" s="7" t="s">
        <v>698</v>
      </c>
      <c r="F195" s="4"/>
      <c r="G195" s="7" t="s">
        <v>167</v>
      </c>
      <c r="H195" s="7" t="s">
        <v>699</v>
      </c>
      <c r="I195" s="5"/>
      <c r="J195" s="7" t="s">
        <v>700</v>
      </c>
      <c r="K195" s="7" t="s">
        <v>24</v>
      </c>
      <c r="L195" s="7" t="s">
        <v>701</v>
      </c>
      <c r="M195" s="109">
        <v>336768568</v>
      </c>
      <c r="N195" s="109">
        <v>141798254</v>
      </c>
      <c r="O195" s="109">
        <v>7500000</v>
      </c>
      <c r="P195" s="110"/>
      <c r="Q195" s="109">
        <f t="shared" si="13"/>
        <v>486066822</v>
      </c>
      <c r="R195" s="3">
        <v>336768568</v>
      </c>
      <c r="S195" s="3">
        <v>141798254</v>
      </c>
      <c r="T195" s="30">
        <v>7500000</v>
      </c>
      <c r="U195" s="5"/>
      <c r="V195" s="5"/>
      <c r="W195" s="28"/>
      <c r="X195" s="36">
        <f t="shared" si="14"/>
        <v>0</v>
      </c>
      <c r="Y195" s="28">
        <f t="shared" si="15"/>
        <v>0</v>
      </c>
      <c r="Z195" s="28">
        <f t="shared" si="16"/>
        <v>0</v>
      </c>
      <c r="AA195" s="40"/>
      <c r="AB195" s="40"/>
      <c r="AC195" s="61">
        <f t="shared" si="17"/>
        <v>2</v>
      </c>
      <c r="AD195" s="61"/>
    </row>
    <row r="196" spans="1:30" ht="31.2" x14ac:dyDescent="0.3">
      <c r="A196" s="7" t="s">
        <v>18</v>
      </c>
      <c r="B196" s="6">
        <v>183</v>
      </c>
      <c r="C196" s="7" t="s">
        <v>696</v>
      </c>
      <c r="D196" s="7" t="s">
        <v>702</v>
      </c>
      <c r="E196" s="7"/>
      <c r="F196" s="4"/>
      <c r="G196" s="7" t="s">
        <v>703</v>
      </c>
      <c r="H196" s="7"/>
      <c r="I196" s="7"/>
      <c r="J196" s="7" t="s">
        <v>704</v>
      </c>
      <c r="K196" s="7" t="s">
        <v>24</v>
      </c>
      <c r="L196" s="7" t="s">
        <v>705</v>
      </c>
      <c r="M196" s="109">
        <v>1710548356</v>
      </c>
      <c r="N196" s="111"/>
      <c r="O196" s="109">
        <v>7500000</v>
      </c>
      <c r="P196" s="110"/>
      <c r="Q196" s="109">
        <f t="shared" si="13"/>
        <v>1718048356</v>
      </c>
      <c r="R196" s="3">
        <v>1710548356</v>
      </c>
      <c r="S196" s="5"/>
      <c r="T196" s="72"/>
      <c r="U196" s="5"/>
      <c r="V196" s="5"/>
      <c r="W196" s="28"/>
      <c r="X196" s="28">
        <f t="shared" si="14"/>
        <v>0</v>
      </c>
      <c r="Y196" s="36">
        <f t="shared" si="15"/>
        <v>7500000</v>
      </c>
      <c r="Z196" s="28">
        <f t="shared" si="16"/>
        <v>0</v>
      </c>
      <c r="AA196" s="4"/>
      <c r="AB196" s="40"/>
      <c r="AC196" s="121">
        <f t="shared" si="17"/>
        <v>2</v>
      </c>
      <c r="AD196" s="121"/>
    </row>
    <row r="197" spans="1:30" ht="31.2" x14ac:dyDescent="0.3">
      <c r="A197" s="7" t="s">
        <v>18</v>
      </c>
      <c r="B197" s="6">
        <v>184</v>
      </c>
      <c r="C197" s="7" t="s">
        <v>696</v>
      </c>
      <c r="D197" s="7" t="s">
        <v>706</v>
      </c>
      <c r="E197" s="5"/>
      <c r="F197" s="4"/>
      <c r="G197" s="7" t="s">
        <v>707</v>
      </c>
      <c r="H197" s="5"/>
      <c r="I197" s="5"/>
      <c r="J197" s="7" t="s">
        <v>708</v>
      </c>
      <c r="K197" s="7" t="s">
        <v>24</v>
      </c>
      <c r="L197" s="7" t="s">
        <v>709</v>
      </c>
      <c r="M197" s="109">
        <v>2940512944</v>
      </c>
      <c r="N197" s="111"/>
      <c r="O197" s="109">
        <v>7500000</v>
      </c>
      <c r="P197" s="110"/>
      <c r="Q197" s="109">
        <f t="shared" si="13"/>
        <v>2948012944</v>
      </c>
      <c r="R197" s="3">
        <v>2940512944</v>
      </c>
      <c r="S197" s="5"/>
      <c r="T197" s="30">
        <v>7500000</v>
      </c>
      <c r="U197" s="5"/>
      <c r="V197" s="5"/>
      <c r="W197" s="28"/>
      <c r="X197" s="28">
        <f t="shared" si="14"/>
        <v>0</v>
      </c>
      <c r="Y197" s="28">
        <f t="shared" si="15"/>
        <v>0</v>
      </c>
      <c r="Z197" s="28">
        <f t="shared" si="16"/>
        <v>0</v>
      </c>
      <c r="AA197" s="4"/>
      <c r="AB197" s="4"/>
      <c r="AC197">
        <f t="shared" si="17"/>
        <v>2</v>
      </c>
    </row>
    <row r="198" spans="1:30" ht="31.2" x14ac:dyDescent="0.3">
      <c r="A198" s="7" t="s">
        <v>18</v>
      </c>
      <c r="B198" s="6">
        <v>185</v>
      </c>
      <c r="C198" s="7" t="s">
        <v>696</v>
      </c>
      <c r="D198" s="7" t="s">
        <v>710</v>
      </c>
      <c r="E198" s="5"/>
      <c r="F198" s="4"/>
      <c r="G198" s="7" t="s">
        <v>404</v>
      </c>
      <c r="H198" s="5"/>
      <c r="I198" s="5"/>
      <c r="J198" s="7" t="s">
        <v>711</v>
      </c>
      <c r="K198" s="7" t="s">
        <v>24</v>
      </c>
      <c r="L198" s="7" t="s">
        <v>712</v>
      </c>
      <c r="M198" s="109">
        <v>1486137360</v>
      </c>
      <c r="N198" s="111"/>
      <c r="O198" s="109">
        <v>7500000</v>
      </c>
      <c r="P198" s="110"/>
      <c r="Q198" s="109">
        <f t="shared" si="13"/>
        <v>1493637360</v>
      </c>
      <c r="R198" s="36">
        <v>1486137360</v>
      </c>
      <c r="S198" s="5"/>
      <c r="T198" s="30">
        <v>7500000</v>
      </c>
      <c r="U198" s="5"/>
      <c r="V198" s="5"/>
      <c r="W198" s="28"/>
      <c r="X198" s="28">
        <f t="shared" si="14"/>
        <v>0</v>
      </c>
      <c r="Y198" s="28">
        <f t="shared" si="15"/>
        <v>0</v>
      </c>
      <c r="Z198" s="28">
        <f t="shared" si="16"/>
        <v>0</v>
      </c>
      <c r="AA198" s="4"/>
      <c r="AB198" s="4"/>
      <c r="AC198">
        <f t="shared" si="17"/>
        <v>2</v>
      </c>
    </row>
    <row r="199" spans="1:30" ht="31.2" x14ac:dyDescent="0.3">
      <c r="A199" s="7" t="s">
        <v>18</v>
      </c>
      <c r="B199" s="6">
        <v>186</v>
      </c>
      <c r="C199" s="7" t="s">
        <v>696</v>
      </c>
      <c r="D199" s="7" t="s">
        <v>713</v>
      </c>
      <c r="E199" s="5"/>
      <c r="F199" s="4"/>
      <c r="G199" s="7" t="s">
        <v>179</v>
      </c>
      <c r="H199" s="5"/>
      <c r="I199" s="5"/>
      <c r="J199" s="7" t="s">
        <v>714</v>
      </c>
      <c r="K199" s="7" t="s">
        <v>24</v>
      </c>
      <c r="L199" s="7" t="s">
        <v>715</v>
      </c>
      <c r="M199" s="109">
        <v>7125152398</v>
      </c>
      <c r="N199" s="111"/>
      <c r="O199" s="109">
        <v>15000000</v>
      </c>
      <c r="P199" s="110"/>
      <c r="Q199" s="109">
        <f t="shared" si="13"/>
        <v>7140152398</v>
      </c>
      <c r="R199" s="3">
        <v>7125152398</v>
      </c>
      <c r="S199" s="5"/>
      <c r="T199" s="30">
        <v>15000000</v>
      </c>
      <c r="U199" s="5"/>
      <c r="V199" s="5"/>
      <c r="W199" s="28"/>
      <c r="X199" s="28">
        <f t="shared" si="14"/>
        <v>0</v>
      </c>
      <c r="Y199" s="28">
        <f t="shared" si="15"/>
        <v>0</v>
      </c>
      <c r="Z199" s="28">
        <f t="shared" si="16"/>
        <v>0</v>
      </c>
      <c r="AA199" s="4"/>
      <c r="AB199" s="4"/>
      <c r="AC199">
        <f t="shared" si="17"/>
        <v>2</v>
      </c>
    </row>
    <row r="200" spans="1:30" ht="62.4" x14ac:dyDescent="0.3">
      <c r="A200" s="7" t="s">
        <v>18</v>
      </c>
      <c r="B200" s="6">
        <v>187</v>
      </c>
      <c r="C200" s="7" t="s">
        <v>696</v>
      </c>
      <c r="D200" s="7" t="s">
        <v>716</v>
      </c>
      <c r="E200" s="7" t="s">
        <v>717</v>
      </c>
      <c r="F200" s="4"/>
      <c r="G200" s="7" t="s">
        <v>718</v>
      </c>
      <c r="H200" s="7" t="s">
        <v>719</v>
      </c>
      <c r="I200" s="5"/>
      <c r="J200" s="7" t="s">
        <v>720</v>
      </c>
      <c r="K200" s="7" t="s">
        <v>24</v>
      </c>
      <c r="L200" s="7" t="s">
        <v>721</v>
      </c>
      <c r="M200" s="109">
        <v>6715150664</v>
      </c>
      <c r="N200" s="109">
        <v>15861376</v>
      </c>
      <c r="O200" s="109">
        <v>15000000</v>
      </c>
      <c r="P200" s="110"/>
      <c r="Q200" s="109">
        <f t="shared" si="13"/>
        <v>6746012040</v>
      </c>
      <c r="R200" s="3">
        <v>6715150664</v>
      </c>
      <c r="S200" s="3">
        <v>15861376</v>
      </c>
      <c r="T200" s="30">
        <v>15000000</v>
      </c>
      <c r="U200" s="5"/>
      <c r="V200" s="5"/>
      <c r="W200" s="28"/>
      <c r="X200" s="28">
        <f t="shared" si="14"/>
        <v>0</v>
      </c>
      <c r="Y200" s="28">
        <f t="shared" si="15"/>
        <v>0</v>
      </c>
      <c r="Z200" s="28">
        <f t="shared" si="16"/>
        <v>0</v>
      </c>
      <c r="AA200" s="4"/>
      <c r="AB200" s="4"/>
      <c r="AC200">
        <f t="shared" si="17"/>
        <v>2</v>
      </c>
    </row>
    <row r="201" spans="1:30" ht="31.2" x14ac:dyDescent="0.3">
      <c r="A201" s="7" t="s">
        <v>18</v>
      </c>
      <c r="B201" s="6">
        <v>188</v>
      </c>
      <c r="C201" s="7" t="s">
        <v>696</v>
      </c>
      <c r="D201" s="7" t="s">
        <v>722</v>
      </c>
      <c r="E201" s="5"/>
      <c r="F201" s="4"/>
      <c r="G201" s="7" t="s">
        <v>723</v>
      </c>
      <c r="H201" s="7" t="s">
        <v>724</v>
      </c>
      <c r="I201" s="5"/>
      <c r="J201" s="7" t="s">
        <v>725</v>
      </c>
      <c r="K201" s="7" t="s">
        <v>24</v>
      </c>
      <c r="L201" s="7" t="s">
        <v>726</v>
      </c>
      <c r="M201" s="109">
        <v>5835879930</v>
      </c>
      <c r="N201" s="111"/>
      <c r="O201" s="109">
        <v>15000000</v>
      </c>
      <c r="P201" s="110"/>
      <c r="Q201" s="109">
        <f t="shared" si="13"/>
        <v>5850879930</v>
      </c>
      <c r="R201" s="3">
        <v>5835879930</v>
      </c>
      <c r="S201" s="5"/>
      <c r="T201" s="30">
        <v>15000000</v>
      </c>
      <c r="U201" s="5"/>
      <c r="V201" s="5"/>
      <c r="W201" s="28"/>
      <c r="X201" s="28">
        <f t="shared" si="14"/>
        <v>0</v>
      </c>
      <c r="Y201" s="28">
        <f t="shared" si="15"/>
        <v>0</v>
      </c>
      <c r="Z201" s="28">
        <f t="shared" si="16"/>
        <v>0</v>
      </c>
      <c r="AA201" s="4"/>
      <c r="AB201" s="4"/>
      <c r="AC201">
        <f t="shared" si="17"/>
        <v>2</v>
      </c>
    </row>
    <row r="202" spans="1:30" ht="31.2" x14ac:dyDescent="0.3">
      <c r="A202" s="7" t="s">
        <v>18</v>
      </c>
      <c r="B202" s="6">
        <v>189</v>
      </c>
      <c r="C202" s="7" t="s">
        <v>696</v>
      </c>
      <c r="D202" s="7" t="s">
        <v>727</v>
      </c>
      <c r="E202" s="5"/>
      <c r="F202" s="40" t="s">
        <v>637</v>
      </c>
      <c r="G202" s="7" t="s">
        <v>728</v>
      </c>
      <c r="H202" s="5"/>
      <c r="I202" s="5"/>
      <c r="J202" s="7" t="s">
        <v>729</v>
      </c>
      <c r="K202" s="7" t="s">
        <v>24</v>
      </c>
      <c r="L202" s="7" t="s">
        <v>730</v>
      </c>
      <c r="M202" s="109">
        <v>3789029120</v>
      </c>
      <c r="N202" s="111"/>
      <c r="O202" s="109">
        <v>15000000</v>
      </c>
      <c r="P202" s="112">
        <v>24000000</v>
      </c>
      <c r="Q202" s="109">
        <f t="shared" si="13"/>
        <v>3828029120</v>
      </c>
      <c r="R202" s="3">
        <v>3789029120</v>
      </c>
      <c r="S202" s="5"/>
      <c r="T202" s="30">
        <v>15000000</v>
      </c>
      <c r="U202" s="3">
        <v>24000000</v>
      </c>
      <c r="V202" s="5"/>
      <c r="W202" s="28"/>
      <c r="X202" s="28">
        <f t="shared" si="14"/>
        <v>0</v>
      </c>
      <c r="Y202" s="28">
        <f t="shared" si="15"/>
        <v>0</v>
      </c>
      <c r="Z202" s="28">
        <f t="shared" si="16"/>
        <v>0</v>
      </c>
      <c r="AA202" s="4"/>
      <c r="AB202" s="4"/>
      <c r="AC202">
        <f t="shared" si="17"/>
        <v>2</v>
      </c>
    </row>
    <row r="203" spans="1:30" ht="31.2" x14ac:dyDescent="0.3">
      <c r="A203" s="7" t="s">
        <v>18</v>
      </c>
      <c r="B203" s="6">
        <v>190</v>
      </c>
      <c r="C203" s="7" t="s">
        <v>696</v>
      </c>
      <c r="D203" s="7" t="s">
        <v>731</v>
      </c>
      <c r="E203" s="7" t="s">
        <v>389</v>
      </c>
      <c r="F203" s="4"/>
      <c r="G203" s="7" t="s">
        <v>732</v>
      </c>
      <c r="H203" s="7" t="s">
        <v>733</v>
      </c>
      <c r="I203" s="5"/>
      <c r="J203" s="7" t="s">
        <v>734</v>
      </c>
      <c r="K203" s="7" t="s">
        <v>24</v>
      </c>
      <c r="L203" s="7" t="s">
        <v>735</v>
      </c>
      <c r="M203" s="109">
        <v>3874838388</v>
      </c>
      <c r="N203" s="109">
        <v>219379565</v>
      </c>
      <c r="O203" s="109">
        <v>15000000</v>
      </c>
      <c r="P203" s="110"/>
      <c r="Q203" s="109">
        <f t="shared" si="13"/>
        <v>4109217953</v>
      </c>
      <c r="R203" s="3">
        <v>3874838388</v>
      </c>
      <c r="S203" s="3">
        <v>219379565</v>
      </c>
      <c r="T203" s="30">
        <v>15000000</v>
      </c>
      <c r="U203" s="5"/>
      <c r="V203" s="5"/>
      <c r="W203" s="28"/>
      <c r="X203" s="28">
        <f t="shared" si="14"/>
        <v>0</v>
      </c>
      <c r="Y203" s="28">
        <f t="shared" si="15"/>
        <v>0</v>
      </c>
      <c r="Z203" s="28">
        <f t="shared" si="16"/>
        <v>0</v>
      </c>
      <c r="AA203" s="4"/>
      <c r="AB203" s="4"/>
      <c r="AC203">
        <f t="shared" si="17"/>
        <v>2</v>
      </c>
    </row>
    <row r="204" spans="1:30" ht="31.2" x14ac:dyDescent="0.3">
      <c r="A204" s="7" t="s">
        <v>46</v>
      </c>
      <c r="B204" s="6">
        <v>191</v>
      </c>
      <c r="C204" s="7" t="s">
        <v>696</v>
      </c>
      <c r="D204" s="7" t="s">
        <v>736</v>
      </c>
      <c r="E204" s="7" t="s">
        <v>34</v>
      </c>
      <c r="F204" s="4"/>
      <c r="G204" s="7" t="s">
        <v>737</v>
      </c>
      <c r="H204" s="7" t="s">
        <v>738</v>
      </c>
      <c r="I204" s="5"/>
      <c r="J204" s="7" t="s">
        <v>739</v>
      </c>
      <c r="K204" s="7" t="s">
        <v>24</v>
      </c>
      <c r="L204" s="7" t="s">
        <v>740</v>
      </c>
      <c r="M204" s="109">
        <v>1674305520</v>
      </c>
      <c r="N204" s="109">
        <v>74625408</v>
      </c>
      <c r="O204" s="109">
        <v>7500000</v>
      </c>
      <c r="P204" s="110"/>
      <c r="Q204" s="109">
        <f t="shared" si="13"/>
        <v>1756430928</v>
      </c>
      <c r="R204" s="3">
        <v>1674305520</v>
      </c>
      <c r="S204" s="3">
        <v>74625408</v>
      </c>
      <c r="T204" s="30">
        <v>7500000</v>
      </c>
      <c r="U204" s="5"/>
      <c r="V204" s="5"/>
      <c r="W204" s="28"/>
      <c r="X204" s="28">
        <f t="shared" si="14"/>
        <v>0</v>
      </c>
      <c r="Y204" s="28">
        <f t="shared" si="15"/>
        <v>0</v>
      </c>
      <c r="Z204" s="28">
        <f t="shared" si="16"/>
        <v>0</v>
      </c>
      <c r="AA204" s="4"/>
      <c r="AB204" s="4"/>
      <c r="AC204">
        <f t="shared" si="17"/>
        <v>2</v>
      </c>
    </row>
    <row r="205" spans="1:30" ht="31.2" x14ac:dyDescent="0.3">
      <c r="A205" s="7" t="s">
        <v>46</v>
      </c>
      <c r="B205" s="6">
        <v>192</v>
      </c>
      <c r="C205" s="7" t="s">
        <v>696</v>
      </c>
      <c r="D205" s="7" t="s">
        <v>741</v>
      </c>
      <c r="E205" s="5"/>
      <c r="F205" s="4"/>
      <c r="G205" s="7" t="s">
        <v>742</v>
      </c>
      <c r="H205" s="5"/>
      <c r="I205" s="5"/>
      <c r="J205" s="7" t="s">
        <v>743</v>
      </c>
      <c r="K205" s="7" t="s">
        <v>24</v>
      </c>
      <c r="L205" s="7" t="s">
        <v>744</v>
      </c>
      <c r="M205" s="109">
        <v>3072481912</v>
      </c>
      <c r="N205" s="111"/>
      <c r="O205" s="109">
        <v>15000000</v>
      </c>
      <c r="P205" s="110"/>
      <c r="Q205" s="109">
        <f t="shared" si="13"/>
        <v>3087481912</v>
      </c>
      <c r="R205" s="3">
        <v>3072481912</v>
      </c>
      <c r="S205" s="5"/>
      <c r="T205" s="30">
        <v>15000000</v>
      </c>
      <c r="U205" s="5"/>
      <c r="V205" s="5"/>
      <c r="W205" s="28"/>
      <c r="X205" s="28">
        <f t="shared" si="14"/>
        <v>0</v>
      </c>
      <c r="Y205" s="28">
        <f t="shared" si="15"/>
        <v>0</v>
      </c>
      <c r="Z205" s="28">
        <f t="shared" si="16"/>
        <v>0</v>
      </c>
      <c r="AA205" s="4"/>
      <c r="AB205" s="4"/>
      <c r="AC205">
        <f t="shared" si="17"/>
        <v>2</v>
      </c>
    </row>
    <row r="206" spans="1:30" ht="62.4" x14ac:dyDescent="0.3">
      <c r="A206" s="7" t="s">
        <v>46</v>
      </c>
      <c r="B206" s="6">
        <v>193</v>
      </c>
      <c r="C206" s="7" t="s">
        <v>696</v>
      </c>
      <c r="D206" s="7" t="s">
        <v>745</v>
      </c>
      <c r="E206" s="7" t="s">
        <v>746</v>
      </c>
      <c r="F206" s="4"/>
      <c r="G206" s="7" t="s">
        <v>747</v>
      </c>
      <c r="H206" s="7" t="s">
        <v>748</v>
      </c>
      <c r="I206" s="5"/>
      <c r="J206" s="7" t="s">
        <v>749</v>
      </c>
      <c r="K206" s="7" t="s">
        <v>24</v>
      </c>
      <c r="L206" s="7" t="s">
        <v>750</v>
      </c>
      <c r="M206" s="109">
        <v>3088268220</v>
      </c>
      <c r="N206" s="109">
        <v>903427190</v>
      </c>
      <c r="O206" s="109">
        <v>15000000</v>
      </c>
      <c r="P206" s="110"/>
      <c r="Q206" s="109">
        <f t="shared" si="13"/>
        <v>4006695410</v>
      </c>
      <c r="R206" s="3">
        <v>3088268220</v>
      </c>
      <c r="S206" s="3">
        <v>903427190</v>
      </c>
      <c r="T206" s="30">
        <v>15000000</v>
      </c>
      <c r="U206" s="5"/>
      <c r="V206" s="5"/>
      <c r="W206" s="28"/>
      <c r="X206" s="28">
        <f t="shared" si="14"/>
        <v>0</v>
      </c>
      <c r="Y206" s="28">
        <f t="shared" si="15"/>
        <v>0</v>
      </c>
      <c r="Z206" s="28">
        <f t="shared" si="16"/>
        <v>0</v>
      </c>
      <c r="AA206" s="4"/>
      <c r="AB206" s="4"/>
      <c r="AC206">
        <f t="shared" si="17"/>
        <v>2</v>
      </c>
    </row>
    <row r="207" spans="1:30" ht="31.2" x14ac:dyDescent="0.3">
      <c r="A207" s="7" t="s">
        <v>46</v>
      </c>
      <c r="B207" s="6">
        <v>194</v>
      </c>
      <c r="C207" s="7" t="s">
        <v>696</v>
      </c>
      <c r="D207" s="7" t="s">
        <v>751</v>
      </c>
      <c r="E207" s="7" t="s">
        <v>34</v>
      </c>
      <c r="F207" s="4"/>
      <c r="G207" s="7" t="s">
        <v>752</v>
      </c>
      <c r="H207" s="7" t="s">
        <v>703</v>
      </c>
      <c r="I207" s="5"/>
      <c r="J207" s="7" t="s">
        <v>753</v>
      </c>
      <c r="K207" s="7" t="s">
        <v>24</v>
      </c>
      <c r="L207" s="7" t="s">
        <v>754</v>
      </c>
      <c r="M207" s="109">
        <v>1894603455</v>
      </c>
      <c r="N207" s="109">
        <v>66971520</v>
      </c>
      <c r="O207" s="109">
        <v>7500000</v>
      </c>
      <c r="P207" s="110"/>
      <c r="Q207" s="109">
        <f t="shared" ref="Q207:Q270" si="18">M207+N207+O207+P207</f>
        <v>1969074975</v>
      </c>
      <c r="R207" s="3">
        <v>1894603455</v>
      </c>
      <c r="S207" s="3">
        <v>66971520</v>
      </c>
      <c r="T207" s="30">
        <v>7500000</v>
      </c>
      <c r="U207" s="5"/>
      <c r="V207" s="5"/>
      <c r="W207" s="28"/>
      <c r="X207" s="28">
        <f t="shared" ref="X207:X270" si="19">N207-S207</f>
        <v>0</v>
      </c>
      <c r="Y207" s="28">
        <f t="shared" ref="Y207:Y270" si="20">O207-T207</f>
        <v>0</v>
      </c>
      <c r="Z207" s="28">
        <f t="shared" ref="Z207:Z270" si="21">P207-U207</f>
        <v>0</v>
      </c>
      <c r="AA207" s="4"/>
      <c r="AB207" s="4"/>
      <c r="AC207">
        <f t="shared" ref="AC207:AC270" si="22">IF(AB207=G207,1,2)</f>
        <v>2</v>
      </c>
    </row>
    <row r="208" spans="1:30" ht="31.2" x14ac:dyDescent="0.3">
      <c r="A208" s="7" t="s">
        <v>46</v>
      </c>
      <c r="B208" s="6">
        <v>195</v>
      </c>
      <c r="C208" s="7" t="s">
        <v>696</v>
      </c>
      <c r="D208" s="7" t="s">
        <v>755</v>
      </c>
      <c r="E208" s="5"/>
      <c r="F208" s="4"/>
      <c r="G208" s="7" t="s">
        <v>756</v>
      </c>
      <c r="H208" s="5"/>
      <c r="I208" s="5"/>
      <c r="J208" s="7" t="s">
        <v>757</v>
      </c>
      <c r="K208" s="7" t="s">
        <v>24</v>
      </c>
      <c r="L208" s="7" t="s">
        <v>758</v>
      </c>
      <c r="M208" s="109">
        <v>2562353764</v>
      </c>
      <c r="N208" s="111"/>
      <c r="O208" s="109">
        <v>15000000</v>
      </c>
      <c r="P208" s="110"/>
      <c r="Q208" s="109">
        <f t="shared" si="18"/>
        <v>2577353764</v>
      </c>
      <c r="R208" s="3">
        <v>2562353764</v>
      </c>
      <c r="S208" s="5"/>
      <c r="T208" s="30">
        <v>15000000</v>
      </c>
      <c r="U208" s="5"/>
      <c r="V208" s="5"/>
      <c r="W208" s="28"/>
      <c r="X208" s="28">
        <f t="shared" si="19"/>
        <v>0</v>
      </c>
      <c r="Y208" s="28">
        <f t="shared" si="20"/>
        <v>0</v>
      </c>
      <c r="Z208" s="28">
        <f t="shared" si="21"/>
        <v>0</v>
      </c>
      <c r="AA208" s="4"/>
      <c r="AB208" s="4"/>
      <c r="AC208">
        <f t="shared" si="22"/>
        <v>2</v>
      </c>
    </row>
    <row r="209" spans="1:30" ht="31.2" x14ac:dyDescent="0.3">
      <c r="A209" s="7" t="s">
        <v>46</v>
      </c>
      <c r="B209" s="6">
        <v>196</v>
      </c>
      <c r="C209" s="7" t="s">
        <v>696</v>
      </c>
      <c r="D209" s="7" t="s">
        <v>759</v>
      </c>
      <c r="E209" s="5"/>
      <c r="F209" s="4"/>
      <c r="G209" s="7" t="s">
        <v>760</v>
      </c>
      <c r="H209" s="5"/>
      <c r="I209" s="5"/>
      <c r="J209" s="7" t="s">
        <v>761</v>
      </c>
      <c r="K209" s="7" t="s">
        <v>24</v>
      </c>
      <c r="L209" s="7" t="s">
        <v>762</v>
      </c>
      <c r="M209" s="109">
        <v>2203826444</v>
      </c>
      <c r="N209" s="111"/>
      <c r="O209" s="109">
        <v>7500000</v>
      </c>
      <c r="P209" s="110"/>
      <c r="Q209" s="109">
        <f t="shared" si="18"/>
        <v>2211326444</v>
      </c>
      <c r="R209" s="3">
        <v>2203826444</v>
      </c>
      <c r="S209" s="5"/>
      <c r="T209" s="30">
        <v>7500000</v>
      </c>
      <c r="U209" s="5"/>
      <c r="V209" s="5"/>
      <c r="W209" s="28"/>
      <c r="X209" s="28">
        <f t="shared" si="19"/>
        <v>0</v>
      </c>
      <c r="Y209" s="28">
        <f t="shared" si="20"/>
        <v>0</v>
      </c>
      <c r="Z209" s="28">
        <f t="shared" si="21"/>
        <v>0</v>
      </c>
      <c r="AA209" s="4"/>
      <c r="AB209" s="4"/>
      <c r="AC209">
        <f t="shared" si="22"/>
        <v>2</v>
      </c>
    </row>
    <row r="210" spans="1:30" ht="31.2" x14ac:dyDescent="0.3">
      <c r="A210" s="7" t="s">
        <v>46</v>
      </c>
      <c r="B210" s="6">
        <v>197</v>
      </c>
      <c r="C210" s="7" t="s">
        <v>696</v>
      </c>
      <c r="D210" s="7" t="s">
        <v>763</v>
      </c>
      <c r="E210" s="7" t="s">
        <v>764</v>
      </c>
      <c r="F210" s="4"/>
      <c r="G210" s="7" t="s">
        <v>765</v>
      </c>
      <c r="H210" s="7" t="s">
        <v>766</v>
      </c>
      <c r="I210" s="5"/>
      <c r="J210" s="7" t="s">
        <v>767</v>
      </c>
      <c r="K210" s="7" t="s">
        <v>24</v>
      </c>
      <c r="L210" s="7" t="s">
        <v>768</v>
      </c>
      <c r="M210" s="109">
        <v>3074543364</v>
      </c>
      <c r="N210" s="109">
        <v>808489752</v>
      </c>
      <c r="O210" s="109">
        <v>7500000</v>
      </c>
      <c r="P210" s="110"/>
      <c r="Q210" s="109">
        <f t="shared" si="18"/>
        <v>3890533116</v>
      </c>
      <c r="R210" s="3">
        <v>3074543364</v>
      </c>
      <c r="S210" s="3">
        <v>808489752</v>
      </c>
      <c r="T210" s="31">
        <v>7500000</v>
      </c>
      <c r="U210" s="5"/>
      <c r="V210" s="5"/>
      <c r="W210" s="28"/>
      <c r="X210" s="28">
        <f t="shared" si="19"/>
        <v>0</v>
      </c>
      <c r="Y210" s="28">
        <f t="shared" si="20"/>
        <v>0</v>
      </c>
      <c r="Z210" s="28">
        <f t="shared" si="21"/>
        <v>0</v>
      </c>
      <c r="AA210" s="4"/>
      <c r="AB210" s="4"/>
      <c r="AC210">
        <f t="shared" si="22"/>
        <v>2</v>
      </c>
    </row>
    <row r="211" spans="1:30" ht="78" x14ac:dyDescent="0.3">
      <c r="A211" s="7" t="s">
        <v>46</v>
      </c>
      <c r="B211" s="6">
        <v>198</v>
      </c>
      <c r="C211" s="7" t="s">
        <v>696</v>
      </c>
      <c r="D211" s="7" t="s">
        <v>769</v>
      </c>
      <c r="E211" s="5"/>
      <c r="F211" s="4"/>
      <c r="G211" s="7" t="s">
        <v>770</v>
      </c>
      <c r="H211" s="5"/>
      <c r="I211" s="7" t="s">
        <v>28</v>
      </c>
      <c r="J211" s="7" t="s">
        <v>771</v>
      </c>
      <c r="K211" s="7" t="s">
        <v>24</v>
      </c>
      <c r="L211" s="7" t="s">
        <v>726</v>
      </c>
      <c r="M211" s="109">
        <v>0</v>
      </c>
      <c r="N211" s="111"/>
      <c r="O211" s="74"/>
      <c r="P211" s="110"/>
      <c r="Q211" s="109">
        <f t="shared" si="18"/>
        <v>0</v>
      </c>
      <c r="R211" s="6">
        <v>0</v>
      </c>
      <c r="S211" s="5"/>
      <c r="T211" s="31"/>
      <c r="U211" s="5"/>
      <c r="V211" s="5"/>
      <c r="W211" s="28"/>
      <c r="X211" s="28">
        <f t="shared" si="19"/>
        <v>0</v>
      </c>
      <c r="Y211" s="28">
        <f t="shared" si="20"/>
        <v>0</v>
      </c>
      <c r="Z211" s="28">
        <f t="shared" si="21"/>
        <v>0</v>
      </c>
      <c r="AA211" s="4"/>
      <c r="AB211" s="4"/>
      <c r="AC211">
        <f t="shared" si="22"/>
        <v>2</v>
      </c>
    </row>
    <row r="212" spans="1:30" ht="31.2" x14ac:dyDescent="0.3">
      <c r="A212" s="7" t="s">
        <v>46</v>
      </c>
      <c r="B212" s="6">
        <v>199</v>
      </c>
      <c r="C212" s="7" t="s">
        <v>696</v>
      </c>
      <c r="D212" s="7" t="s">
        <v>772</v>
      </c>
      <c r="E212" s="7" t="s">
        <v>389</v>
      </c>
      <c r="F212" s="40" t="s">
        <v>773</v>
      </c>
      <c r="G212" s="7" t="s">
        <v>774</v>
      </c>
      <c r="H212" s="7" t="s">
        <v>775</v>
      </c>
      <c r="I212" s="5"/>
      <c r="J212" s="7" t="s">
        <v>776</v>
      </c>
      <c r="K212" s="7" t="s">
        <v>24</v>
      </c>
      <c r="L212" s="7" t="s">
        <v>777</v>
      </c>
      <c r="M212" s="109">
        <v>11308899100</v>
      </c>
      <c r="N212" s="109">
        <v>243896000</v>
      </c>
      <c r="O212" s="109">
        <v>15000000</v>
      </c>
      <c r="P212" s="112">
        <v>72000000</v>
      </c>
      <c r="Q212" s="109">
        <f t="shared" si="18"/>
        <v>11639795100</v>
      </c>
      <c r="R212" s="3">
        <v>11308899100</v>
      </c>
      <c r="S212" s="3">
        <v>243896000</v>
      </c>
      <c r="T212" s="30">
        <v>15000000</v>
      </c>
      <c r="U212" s="3">
        <v>72000000</v>
      </c>
      <c r="V212" s="5"/>
      <c r="W212" s="28"/>
      <c r="X212" s="28">
        <f t="shared" si="19"/>
        <v>0</v>
      </c>
      <c r="Y212" s="28">
        <f t="shared" si="20"/>
        <v>0</v>
      </c>
      <c r="Z212" s="28">
        <f t="shared" si="21"/>
        <v>0</v>
      </c>
      <c r="AA212" s="4"/>
      <c r="AB212" s="4"/>
      <c r="AC212">
        <f t="shared" si="22"/>
        <v>2</v>
      </c>
    </row>
    <row r="213" spans="1:30" ht="31.2" x14ac:dyDescent="0.3">
      <c r="A213" s="7" t="s">
        <v>46</v>
      </c>
      <c r="B213" s="6">
        <v>200</v>
      </c>
      <c r="C213" s="7" t="s">
        <v>696</v>
      </c>
      <c r="D213" s="7" t="s">
        <v>778</v>
      </c>
      <c r="E213" s="5"/>
      <c r="F213" s="4"/>
      <c r="G213" s="7" t="s">
        <v>779</v>
      </c>
      <c r="H213" s="5"/>
      <c r="I213" s="5"/>
      <c r="J213" s="7" t="s">
        <v>780</v>
      </c>
      <c r="K213" s="7" t="s">
        <v>24</v>
      </c>
      <c r="L213" s="7" t="s">
        <v>781</v>
      </c>
      <c r="M213" s="109">
        <v>3220790384</v>
      </c>
      <c r="N213" s="111"/>
      <c r="O213" s="109">
        <v>7500000</v>
      </c>
      <c r="P213" s="110"/>
      <c r="Q213" s="109">
        <f t="shared" si="18"/>
        <v>3228290384</v>
      </c>
      <c r="R213" s="3">
        <v>3220790384</v>
      </c>
      <c r="S213" s="5"/>
      <c r="T213" s="30">
        <v>7500000</v>
      </c>
      <c r="U213" s="5"/>
      <c r="V213" s="5"/>
      <c r="W213" s="28"/>
      <c r="X213" s="28">
        <f t="shared" si="19"/>
        <v>0</v>
      </c>
      <c r="Y213" s="28">
        <f t="shared" si="20"/>
        <v>0</v>
      </c>
      <c r="Z213" s="28">
        <f t="shared" si="21"/>
        <v>0</v>
      </c>
      <c r="AA213" s="4"/>
      <c r="AB213" s="4"/>
      <c r="AC213">
        <f t="shared" si="22"/>
        <v>2</v>
      </c>
    </row>
    <row r="214" spans="1:30" ht="31.2" x14ac:dyDescent="0.3">
      <c r="A214" s="7" t="s">
        <v>46</v>
      </c>
      <c r="B214" s="6">
        <v>201</v>
      </c>
      <c r="C214" s="7" t="s">
        <v>696</v>
      </c>
      <c r="D214" s="7" t="s">
        <v>782</v>
      </c>
      <c r="E214" s="7" t="s">
        <v>783</v>
      </c>
      <c r="F214" s="4"/>
      <c r="G214" s="7" t="s">
        <v>784</v>
      </c>
      <c r="H214" s="7" t="s">
        <v>785</v>
      </c>
      <c r="I214" s="5"/>
      <c r="J214" s="7" t="s">
        <v>786</v>
      </c>
      <c r="K214" s="7" t="s">
        <v>24</v>
      </c>
      <c r="L214" s="7" t="s">
        <v>787</v>
      </c>
      <c r="M214" s="109">
        <v>910302386</v>
      </c>
      <c r="N214" s="109">
        <v>152432640</v>
      </c>
      <c r="O214" s="109">
        <v>7500000</v>
      </c>
      <c r="P214" s="110"/>
      <c r="Q214" s="109">
        <f t="shared" si="18"/>
        <v>1070235026</v>
      </c>
      <c r="R214" s="3">
        <v>910302386</v>
      </c>
      <c r="S214" s="7"/>
      <c r="T214" s="30">
        <v>7500000</v>
      </c>
      <c r="U214" s="5"/>
      <c r="V214" s="5"/>
      <c r="W214" s="28"/>
      <c r="X214" s="36">
        <f t="shared" si="19"/>
        <v>152432640</v>
      </c>
      <c r="Y214" s="28">
        <f t="shared" si="20"/>
        <v>0</v>
      </c>
      <c r="Z214" s="28">
        <f t="shared" si="21"/>
        <v>0</v>
      </c>
      <c r="AA214" s="40"/>
      <c r="AB214" s="40"/>
      <c r="AC214" s="61">
        <f t="shared" si="22"/>
        <v>2</v>
      </c>
      <c r="AD214" s="61"/>
    </row>
    <row r="215" spans="1:30" ht="31.2" x14ac:dyDescent="0.3">
      <c r="A215" s="7" t="s">
        <v>46</v>
      </c>
      <c r="B215" s="6">
        <v>202</v>
      </c>
      <c r="C215" s="7" t="s">
        <v>696</v>
      </c>
      <c r="D215" s="7" t="s">
        <v>788</v>
      </c>
      <c r="E215" s="5"/>
      <c r="F215" s="4"/>
      <c r="G215" s="7" t="s">
        <v>789</v>
      </c>
      <c r="H215" s="5"/>
      <c r="I215" s="5"/>
      <c r="J215" s="7" t="s">
        <v>790</v>
      </c>
      <c r="K215" s="7" t="s">
        <v>24</v>
      </c>
      <c r="L215" s="7" t="s">
        <v>791</v>
      </c>
      <c r="M215" s="109">
        <v>1185868242</v>
      </c>
      <c r="N215" s="111"/>
      <c r="O215" s="109">
        <v>7500000</v>
      </c>
      <c r="P215" s="110"/>
      <c r="Q215" s="109">
        <f t="shared" si="18"/>
        <v>1193368242</v>
      </c>
      <c r="R215" s="3">
        <v>1185868242</v>
      </c>
      <c r="S215" s="5"/>
      <c r="T215" s="30">
        <v>7500000</v>
      </c>
      <c r="U215" s="5"/>
      <c r="V215" s="5"/>
      <c r="W215" s="28"/>
      <c r="X215" s="28">
        <f t="shared" si="19"/>
        <v>0</v>
      </c>
      <c r="Y215" s="28">
        <f t="shared" si="20"/>
        <v>0</v>
      </c>
      <c r="Z215" s="28">
        <f t="shared" si="21"/>
        <v>0</v>
      </c>
      <c r="AA215" s="4"/>
      <c r="AB215" s="4"/>
      <c r="AC215">
        <f t="shared" si="22"/>
        <v>2</v>
      </c>
    </row>
    <row r="216" spans="1:30" ht="62.4" x14ac:dyDescent="0.3">
      <c r="A216" s="7" t="s">
        <v>46</v>
      </c>
      <c r="B216" s="6">
        <v>203</v>
      </c>
      <c r="C216" s="7" t="s">
        <v>696</v>
      </c>
      <c r="D216" s="7" t="s">
        <v>792</v>
      </c>
      <c r="E216" s="7"/>
      <c r="F216" s="4"/>
      <c r="G216" s="7" t="s">
        <v>793</v>
      </c>
      <c r="H216" s="7"/>
      <c r="I216" s="7"/>
      <c r="J216" s="7" t="s">
        <v>794</v>
      </c>
      <c r="K216" s="7" t="s">
        <v>24</v>
      </c>
      <c r="L216" s="7" t="s">
        <v>795</v>
      </c>
      <c r="M216" s="109">
        <v>4789848</v>
      </c>
      <c r="N216" s="111"/>
      <c r="O216" s="109">
        <v>7500000</v>
      </c>
      <c r="P216" s="110"/>
      <c r="Q216" s="109">
        <f t="shared" si="18"/>
        <v>12289848</v>
      </c>
      <c r="R216" s="5"/>
      <c r="S216" s="5"/>
      <c r="T216" s="72"/>
      <c r="U216" s="5"/>
      <c r="V216" s="5"/>
      <c r="W216" s="28">
        <v>4789848</v>
      </c>
      <c r="X216" s="28">
        <f t="shared" si="19"/>
        <v>0</v>
      </c>
      <c r="Y216" s="36">
        <f t="shared" si="20"/>
        <v>7500000</v>
      </c>
      <c r="Z216" s="28">
        <f t="shared" si="21"/>
        <v>0</v>
      </c>
      <c r="AA216" s="10">
        <v>4789848</v>
      </c>
      <c r="AB216" s="40"/>
      <c r="AC216" s="121">
        <f t="shared" si="22"/>
        <v>2</v>
      </c>
      <c r="AD216" s="121"/>
    </row>
    <row r="217" spans="1:30" ht="31.2" x14ac:dyDescent="0.3">
      <c r="A217" s="7" t="s">
        <v>46</v>
      </c>
      <c r="B217" s="6">
        <v>204</v>
      </c>
      <c r="C217" s="7" t="s">
        <v>696</v>
      </c>
      <c r="D217" s="7" t="s">
        <v>796</v>
      </c>
      <c r="E217" s="5"/>
      <c r="F217" s="4"/>
      <c r="G217" s="7" t="s">
        <v>797</v>
      </c>
      <c r="H217" s="5"/>
      <c r="I217" s="5"/>
      <c r="J217" s="7" t="s">
        <v>798</v>
      </c>
      <c r="K217" s="7" t="s">
        <v>24</v>
      </c>
      <c r="L217" s="7" t="s">
        <v>799</v>
      </c>
      <c r="M217" s="109">
        <v>917216300</v>
      </c>
      <c r="N217" s="111"/>
      <c r="O217" s="109">
        <v>7500000</v>
      </c>
      <c r="P217" s="110"/>
      <c r="Q217" s="109">
        <f t="shared" si="18"/>
        <v>924716300</v>
      </c>
      <c r="R217" s="3">
        <v>917216300</v>
      </c>
      <c r="S217" s="5"/>
      <c r="T217" s="30">
        <v>7500000</v>
      </c>
      <c r="U217" s="5"/>
      <c r="V217" s="5"/>
      <c r="W217" s="28"/>
      <c r="X217" s="28">
        <f t="shared" si="19"/>
        <v>0</v>
      </c>
      <c r="Y217" s="28">
        <f t="shared" si="20"/>
        <v>0</v>
      </c>
      <c r="Z217" s="28">
        <f t="shared" si="21"/>
        <v>0</v>
      </c>
      <c r="AA217" s="4"/>
      <c r="AB217" s="4"/>
      <c r="AC217">
        <f t="shared" si="22"/>
        <v>2</v>
      </c>
    </row>
    <row r="218" spans="1:30" ht="46.8" x14ac:dyDescent="0.3">
      <c r="A218" s="7" t="s">
        <v>46</v>
      </c>
      <c r="B218" s="6">
        <v>205</v>
      </c>
      <c r="C218" s="7" t="s">
        <v>696</v>
      </c>
      <c r="D218" s="7" t="s">
        <v>800</v>
      </c>
      <c r="E218" s="7" t="s">
        <v>801</v>
      </c>
      <c r="F218" s="4"/>
      <c r="G218" s="7" t="s">
        <v>802</v>
      </c>
      <c r="H218" s="7"/>
      <c r="I218" s="7"/>
      <c r="J218" s="7" t="s">
        <v>803</v>
      </c>
      <c r="K218" s="7" t="s">
        <v>24</v>
      </c>
      <c r="L218" s="7" t="s">
        <v>804</v>
      </c>
      <c r="M218" s="109">
        <v>9371283600</v>
      </c>
      <c r="N218" s="109">
        <v>550184000</v>
      </c>
      <c r="O218" s="109">
        <v>15000000</v>
      </c>
      <c r="P218" s="110"/>
      <c r="Q218" s="109">
        <f t="shared" si="18"/>
        <v>9936467600</v>
      </c>
      <c r="R218" s="3">
        <v>9371283600</v>
      </c>
      <c r="S218" s="3">
        <v>550184000</v>
      </c>
      <c r="T218" s="72"/>
      <c r="U218" s="5"/>
      <c r="V218" s="5"/>
      <c r="W218" s="28"/>
      <c r="X218" s="28">
        <f t="shared" si="19"/>
        <v>0</v>
      </c>
      <c r="Y218" s="36">
        <f t="shared" si="20"/>
        <v>15000000</v>
      </c>
      <c r="Z218" s="28">
        <f t="shared" si="21"/>
        <v>0</v>
      </c>
      <c r="AA218" s="4"/>
      <c r="AB218" s="40"/>
      <c r="AC218" s="121">
        <f t="shared" si="22"/>
        <v>2</v>
      </c>
      <c r="AD218" s="121"/>
    </row>
    <row r="219" spans="1:30" ht="31.2" x14ac:dyDescent="0.3">
      <c r="A219" s="7" t="s">
        <v>46</v>
      </c>
      <c r="B219" s="6">
        <v>206</v>
      </c>
      <c r="C219" s="7" t="s">
        <v>696</v>
      </c>
      <c r="D219" s="7" t="s">
        <v>805</v>
      </c>
      <c r="E219" s="5"/>
      <c r="F219" s="4"/>
      <c r="G219" s="7" t="s">
        <v>806</v>
      </c>
      <c r="H219" s="5"/>
      <c r="I219" s="5"/>
      <c r="J219" s="7" t="s">
        <v>807</v>
      </c>
      <c r="K219" s="7" t="s">
        <v>24</v>
      </c>
      <c r="L219" s="7" t="s">
        <v>808</v>
      </c>
      <c r="M219" s="109">
        <v>829054600</v>
      </c>
      <c r="N219" s="111"/>
      <c r="O219" s="109">
        <v>7500000</v>
      </c>
      <c r="P219" s="110"/>
      <c r="Q219" s="109">
        <f t="shared" si="18"/>
        <v>836554600</v>
      </c>
      <c r="R219" s="3">
        <v>829054600</v>
      </c>
      <c r="S219" s="5"/>
      <c r="T219" s="30">
        <v>7500000</v>
      </c>
      <c r="U219" s="5"/>
      <c r="V219" s="5"/>
      <c r="W219" s="28"/>
      <c r="X219" s="28">
        <f t="shared" si="19"/>
        <v>0</v>
      </c>
      <c r="Y219" s="28">
        <f t="shared" si="20"/>
        <v>0</v>
      </c>
      <c r="Z219" s="28">
        <f t="shared" si="21"/>
        <v>0</v>
      </c>
      <c r="AA219" s="4"/>
      <c r="AB219" s="4"/>
      <c r="AC219">
        <f t="shared" si="22"/>
        <v>2</v>
      </c>
    </row>
    <row r="220" spans="1:30" ht="31.2" x14ac:dyDescent="0.3">
      <c r="A220" s="7" t="s">
        <v>46</v>
      </c>
      <c r="B220" s="6">
        <v>207</v>
      </c>
      <c r="C220" s="7" t="s">
        <v>696</v>
      </c>
      <c r="D220" s="7" t="s">
        <v>809</v>
      </c>
      <c r="E220" s="5"/>
      <c r="F220" s="4"/>
      <c r="G220" s="7" t="s">
        <v>810</v>
      </c>
      <c r="H220" s="5"/>
      <c r="I220" s="5"/>
      <c r="J220" s="7" t="s">
        <v>811</v>
      </c>
      <c r="K220" s="7" t="s">
        <v>24</v>
      </c>
      <c r="L220" s="7" t="s">
        <v>812</v>
      </c>
      <c r="M220" s="109">
        <v>8019904200</v>
      </c>
      <c r="N220" s="111"/>
      <c r="O220" s="109">
        <v>7500000</v>
      </c>
      <c r="P220" s="110"/>
      <c r="Q220" s="109">
        <f t="shared" si="18"/>
        <v>8027404200</v>
      </c>
      <c r="R220" s="3">
        <v>8019904200</v>
      </c>
      <c r="S220" s="5"/>
      <c r="T220" s="30">
        <v>7500000</v>
      </c>
      <c r="U220" s="5"/>
      <c r="V220" s="5"/>
      <c r="W220" s="28"/>
      <c r="X220" s="28">
        <f t="shared" si="19"/>
        <v>0</v>
      </c>
      <c r="Y220" s="28">
        <f t="shared" si="20"/>
        <v>0</v>
      </c>
      <c r="Z220" s="28">
        <f t="shared" si="21"/>
        <v>0</v>
      </c>
      <c r="AA220" s="4"/>
      <c r="AB220" s="4"/>
      <c r="AC220">
        <f t="shared" si="22"/>
        <v>2</v>
      </c>
    </row>
    <row r="221" spans="1:30" ht="31.2" x14ac:dyDescent="0.3">
      <c r="A221" s="7" t="s">
        <v>18</v>
      </c>
      <c r="B221" s="6">
        <v>208</v>
      </c>
      <c r="C221" s="7" t="s">
        <v>813</v>
      </c>
      <c r="D221" s="7" t="s">
        <v>814</v>
      </c>
      <c r="E221" s="5"/>
      <c r="F221" s="4"/>
      <c r="G221" s="7" t="s">
        <v>815</v>
      </c>
      <c r="H221" s="5"/>
      <c r="I221" s="5"/>
      <c r="J221" s="7" t="s">
        <v>816</v>
      </c>
      <c r="K221" s="7" t="s">
        <v>24</v>
      </c>
      <c r="L221" s="7" t="s">
        <v>817</v>
      </c>
      <c r="M221" s="109">
        <v>692628720</v>
      </c>
      <c r="N221" s="111"/>
      <c r="O221" s="109">
        <v>7500000</v>
      </c>
      <c r="P221" s="110"/>
      <c r="Q221" s="109">
        <f t="shared" si="18"/>
        <v>700128720</v>
      </c>
      <c r="R221" s="3">
        <v>692628720</v>
      </c>
      <c r="S221" s="5"/>
      <c r="T221" s="30">
        <v>7500000</v>
      </c>
      <c r="U221" s="5"/>
      <c r="V221" s="5"/>
      <c r="W221" s="28"/>
      <c r="X221" s="28">
        <f t="shared" si="19"/>
        <v>0</v>
      </c>
      <c r="Y221" s="28">
        <f t="shared" si="20"/>
        <v>0</v>
      </c>
      <c r="Z221" s="28">
        <f t="shared" si="21"/>
        <v>0</v>
      </c>
      <c r="AA221" s="4"/>
      <c r="AB221" s="4"/>
      <c r="AC221">
        <f t="shared" si="22"/>
        <v>2</v>
      </c>
    </row>
    <row r="222" spans="1:30" ht="31.2" x14ac:dyDescent="0.3">
      <c r="A222" s="7" t="s">
        <v>18</v>
      </c>
      <c r="B222" s="6">
        <v>209</v>
      </c>
      <c r="C222" s="7" t="s">
        <v>813</v>
      </c>
      <c r="D222" s="7" t="s">
        <v>818</v>
      </c>
      <c r="E222" s="7" t="s">
        <v>20</v>
      </c>
      <c r="F222" s="4"/>
      <c r="G222" s="7" t="s">
        <v>819</v>
      </c>
      <c r="H222" s="5"/>
      <c r="I222" s="5"/>
      <c r="J222" s="7" t="s">
        <v>820</v>
      </c>
      <c r="K222" s="7" t="s">
        <v>24</v>
      </c>
      <c r="L222" s="7" t="s">
        <v>821</v>
      </c>
      <c r="M222" s="109">
        <v>3623186360</v>
      </c>
      <c r="N222" s="109">
        <v>652093580</v>
      </c>
      <c r="O222" s="109">
        <v>7500000</v>
      </c>
      <c r="P222" s="110"/>
      <c r="Q222" s="109">
        <f t="shared" si="18"/>
        <v>4282779940</v>
      </c>
      <c r="R222" s="3">
        <v>3623186360</v>
      </c>
      <c r="S222" s="3">
        <v>652093580</v>
      </c>
      <c r="T222" s="31">
        <v>7500000</v>
      </c>
      <c r="U222" s="5"/>
      <c r="V222" s="5"/>
      <c r="W222" s="28"/>
      <c r="X222" s="28">
        <f t="shared" si="19"/>
        <v>0</v>
      </c>
      <c r="Y222" s="28">
        <f t="shared" si="20"/>
        <v>0</v>
      </c>
      <c r="Z222" s="28">
        <f t="shared" si="21"/>
        <v>0</v>
      </c>
      <c r="AA222" s="4"/>
      <c r="AB222" s="4"/>
      <c r="AC222">
        <f t="shared" si="22"/>
        <v>2</v>
      </c>
    </row>
    <row r="223" spans="1:30" ht="31.2" x14ac:dyDescent="0.3">
      <c r="A223" s="7" t="s">
        <v>46</v>
      </c>
      <c r="B223" s="6">
        <v>210</v>
      </c>
      <c r="C223" s="7" t="s">
        <v>813</v>
      </c>
      <c r="D223" s="7" t="s">
        <v>822</v>
      </c>
      <c r="E223" s="7" t="s">
        <v>823</v>
      </c>
      <c r="F223" s="4"/>
      <c r="G223" s="7" t="s">
        <v>824</v>
      </c>
      <c r="H223" s="5"/>
      <c r="I223" s="5"/>
      <c r="J223" s="7" t="s">
        <v>825</v>
      </c>
      <c r="K223" s="7" t="s">
        <v>24</v>
      </c>
      <c r="L223" s="7" t="s">
        <v>826</v>
      </c>
      <c r="M223" s="109">
        <v>2110989648</v>
      </c>
      <c r="N223" s="109">
        <v>10000000</v>
      </c>
      <c r="O223" s="109">
        <v>15000000</v>
      </c>
      <c r="P223" s="110"/>
      <c r="Q223" s="109">
        <f t="shared" si="18"/>
        <v>2135989648</v>
      </c>
      <c r="R223" s="3">
        <v>2110989648</v>
      </c>
      <c r="S223" s="3">
        <v>10000000</v>
      </c>
      <c r="T223" s="30">
        <v>15000000</v>
      </c>
      <c r="U223" s="5"/>
      <c r="V223" s="5"/>
      <c r="W223" s="28"/>
      <c r="X223" s="28">
        <f t="shared" si="19"/>
        <v>0</v>
      </c>
      <c r="Y223" s="28">
        <f t="shared" si="20"/>
        <v>0</v>
      </c>
      <c r="Z223" s="28">
        <f t="shared" si="21"/>
        <v>0</v>
      </c>
      <c r="AA223" s="4"/>
      <c r="AB223" s="4"/>
      <c r="AC223">
        <f t="shared" si="22"/>
        <v>2</v>
      </c>
    </row>
    <row r="224" spans="1:30" ht="31.2" x14ac:dyDescent="0.3">
      <c r="A224" s="7" t="s">
        <v>46</v>
      </c>
      <c r="B224" s="6">
        <v>211</v>
      </c>
      <c r="C224" s="7" t="s">
        <v>813</v>
      </c>
      <c r="D224" s="7" t="s">
        <v>827</v>
      </c>
      <c r="E224" s="7" t="s">
        <v>828</v>
      </c>
      <c r="F224" s="4"/>
      <c r="G224" s="7" t="s">
        <v>829</v>
      </c>
      <c r="H224" s="7" t="s">
        <v>830</v>
      </c>
      <c r="I224" s="5"/>
      <c r="J224" s="7" t="s">
        <v>831</v>
      </c>
      <c r="K224" s="7" t="s">
        <v>24</v>
      </c>
      <c r="L224" s="7" t="s">
        <v>832</v>
      </c>
      <c r="M224" s="109">
        <v>1970289158</v>
      </c>
      <c r="N224" s="109">
        <v>289891008</v>
      </c>
      <c r="O224" s="109">
        <v>15000000</v>
      </c>
      <c r="P224" s="110"/>
      <c r="Q224" s="109">
        <f t="shared" si="18"/>
        <v>2275180166</v>
      </c>
      <c r="R224" s="3">
        <v>1970289158</v>
      </c>
      <c r="S224" s="3">
        <v>289891008</v>
      </c>
      <c r="T224" s="30">
        <v>15000000</v>
      </c>
      <c r="U224" s="5"/>
      <c r="V224" s="5"/>
      <c r="W224" s="28"/>
      <c r="X224" s="28">
        <f t="shared" si="19"/>
        <v>0</v>
      </c>
      <c r="Y224" s="28">
        <f t="shared" si="20"/>
        <v>0</v>
      </c>
      <c r="Z224" s="28">
        <f t="shared" si="21"/>
        <v>0</v>
      </c>
      <c r="AA224" s="4"/>
      <c r="AB224" s="4"/>
      <c r="AC224">
        <f t="shared" si="22"/>
        <v>2</v>
      </c>
    </row>
    <row r="225" spans="1:30" ht="31.2" x14ac:dyDescent="0.3">
      <c r="A225" s="7" t="s">
        <v>46</v>
      </c>
      <c r="B225" s="6">
        <v>212</v>
      </c>
      <c r="C225" s="7" t="s">
        <v>813</v>
      </c>
      <c r="D225" s="7" t="s">
        <v>833</v>
      </c>
      <c r="E225" s="5"/>
      <c r="F225" s="4"/>
      <c r="G225" s="7" t="s">
        <v>834</v>
      </c>
      <c r="H225" s="5"/>
      <c r="I225" s="5"/>
      <c r="J225" s="7" t="s">
        <v>835</v>
      </c>
      <c r="K225" s="7" t="s">
        <v>24</v>
      </c>
      <c r="L225" s="7" t="s">
        <v>836</v>
      </c>
      <c r="M225" s="109">
        <v>1905146779</v>
      </c>
      <c r="N225" s="111"/>
      <c r="O225" s="109">
        <v>7500000</v>
      </c>
      <c r="P225" s="110"/>
      <c r="Q225" s="109">
        <f t="shared" si="18"/>
        <v>1912646779</v>
      </c>
      <c r="R225" s="3">
        <v>1905146779</v>
      </c>
      <c r="S225" s="5"/>
      <c r="T225" s="30">
        <v>7500000</v>
      </c>
      <c r="U225" s="5"/>
      <c r="V225" s="5"/>
      <c r="W225" s="28"/>
      <c r="X225" s="28">
        <f t="shared" si="19"/>
        <v>0</v>
      </c>
      <c r="Y225" s="28">
        <f t="shared" si="20"/>
        <v>0</v>
      </c>
      <c r="Z225" s="28">
        <f t="shared" si="21"/>
        <v>0</v>
      </c>
      <c r="AA225" s="4"/>
      <c r="AB225" s="4"/>
      <c r="AC225">
        <f t="shared" si="22"/>
        <v>2</v>
      </c>
    </row>
    <row r="226" spans="1:30" ht="31.2" x14ac:dyDescent="0.3">
      <c r="A226" s="7" t="s">
        <v>62</v>
      </c>
      <c r="B226" s="6">
        <v>213</v>
      </c>
      <c r="C226" s="7" t="s">
        <v>813</v>
      </c>
      <c r="D226" s="7" t="s">
        <v>837</v>
      </c>
      <c r="E226" s="5"/>
      <c r="F226" s="4"/>
      <c r="G226" s="7" t="s">
        <v>838</v>
      </c>
      <c r="H226" s="5"/>
      <c r="I226" s="7" t="s">
        <v>28</v>
      </c>
      <c r="J226" s="7" t="s">
        <v>839</v>
      </c>
      <c r="K226" s="7" t="s">
        <v>24</v>
      </c>
      <c r="L226" s="7" t="s">
        <v>840</v>
      </c>
      <c r="M226" s="109">
        <v>0</v>
      </c>
      <c r="N226" s="111"/>
      <c r="O226" s="74"/>
      <c r="P226" s="110"/>
      <c r="Q226" s="109">
        <f t="shared" si="18"/>
        <v>0</v>
      </c>
      <c r="R226" s="6">
        <v>0</v>
      </c>
      <c r="S226" s="5"/>
      <c r="T226" s="31"/>
      <c r="U226" s="5"/>
      <c r="V226" s="5"/>
      <c r="W226" s="28"/>
      <c r="X226" s="28">
        <f t="shared" si="19"/>
        <v>0</v>
      </c>
      <c r="Y226" s="28">
        <f t="shared" si="20"/>
        <v>0</v>
      </c>
      <c r="Z226" s="28">
        <f t="shared" si="21"/>
        <v>0</v>
      </c>
      <c r="AA226" s="4"/>
      <c r="AB226" s="4"/>
      <c r="AC226">
        <f t="shared" si="22"/>
        <v>2</v>
      </c>
    </row>
    <row r="227" spans="1:30" ht="31.2" x14ac:dyDescent="0.3">
      <c r="A227" s="7" t="s">
        <v>46</v>
      </c>
      <c r="B227" s="6">
        <v>214</v>
      </c>
      <c r="C227" s="7" t="s">
        <v>813</v>
      </c>
      <c r="D227" s="7" t="s">
        <v>841</v>
      </c>
      <c r="E227" s="5"/>
      <c r="F227" s="4"/>
      <c r="G227" s="7" t="s">
        <v>842</v>
      </c>
      <c r="H227" s="5"/>
      <c r="I227" s="5"/>
      <c r="J227" s="7" t="s">
        <v>843</v>
      </c>
      <c r="K227" s="7" t="s">
        <v>24</v>
      </c>
      <c r="L227" s="7" t="s">
        <v>844</v>
      </c>
      <c r="M227" s="109">
        <v>1051785402</v>
      </c>
      <c r="N227" s="111"/>
      <c r="O227" s="109">
        <v>15000000</v>
      </c>
      <c r="P227" s="110"/>
      <c r="Q227" s="109">
        <f t="shared" si="18"/>
        <v>1066785402</v>
      </c>
      <c r="R227" s="3">
        <v>1051785402</v>
      </c>
      <c r="S227" s="5"/>
      <c r="T227" s="30">
        <v>15000000</v>
      </c>
      <c r="U227" s="5"/>
      <c r="V227" s="5"/>
      <c r="W227" s="28"/>
      <c r="X227" s="28">
        <f t="shared" si="19"/>
        <v>0</v>
      </c>
      <c r="Y227" s="28">
        <f t="shared" si="20"/>
        <v>0</v>
      </c>
      <c r="Z227" s="28">
        <f t="shared" si="21"/>
        <v>0</v>
      </c>
      <c r="AA227" s="4"/>
      <c r="AB227" s="4"/>
      <c r="AC227">
        <f t="shared" si="22"/>
        <v>2</v>
      </c>
    </row>
    <row r="228" spans="1:30" ht="31.2" x14ac:dyDescent="0.3">
      <c r="A228" s="7" t="s">
        <v>46</v>
      </c>
      <c r="B228" s="6">
        <v>215</v>
      </c>
      <c r="C228" s="7" t="s">
        <v>813</v>
      </c>
      <c r="D228" s="7" t="s">
        <v>845</v>
      </c>
      <c r="E228" s="7" t="s">
        <v>158</v>
      </c>
      <c r="F228" s="4"/>
      <c r="G228" s="7" t="s">
        <v>846</v>
      </c>
      <c r="H228" s="7" t="s">
        <v>742</v>
      </c>
      <c r="I228" s="5"/>
      <c r="J228" s="7" t="s">
        <v>847</v>
      </c>
      <c r="K228" s="7" t="s">
        <v>24</v>
      </c>
      <c r="L228" s="7" t="s">
        <v>848</v>
      </c>
      <c r="M228" s="109">
        <v>1825416000</v>
      </c>
      <c r="N228" s="109">
        <v>419381453</v>
      </c>
      <c r="O228" s="109">
        <v>15000000</v>
      </c>
      <c r="P228" s="110"/>
      <c r="Q228" s="109">
        <f t="shared" si="18"/>
        <v>2259797453</v>
      </c>
      <c r="R228" s="3">
        <v>1825416000</v>
      </c>
      <c r="S228" s="3">
        <v>419381453</v>
      </c>
      <c r="T228" s="30">
        <v>15000000</v>
      </c>
      <c r="U228" s="5"/>
      <c r="V228" s="5"/>
      <c r="W228" s="28"/>
      <c r="X228" s="28">
        <f t="shared" si="19"/>
        <v>0</v>
      </c>
      <c r="Y228" s="28">
        <f t="shared" si="20"/>
        <v>0</v>
      </c>
      <c r="Z228" s="28">
        <f t="shared" si="21"/>
        <v>0</v>
      </c>
      <c r="AA228" s="4"/>
      <c r="AB228" s="4"/>
      <c r="AC228">
        <f t="shared" si="22"/>
        <v>2</v>
      </c>
    </row>
    <row r="229" spans="1:30" ht="31.2" x14ac:dyDescent="0.3">
      <c r="A229" s="7" t="s">
        <v>46</v>
      </c>
      <c r="B229" s="6">
        <v>216</v>
      </c>
      <c r="C229" s="7" t="s">
        <v>813</v>
      </c>
      <c r="D229" s="7" t="s">
        <v>849</v>
      </c>
      <c r="E229" s="5"/>
      <c r="F229" s="4"/>
      <c r="G229" s="7" t="s">
        <v>850</v>
      </c>
      <c r="H229" s="5"/>
      <c r="I229" s="5"/>
      <c r="J229" s="7" t="s">
        <v>851</v>
      </c>
      <c r="K229" s="7" t="s">
        <v>24</v>
      </c>
      <c r="L229" s="7" t="s">
        <v>852</v>
      </c>
      <c r="M229" s="109">
        <v>2346410500</v>
      </c>
      <c r="N229" s="111"/>
      <c r="O229" s="109">
        <v>7500000</v>
      </c>
      <c r="P229" s="110"/>
      <c r="Q229" s="109">
        <f t="shared" si="18"/>
        <v>2353910500</v>
      </c>
      <c r="R229" s="3">
        <v>2346410500</v>
      </c>
      <c r="S229" s="5"/>
      <c r="T229" s="30">
        <v>7500000</v>
      </c>
      <c r="U229" s="5"/>
      <c r="V229" s="5"/>
      <c r="W229" s="28"/>
      <c r="X229" s="28">
        <f t="shared" si="19"/>
        <v>0</v>
      </c>
      <c r="Y229" s="28">
        <f t="shared" si="20"/>
        <v>0</v>
      </c>
      <c r="Z229" s="28">
        <f t="shared" si="21"/>
        <v>0</v>
      </c>
      <c r="AA229" s="4"/>
      <c r="AB229" s="4"/>
      <c r="AC229">
        <f t="shared" si="22"/>
        <v>2</v>
      </c>
    </row>
    <row r="230" spans="1:30" ht="31.2" x14ac:dyDescent="0.3">
      <c r="A230" s="7" t="s">
        <v>46</v>
      </c>
      <c r="B230" s="6">
        <v>217</v>
      </c>
      <c r="C230" s="7" t="s">
        <v>813</v>
      </c>
      <c r="D230" s="7" t="s">
        <v>853</v>
      </c>
      <c r="E230" s="5"/>
      <c r="F230" s="4"/>
      <c r="G230" s="7" t="s">
        <v>854</v>
      </c>
      <c r="H230" s="5"/>
      <c r="I230" s="5"/>
      <c r="J230" s="7" t="s">
        <v>855</v>
      </c>
      <c r="K230" s="7" t="s">
        <v>24</v>
      </c>
      <c r="L230" s="7" t="s">
        <v>856</v>
      </c>
      <c r="M230" s="109">
        <v>9676523194</v>
      </c>
      <c r="N230" s="111"/>
      <c r="O230" s="109">
        <v>15000000</v>
      </c>
      <c r="P230" s="110"/>
      <c r="Q230" s="109">
        <f t="shared" si="18"/>
        <v>9691523194</v>
      </c>
      <c r="R230" s="3">
        <v>9676523194</v>
      </c>
      <c r="S230" s="5"/>
      <c r="T230" s="30">
        <v>15000000</v>
      </c>
      <c r="U230" s="5"/>
      <c r="V230" s="5"/>
      <c r="W230" s="28"/>
      <c r="X230" s="28">
        <f t="shared" si="19"/>
        <v>0</v>
      </c>
      <c r="Y230" s="28">
        <f t="shared" si="20"/>
        <v>0</v>
      </c>
      <c r="Z230" s="28">
        <f t="shared" si="21"/>
        <v>0</v>
      </c>
      <c r="AA230" s="4"/>
      <c r="AB230" s="4"/>
      <c r="AC230">
        <f t="shared" si="22"/>
        <v>2</v>
      </c>
    </row>
    <row r="231" spans="1:30" ht="31.2" x14ac:dyDescent="0.3">
      <c r="A231" s="7" t="s">
        <v>62</v>
      </c>
      <c r="B231" s="6">
        <v>218</v>
      </c>
      <c r="C231" s="7" t="s">
        <v>813</v>
      </c>
      <c r="D231" s="7" t="s">
        <v>857</v>
      </c>
      <c r="E231" s="7" t="s">
        <v>859</v>
      </c>
      <c r="F231" s="40" t="s">
        <v>858</v>
      </c>
      <c r="G231" s="7" t="s">
        <v>860</v>
      </c>
      <c r="H231" s="5"/>
      <c r="I231" s="5"/>
      <c r="J231" s="7" t="s">
        <v>861</v>
      </c>
      <c r="K231" s="7" t="s">
        <v>24</v>
      </c>
      <c r="L231" s="7" t="s">
        <v>862</v>
      </c>
      <c r="M231" s="109">
        <v>1212272880</v>
      </c>
      <c r="N231" s="109">
        <v>231967520</v>
      </c>
      <c r="O231" s="109">
        <v>15000000</v>
      </c>
      <c r="P231" s="112">
        <v>42000000</v>
      </c>
      <c r="Q231" s="109">
        <f t="shared" si="18"/>
        <v>1501240400</v>
      </c>
      <c r="R231" s="3">
        <v>1212272880</v>
      </c>
      <c r="S231" s="3">
        <v>231967520</v>
      </c>
      <c r="T231" s="30">
        <v>15000000</v>
      </c>
      <c r="U231" s="3">
        <v>42000000</v>
      </c>
      <c r="V231" s="5"/>
      <c r="W231" s="28"/>
      <c r="X231" s="28">
        <f t="shared" si="19"/>
        <v>0</v>
      </c>
      <c r="Y231" s="28">
        <f t="shared" si="20"/>
        <v>0</v>
      </c>
      <c r="Z231" s="28">
        <f t="shared" si="21"/>
        <v>0</v>
      </c>
      <c r="AA231" s="4"/>
      <c r="AB231" s="4"/>
      <c r="AC231">
        <f t="shared" si="22"/>
        <v>2</v>
      </c>
    </row>
    <row r="232" spans="1:30" ht="31.2" x14ac:dyDescent="0.3">
      <c r="A232" s="7" t="s">
        <v>46</v>
      </c>
      <c r="B232" s="6">
        <v>219</v>
      </c>
      <c r="C232" s="7" t="s">
        <v>813</v>
      </c>
      <c r="D232" s="7" t="s">
        <v>863</v>
      </c>
      <c r="E232" s="5"/>
      <c r="F232" s="4"/>
      <c r="G232" s="7" t="s">
        <v>864</v>
      </c>
      <c r="H232" s="5"/>
      <c r="I232" s="5"/>
      <c r="J232" s="7" t="s">
        <v>865</v>
      </c>
      <c r="K232" s="7" t="s">
        <v>24</v>
      </c>
      <c r="L232" s="7" t="s">
        <v>866</v>
      </c>
      <c r="M232" s="109">
        <v>1642004400</v>
      </c>
      <c r="N232" s="111"/>
      <c r="O232" s="109">
        <v>7500000</v>
      </c>
      <c r="P232" s="110"/>
      <c r="Q232" s="109">
        <f t="shared" si="18"/>
        <v>1649504400</v>
      </c>
      <c r="R232" s="3">
        <v>1642004400</v>
      </c>
      <c r="S232" s="5"/>
      <c r="T232" s="30">
        <v>7500000</v>
      </c>
      <c r="U232" s="5"/>
      <c r="V232" s="5"/>
      <c r="W232" s="28"/>
      <c r="X232" s="28">
        <f t="shared" si="19"/>
        <v>0</v>
      </c>
      <c r="Y232" s="28">
        <f t="shared" si="20"/>
        <v>0</v>
      </c>
      <c r="Z232" s="28">
        <f t="shared" si="21"/>
        <v>0</v>
      </c>
      <c r="AA232" s="4"/>
      <c r="AB232" s="4"/>
      <c r="AC232">
        <f t="shared" si="22"/>
        <v>2</v>
      </c>
    </row>
    <row r="233" spans="1:30" ht="31.2" x14ac:dyDescent="0.3">
      <c r="A233" s="7" t="s">
        <v>62</v>
      </c>
      <c r="B233" s="6">
        <v>220</v>
      </c>
      <c r="C233" s="7" t="s">
        <v>813</v>
      </c>
      <c r="D233" s="7" t="s">
        <v>867</v>
      </c>
      <c r="E233" s="5"/>
      <c r="F233" s="4"/>
      <c r="G233" s="7" t="s">
        <v>868</v>
      </c>
      <c r="H233" s="5"/>
      <c r="I233" s="5"/>
      <c r="J233" s="7" t="s">
        <v>869</v>
      </c>
      <c r="K233" s="7" t="s">
        <v>24</v>
      </c>
      <c r="L233" s="7" t="s">
        <v>870</v>
      </c>
      <c r="M233" s="109">
        <v>101857120</v>
      </c>
      <c r="N233" s="111"/>
      <c r="O233" s="109">
        <v>7500000</v>
      </c>
      <c r="P233" s="110"/>
      <c r="Q233" s="109">
        <f t="shared" si="18"/>
        <v>109357120</v>
      </c>
      <c r="R233" s="3">
        <v>101857120</v>
      </c>
      <c r="S233" s="5"/>
      <c r="T233" s="30">
        <v>7500000</v>
      </c>
      <c r="U233" s="5"/>
      <c r="V233" s="5"/>
      <c r="W233" s="28"/>
      <c r="X233" s="28">
        <f t="shared" si="19"/>
        <v>0</v>
      </c>
      <c r="Y233" s="28">
        <f t="shared" si="20"/>
        <v>0</v>
      </c>
      <c r="Z233" s="28">
        <f t="shared" si="21"/>
        <v>0</v>
      </c>
      <c r="AA233" s="4"/>
      <c r="AB233" s="4"/>
      <c r="AC233">
        <f t="shared" si="22"/>
        <v>2</v>
      </c>
    </row>
    <row r="234" spans="1:30" ht="78" x14ac:dyDescent="0.3">
      <c r="A234" s="7" t="s">
        <v>46</v>
      </c>
      <c r="B234" s="6">
        <v>221</v>
      </c>
      <c r="C234" s="7" t="s">
        <v>813</v>
      </c>
      <c r="D234" s="7" t="s">
        <v>871</v>
      </c>
      <c r="E234" s="7" t="s">
        <v>389</v>
      </c>
      <c r="F234" s="4"/>
      <c r="G234" s="7" t="s">
        <v>872</v>
      </c>
      <c r="H234" s="7" t="s">
        <v>873</v>
      </c>
      <c r="I234" s="5"/>
      <c r="J234" s="7" t="s">
        <v>874</v>
      </c>
      <c r="K234" s="7" t="s">
        <v>24</v>
      </c>
      <c r="L234" s="7" t="s">
        <v>875</v>
      </c>
      <c r="M234" s="109">
        <v>6130396068</v>
      </c>
      <c r="N234" s="109">
        <v>7326720</v>
      </c>
      <c r="O234" s="109">
        <v>15000000</v>
      </c>
      <c r="P234" s="110"/>
      <c r="Q234" s="109">
        <f t="shared" si="18"/>
        <v>6152722788</v>
      </c>
      <c r="R234" s="3">
        <v>6130396068</v>
      </c>
      <c r="S234" s="3">
        <v>7326720</v>
      </c>
      <c r="T234" s="30">
        <v>15000000</v>
      </c>
      <c r="U234" s="5"/>
      <c r="V234" s="5"/>
      <c r="W234" s="28"/>
      <c r="X234" s="28">
        <f t="shared" si="19"/>
        <v>0</v>
      </c>
      <c r="Y234" s="28">
        <f t="shared" si="20"/>
        <v>0</v>
      </c>
      <c r="Z234" s="28">
        <f t="shared" si="21"/>
        <v>0</v>
      </c>
      <c r="AA234" s="4"/>
      <c r="AB234" s="4"/>
      <c r="AC234">
        <f t="shared" si="22"/>
        <v>2</v>
      </c>
    </row>
    <row r="235" spans="1:30" ht="31.2" x14ac:dyDescent="0.3">
      <c r="A235" s="7" t="s">
        <v>62</v>
      </c>
      <c r="B235" s="6">
        <v>222</v>
      </c>
      <c r="C235" s="7" t="s">
        <v>813</v>
      </c>
      <c r="D235" s="7" t="s">
        <v>876</v>
      </c>
      <c r="E235" s="5"/>
      <c r="F235" s="4"/>
      <c r="G235" s="7" t="s">
        <v>877</v>
      </c>
      <c r="H235" s="5"/>
      <c r="I235" s="5"/>
      <c r="J235" s="7" t="s">
        <v>878</v>
      </c>
      <c r="K235" s="7" t="s">
        <v>24</v>
      </c>
      <c r="L235" s="7" t="s">
        <v>879</v>
      </c>
      <c r="M235" s="109">
        <v>2707724480</v>
      </c>
      <c r="N235" s="111"/>
      <c r="O235" s="109">
        <v>15000000</v>
      </c>
      <c r="P235" s="110"/>
      <c r="Q235" s="109">
        <f t="shared" si="18"/>
        <v>2722724480</v>
      </c>
      <c r="R235" s="3">
        <v>2707724480</v>
      </c>
      <c r="S235" s="5"/>
      <c r="T235" s="30">
        <v>15000000</v>
      </c>
      <c r="U235" s="5"/>
      <c r="V235" s="5"/>
      <c r="W235" s="28"/>
      <c r="X235" s="28">
        <f t="shared" si="19"/>
        <v>0</v>
      </c>
      <c r="Y235" s="28">
        <f t="shared" si="20"/>
        <v>0</v>
      </c>
      <c r="Z235" s="28">
        <f t="shared" si="21"/>
        <v>0</v>
      </c>
      <c r="AA235" s="4"/>
      <c r="AB235" s="4"/>
      <c r="AC235">
        <f t="shared" si="22"/>
        <v>2</v>
      </c>
    </row>
    <row r="236" spans="1:30" ht="31.2" x14ac:dyDescent="0.3">
      <c r="A236" s="7" t="s">
        <v>62</v>
      </c>
      <c r="B236" s="6">
        <v>223</v>
      </c>
      <c r="C236" s="7" t="s">
        <v>813</v>
      </c>
      <c r="D236" s="7" t="s">
        <v>880</v>
      </c>
      <c r="E236" s="7"/>
      <c r="F236" s="4"/>
      <c r="G236" s="7" t="s">
        <v>881</v>
      </c>
      <c r="H236" s="7"/>
      <c r="I236" s="7"/>
      <c r="J236" s="7" t="s">
        <v>882</v>
      </c>
      <c r="K236" s="7" t="s">
        <v>24</v>
      </c>
      <c r="L236" s="7" t="s">
        <v>883</v>
      </c>
      <c r="M236" s="109">
        <v>1477449600</v>
      </c>
      <c r="N236" s="111"/>
      <c r="O236" s="109">
        <v>7500000</v>
      </c>
      <c r="P236" s="110"/>
      <c r="Q236" s="109">
        <f t="shared" si="18"/>
        <v>1484949600</v>
      </c>
      <c r="R236" s="3">
        <v>1477449600</v>
      </c>
      <c r="S236" s="5"/>
      <c r="T236" s="72"/>
      <c r="U236" s="5"/>
      <c r="V236" s="5"/>
      <c r="W236" s="28"/>
      <c r="X236" s="28">
        <f t="shared" si="19"/>
        <v>0</v>
      </c>
      <c r="Y236" s="36">
        <f t="shared" si="20"/>
        <v>7500000</v>
      </c>
      <c r="Z236" s="28">
        <f t="shared" si="21"/>
        <v>0</v>
      </c>
      <c r="AA236" s="4"/>
      <c r="AB236" s="40"/>
      <c r="AC236" s="121">
        <f t="shared" si="22"/>
        <v>2</v>
      </c>
      <c r="AD236" s="121"/>
    </row>
    <row r="237" spans="1:30" ht="31.2" x14ac:dyDescent="0.3">
      <c r="A237" s="7" t="s">
        <v>62</v>
      </c>
      <c r="B237" s="6">
        <v>224</v>
      </c>
      <c r="C237" s="7" t="s">
        <v>813</v>
      </c>
      <c r="D237" s="7" t="s">
        <v>884</v>
      </c>
      <c r="E237" s="7"/>
      <c r="F237" s="4"/>
      <c r="G237" s="7" t="s">
        <v>885</v>
      </c>
      <c r="H237" s="7"/>
      <c r="I237" s="7"/>
      <c r="J237" s="7" t="s">
        <v>882</v>
      </c>
      <c r="K237" s="7" t="s">
        <v>24</v>
      </c>
      <c r="L237" s="7" t="s">
        <v>883</v>
      </c>
      <c r="M237" s="109">
        <v>1245692800</v>
      </c>
      <c r="N237" s="111"/>
      <c r="O237" s="109">
        <v>7500000</v>
      </c>
      <c r="P237" s="110"/>
      <c r="Q237" s="109">
        <f t="shared" si="18"/>
        <v>1253192800</v>
      </c>
      <c r="R237" s="3">
        <v>1245692800</v>
      </c>
      <c r="S237" s="5"/>
      <c r="T237" s="72"/>
      <c r="U237" s="5"/>
      <c r="V237" s="5"/>
      <c r="W237" s="28"/>
      <c r="X237" s="28">
        <f t="shared" si="19"/>
        <v>0</v>
      </c>
      <c r="Y237" s="36">
        <f t="shared" si="20"/>
        <v>7500000</v>
      </c>
      <c r="Z237" s="28">
        <f t="shared" si="21"/>
        <v>0</v>
      </c>
      <c r="AA237" s="4"/>
      <c r="AB237" s="40"/>
      <c r="AC237" s="121">
        <f t="shared" si="22"/>
        <v>2</v>
      </c>
      <c r="AD237" s="121"/>
    </row>
    <row r="238" spans="1:30" ht="31.2" x14ac:dyDescent="0.3">
      <c r="A238" s="7" t="s">
        <v>62</v>
      </c>
      <c r="B238" s="6">
        <v>225</v>
      </c>
      <c r="C238" s="7" t="s">
        <v>813</v>
      </c>
      <c r="D238" s="7" t="s">
        <v>886</v>
      </c>
      <c r="E238" s="5"/>
      <c r="F238" s="7" t="s">
        <v>887</v>
      </c>
      <c r="G238" s="7" t="s">
        <v>888</v>
      </c>
      <c r="H238" s="5"/>
      <c r="I238" s="5"/>
      <c r="J238" s="7" t="s">
        <v>889</v>
      </c>
      <c r="K238" s="7" t="s">
        <v>24</v>
      </c>
      <c r="L238" s="7" t="s">
        <v>890</v>
      </c>
      <c r="M238" s="109">
        <v>30585365520</v>
      </c>
      <c r="N238" s="111"/>
      <c r="O238" s="109">
        <v>15000000</v>
      </c>
      <c r="P238" s="112">
        <v>48000000</v>
      </c>
      <c r="Q238" s="109">
        <f t="shared" si="18"/>
        <v>30648365520</v>
      </c>
      <c r="R238" s="3">
        <v>30585365520</v>
      </c>
      <c r="S238" s="5"/>
      <c r="T238" s="30">
        <v>15000000</v>
      </c>
      <c r="U238" s="3">
        <v>48000000</v>
      </c>
      <c r="V238" s="5"/>
      <c r="W238" s="28"/>
      <c r="X238" s="28">
        <f t="shared" si="19"/>
        <v>0</v>
      </c>
      <c r="Y238" s="28">
        <f t="shared" si="20"/>
        <v>0</v>
      </c>
      <c r="Z238" s="28">
        <f t="shared" si="21"/>
        <v>0</v>
      </c>
      <c r="AA238" s="4"/>
      <c r="AB238" s="4"/>
      <c r="AC238">
        <f t="shared" si="22"/>
        <v>2</v>
      </c>
    </row>
    <row r="239" spans="1:30" ht="31.2" x14ac:dyDescent="0.3">
      <c r="A239" s="7" t="s">
        <v>62</v>
      </c>
      <c r="B239" s="6">
        <v>226</v>
      </c>
      <c r="C239" s="7" t="s">
        <v>813</v>
      </c>
      <c r="D239" s="7" t="s">
        <v>891</v>
      </c>
      <c r="E239" s="5"/>
      <c r="F239" s="4"/>
      <c r="G239" s="7" t="s">
        <v>892</v>
      </c>
      <c r="H239" s="5"/>
      <c r="I239" s="5"/>
      <c r="J239" s="7" t="s">
        <v>893</v>
      </c>
      <c r="K239" s="7" t="s">
        <v>24</v>
      </c>
      <c r="L239" s="7" t="s">
        <v>894</v>
      </c>
      <c r="M239" s="109">
        <v>0</v>
      </c>
      <c r="N239" s="111"/>
      <c r="O239" s="109">
        <v>7500000</v>
      </c>
      <c r="P239" s="110"/>
      <c r="Q239" s="109">
        <f t="shared" si="18"/>
        <v>7500000</v>
      </c>
      <c r="R239" s="6">
        <v>0</v>
      </c>
      <c r="S239" s="5"/>
      <c r="T239" s="30">
        <v>7500000</v>
      </c>
      <c r="U239" s="5"/>
      <c r="V239" s="5"/>
      <c r="W239" s="28"/>
      <c r="X239" s="28">
        <f t="shared" si="19"/>
        <v>0</v>
      </c>
      <c r="Y239" s="28">
        <f t="shared" si="20"/>
        <v>0</v>
      </c>
      <c r="Z239" s="28">
        <f t="shared" si="21"/>
        <v>0</v>
      </c>
      <c r="AA239" s="4"/>
      <c r="AB239" s="4"/>
      <c r="AC239">
        <f t="shared" si="22"/>
        <v>2</v>
      </c>
    </row>
    <row r="240" spans="1:30" ht="31.2" x14ac:dyDescent="0.3">
      <c r="A240" s="7" t="s">
        <v>46</v>
      </c>
      <c r="B240" s="6">
        <v>227</v>
      </c>
      <c r="C240" s="7" t="s">
        <v>895</v>
      </c>
      <c r="D240" s="7" t="s">
        <v>896</v>
      </c>
      <c r="E240" s="7"/>
      <c r="F240" s="4"/>
      <c r="G240" s="7" t="s">
        <v>897</v>
      </c>
      <c r="H240" s="7"/>
      <c r="I240" s="7"/>
      <c r="J240" s="7" t="s">
        <v>898</v>
      </c>
      <c r="K240" s="7" t="s">
        <v>24</v>
      </c>
      <c r="L240" s="7" t="s">
        <v>899</v>
      </c>
      <c r="M240" s="109">
        <v>3467851106</v>
      </c>
      <c r="N240" s="111"/>
      <c r="O240" s="109">
        <v>7500000</v>
      </c>
      <c r="P240" s="110"/>
      <c r="Q240" s="109">
        <f t="shared" si="18"/>
        <v>3475351106</v>
      </c>
      <c r="R240" s="5"/>
      <c r="S240" s="5"/>
      <c r="T240" s="72"/>
      <c r="U240" s="5"/>
      <c r="V240" s="5"/>
      <c r="W240" s="28">
        <v>3467851106</v>
      </c>
      <c r="X240" s="28">
        <f t="shared" si="19"/>
        <v>0</v>
      </c>
      <c r="Y240" s="36">
        <f t="shared" si="20"/>
        <v>7500000</v>
      </c>
      <c r="Z240" s="28">
        <f t="shared" si="21"/>
        <v>0</v>
      </c>
      <c r="AA240" s="10">
        <v>3467851106</v>
      </c>
      <c r="AB240" s="40"/>
      <c r="AC240" s="121">
        <f t="shared" si="22"/>
        <v>2</v>
      </c>
      <c r="AD240" s="121"/>
    </row>
    <row r="241" spans="1:30" ht="31.2" x14ac:dyDescent="0.3">
      <c r="A241" s="7" t="s">
        <v>46</v>
      </c>
      <c r="B241" s="6">
        <v>228</v>
      </c>
      <c r="C241" s="7" t="s">
        <v>895</v>
      </c>
      <c r="D241" s="7" t="s">
        <v>900</v>
      </c>
      <c r="E241" s="7" t="s">
        <v>389</v>
      </c>
      <c r="F241" s="4"/>
      <c r="G241" s="7" t="s">
        <v>901</v>
      </c>
      <c r="H241" s="7" t="s">
        <v>902</v>
      </c>
      <c r="I241" s="5"/>
      <c r="J241" s="7" t="s">
        <v>903</v>
      </c>
      <c r="K241" s="7" t="s">
        <v>24</v>
      </c>
      <c r="L241" s="7" t="s">
        <v>904</v>
      </c>
      <c r="M241" s="109">
        <v>2645084632</v>
      </c>
      <c r="N241" s="109">
        <v>617741568</v>
      </c>
      <c r="O241" s="109">
        <v>15000000</v>
      </c>
      <c r="P241" s="110"/>
      <c r="Q241" s="109">
        <f t="shared" si="18"/>
        <v>3277826200</v>
      </c>
      <c r="R241" s="3">
        <v>2645084632</v>
      </c>
      <c r="S241" s="3">
        <v>617741568</v>
      </c>
      <c r="T241" s="30">
        <v>15000000</v>
      </c>
      <c r="U241" s="5"/>
      <c r="V241" s="5"/>
      <c r="W241" s="28"/>
      <c r="X241" s="28">
        <f t="shared" si="19"/>
        <v>0</v>
      </c>
      <c r="Y241" s="28">
        <f t="shared" si="20"/>
        <v>0</v>
      </c>
      <c r="Z241" s="28">
        <f t="shared" si="21"/>
        <v>0</v>
      </c>
      <c r="AA241" s="4"/>
      <c r="AB241" s="4"/>
      <c r="AC241">
        <f t="shared" si="22"/>
        <v>2</v>
      </c>
    </row>
    <row r="242" spans="1:30" ht="31.2" x14ac:dyDescent="0.3">
      <c r="A242" s="7" t="s">
        <v>46</v>
      </c>
      <c r="B242" s="6">
        <v>229</v>
      </c>
      <c r="C242" s="7" t="s">
        <v>895</v>
      </c>
      <c r="D242" s="7" t="s">
        <v>905</v>
      </c>
      <c r="E242" s="5"/>
      <c r="F242" s="4"/>
      <c r="G242" s="7" t="s">
        <v>906</v>
      </c>
      <c r="H242" s="5"/>
      <c r="I242" s="5"/>
      <c r="J242" s="7" t="s">
        <v>907</v>
      </c>
      <c r="K242" s="7" t="s">
        <v>24</v>
      </c>
      <c r="L242" s="7" t="s">
        <v>908</v>
      </c>
      <c r="M242" s="109">
        <v>5265038802</v>
      </c>
      <c r="N242" s="111"/>
      <c r="O242" s="109">
        <v>7500000</v>
      </c>
      <c r="P242" s="110"/>
      <c r="Q242" s="109">
        <f t="shared" si="18"/>
        <v>5272538802</v>
      </c>
      <c r="R242" s="3">
        <v>5265038802</v>
      </c>
      <c r="S242" s="5"/>
      <c r="T242" s="30">
        <v>7500000</v>
      </c>
      <c r="U242" s="5"/>
      <c r="V242" s="5"/>
      <c r="W242" s="28"/>
      <c r="X242" s="28">
        <f t="shared" si="19"/>
        <v>0</v>
      </c>
      <c r="Y242" s="28">
        <f t="shared" si="20"/>
        <v>0</v>
      </c>
      <c r="Z242" s="28">
        <f t="shared" si="21"/>
        <v>0</v>
      </c>
      <c r="AA242" s="4"/>
      <c r="AB242" s="4"/>
      <c r="AC242">
        <f t="shared" si="22"/>
        <v>2</v>
      </c>
    </row>
    <row r="243" spans="1:30" ht="31.2" x14ac:dyDescent="0.3">
      <c r="A243" s="7" t="s">
        <v>46</v>
      </c>
      <c r="B243" s="6">
        <v>230</v>
      </c>
      <c r="C243" s="7" t="s">
        <v>895</v>
      </c>
      <c r="D243" s="7" t="s">
        <v>909</v>
      </c>
      <c r="E243" s="5"/>
      <c r="F243" s="4"/>
      <c r="G243" s="7" t="s">
        <v>910</v>
      </c>
      <c r="H243" s="5"/>
      <c r="I243" s="5"/>
      <c r="J243" s="7" t="s">
        <v>911</v>
      </c>
      <c r="K243" s="7" t="s">
        <v>24</v>
      </c>
      <c r="L243" s="7" t="s">
        <v>912</v>
      </c>
      <c r="M243" s="109">
        <v>204645630</v>
      </c>
      <c r="N243" s="111"/>
      <c r="O243" s="109">
        <v>7500000</v>
      </c>
      <c r="P243" s="110"/>
      <c r="Q243" s="109">
        <f t="shared" si="18"/>
        <v>212145630</v>
      </c>
      <c r="R243" s="3">
        <v>204645630</v>
      </c>
      <c r="S243" s="5"/>
      <c r="T243" s="30">
        <v>7500000</v>
      </c>
      <c r="U243" s="5"/>
      <c r="V243" s="5"/>
      <c r="W243" s="28"/>
      <c r="X243" s="28">
        <f t="shared" si="19"/>
        <v>0</v>
      </c>
      <c r="Y243" s="28">
        <f t="shared" si="20"/>
        <v>0</v>
      </c>
      <c r="Z243" s="28">
        <f t="shared" si="21"/>
        <v>0</v>
      </c>
      <c r="AA243" s="4"/>
      <c r="AB243" s="4"/>
      <c r="AC243">
        <f t="shared" si="22"/>
        <v>2</v>
      </c>
    </row>
    <row r="244" spans="1:30" ht="31.2" x14ac:dyDescent="0.3">
      <c r="A244" s="7" t="s">
        <v>46</v>
      </c>
      <c r="B244" s="6">
        <v>231</v>
      </c>
      <c r="C244" s="7" t="s">
        <v>895</v>
      </c>
      <c r="D244" s="7" t="s">
        <v>913</v>
      </c>
      <c r="E244" s="7" t="s">
        <v>914</v>
      </c>
      <c r="F244" s="4"/>
      <c r="G244" s="7" t="s">
        <v>915</v>
      </c>
      <c r="H244" s="5"/>
      <c r="I244" s="5"/>
      <c r="J244" s="7" t="s">
        <v>916</v>
      </c>
      <c r="K244" s="7" t="s">
        <v>24</v>
      </c>
      <c r="L244" s="7" t="s">
        <v>917</v>
      </c>
      <c r="M244" s="109">
        <v>2537955740</v>
      </c>
      <c r="N244" s="109">
        <v>3522240</v>
      </c>
      <c r="O244" s="109">
        <v>15000000</v>
      </c>
      <c r="P244" s="110"/>
      <c r="Q244" s="109">
        <f t="shared" si="18"/>
        <v>2556477980</v>
      </c>
      <c r="R244" s="3">
        <v>2537955740</v>
      </c>
      <c r="S244" s="3">
        <v>3522240</v>
      </c>
      <c r="T244" s="30">
        <v>15000000</v>
      </c>
      <c r="U244" s="5"/>
      <c r="V244" s="5"/>
      <c r="W244" s="28"/>
      <c r="X244" s="28">
        <f t="shared" si="19"/>
        <v>0</v>
      </c>
      <c r="Y244" s="28">
        <f t="shared" si="20"/>
        <v>0</v>
      </c>
      <c r="Z244" s="28">
        <f t="shared" si="21"/>
        <v>0</v>
      </c>
      <c r="AA244" s="4"/>
      <c r="AB244" s="4"/>
      <c r="AC244">
        <f t="shared" si="22"/>
        <v>2</v>
      </c>
    </row>
    <row r="245" spans="1:30" ht="31.2" x14ac:dyDescent="0.3">
      <c r="A245" s="7" t="s">
        <v>62</v>
      </c>
      <c r="B245" s="6">
        <v>232</v>
      </c>
      <c r="C245" s="7" t="s">
        <v>895</v>
      </c>
      <c r="D245" s="7" t="s">
        <v>918</v>
      </c>
      <c r="E245" s="5"/>
      <c r="F245" s="4"/>
      <c r="G245" s="7" t="s">
        <v>919</v>
      </c>
      <c r="H245" s="5"/>
      <c r="I245" s="5"/>
      <c r="J245" s="7" t="s">
        <v>920</v>
      </c>
      <c r="K245" s="7" t="s">
        <v>24</v>
      </c>
      <c r="L245" s="7" t="s">
        <v>921</v>
      </c>
      <c r="M245" s="109">
        <v>5072847062</v>
      </c>
      <c r="N245" s="111"/>
      <c r="O245" s="109">
        <v>15000000</v>
      </c>
      <c r="P245" s="110"/>
      <c r="Q245" s="109">
        <f t="shared" si="18"/>
        <v>5087847062</v>
      </c>
      <c r="R245" s="3">
        <v>5072847062</v>
      </c>
      <c r="S245" s="5"/>
      <c r="T245" s="32">
        <v>15000000</v>
      </c>
      <c r="U245" s="5"/>
      <c r="V245" s="5"/>
      <c r="W245" s="28"/>
      <c r="X245" s="28">
        <f t="shared" si="19"/>
        <v>0</v>
      </c>
      <c r="Y245" s="28">
        <f t="shared" si="20"/>
        <v>0</v>
      </c>
      <c r="Z245" s="28">
        <f t="shared" si="21"/>
        <v>0</v>
      </c>
      <c r="AA245" s="4"/>
      <c r="AB245" s="4"/>
      <c r="AC245">
        <f t="shared" si="22"/>
        <v>2</v>
      </c>
    </row>
    <row r="246" spans="1:30" ht="46.8" x14ac:dyDescent="0.3">
      <c r="A246" s="7" t="s">
        <v>46</v>
      </c>
      <c r="B246" s="6">
        <v>233</v>
      </c>
      <c r="C246" s="7" t="s">
        <v>895</v>
      </c>
      <c r="D246" s="7" t="s">
        <v>922</v>
      </c>
      <c r="E246" s="7"/>
      <c r="F246" s="4"/>
      <c r="G246" s="7" t="s">
        <v>923</v>
      </c>
      <c r="H246" s="7"/>
      <c r="I246" s="7"/>
      <c r="J246" s="7" t="s">
        <v>924</v>
      </c>
      <c r="K246" s="7" t="s">
        <v>24</v>
      </c>
      <c r="L246" s="7" t="s">
        <v>925</v>
      </c>
      <c r="M246" s="109">
        <v>8181354</v>
      </c>
      <c r="N246" s="111"/>
      <c r="O246" s="109">
        <v>7500000</v>
      </c>
      <c r="P246" s="110"/>
      <c r="Q246" s="109">
        <f t="shared" si="18"/>
        <v>15681354</v>
      </c>
      <c r="R246" s="5"/>
      <c r="S246" s="5"/>
      <c r="T246" s="72"/>
      <c r="U246" s="5"/>
      <c r="V246" s="5"/>
      <c r="W246" s="28">
        <v>8181354</v>
      </c>
      <c r="X246" s="28">
        <f t="shared" si="19"/>
        <v>0</v>
      </c>
      <c r="Y246" s="36">
        <f t="shared" si="20"/>
        <v>7500000</v>
      </c>
      <c r="Z246" s="28">
        <f t="shared" si="21"/>
        <v>0</v>
      </c>
      <c r="AA246" s="10">
        <v>8181354</v>
      </c>
      <c r="AB246" s="40"/>
      <c r="AC246" s="121">
        <f t="shared" si="22"/>
        <v>2</v>
      </c>
      <c r="AD246" s="121"/>
    </row>
    <row r="247" spans="1:30" ht="78" x14ac:dyDescent="0.3">
      <c r="A247" s="7" t="s">
        <v>46</v>
      </c>
      <c r="B247" s="6">
        <v>234</v>
      </c>
      <c r="C247" s="7" t="s">
        <v>895</v>
      </c>
      <c r="D247" s="7" t="s">
        <v>926</v>
      </c>
      <c r="E247" s="5"/>
      <c r="F247" s="4"/>
      <c r="G247" s="7" t="s">
        <v>927</v>
      </c>
      <c r="H247" s="5"/>
      <c r="I247" s="7" t="s">
        <v>28</v>
      </c>
      <c r="J247" s="7" t="s">
        <v>928</v>
      </c>
      <c r="K247" s="7" t="s">
        <v>24</v>
      </c>
      <c r="L247" s="7" t="s">
        <v>929</v>
      </c>
      <c r="M247" s="109">
        <v>0</v>
      </c>
      <c r="N247" s="111"/>
      <c r="O247" s="74"/>
      <c r="P247" s="110"/>
      <c r="Q247" s="109">
        <f t="shared" si="18"/>
        <v>0</v>
      </c>
      <c r="R247" s="6">
        <v>0</v>
      </c>
      <c r="S247" s="5"/>
      <c r="T247" s="31"/>
      <c r="U247" s="5"/>
      <c r="V247" s="5"/>
      <c r="W247" s="28"/>
      <c r="X247" s="28">
        <f t="shared" si="19"/>
        <v>0</v>
      </c>
      <c r="Y247" s="28">
        <f t="shared" si="20"/>
        <v>0</v>
      </c>
      <c r="Z247" s="28">
        <f t="shared" si="21"/>
        <v>0</v>
      </c>
      <c r="AA247" s="4"/>
      <c r="AB247" s="4"/>
      <c r="AC247">
        <f t="shared" si="22"/>
        <v>2</v>
      </c>
    </row>
    <row r="248" spans="1:30" ht="31.2" x14ac:dyDescent="0.3">
      <c r="A248" s="7" t="s">
        <v>46</v>
      </c>
      <c r="B248" s="6">
        <v>235</v>
      </c>
      <c r="C248" s="7" t="s">
        <v>895</v>
      </c>
      <c r="D248" s="7" t="s">
        <v>930</v>
      </c>
      <c r="E248" s="7" t="s">
        <v>931</v>
      </c>
      <c r="F248" s="40" t="s">
        <v>182</v>
      </c>
      <c r="G248" s="7" t="s">
        <v>932</v>
      </c>
      <c r="H248" s="7" t="s">
        <v>933</v>
      </c>
      <c r="I248" s="7"/>
      <c r="J248" s="7" t="s">
        <v>934</v>
      </c>
      <c r="K248" s="7" t="s">
        <v>24</v>
      </c>
      <c r="L248" s="7" t="s">
        <v>935</v>
      </c>
      <c r="M248" s="109">
        <v>29643369869</v>
      </c>
      <c r="N248" s="109">
        <v>642820640</v>
      </c>
      <c r="O248" s="109">
        <v>15000000</v>
      </c>
      <c r="P248" s="112">
        <v>48000000</v>
      </c>
      <c r="Q248" s="109">
        <f t="shared" si="18"/>
        <v>30349190509</v>
      </c>
      <c r="R248" s="3">
        <v>29643369869</v>
      </c>
      <c r="S248" s="28">
        <v>642820640</v>
      </c>
      <c r="T248" s="72"/>
      <c r="U248" s="5"/>
      <c r="V248" s="5"/>
      <c r="W248" s="28"/>
      <c r="X248" s="28">
        <f t="shared" si="19"/>
        <v>0</v>
      </c>
      <c r="Y248" s="36">
        <f t="shared" si="20"/>
        <v>15000000</v>
      </c>
      <c r="Z248" s="28">
        <f t="shared" si="21"/>
        <v>48000000</v>
      </c>
      <c r="AA248" s="4"/>
      <c r="AB248" s="40"/>
      <c r="AC248" s="121">
        <f t="shared" si="22"/>
        <v>2</v>
      </c>
      <c r="AD248" s="121"/>
    </row>
    <row r="249" spans="1:30" ht="31.2" x14ac:dyDescent="0.3">
      <c r="A249" s="7" t="s">
        <v>46</v>
      </c>
      <c r="B249" s="6">
        <v>236</v>
      </c>
      <c r="C249" s="7" t="s">
        <v>895</v>
      </c>
      <c r="D249" s="7" t="s">
        <v>936</v>
      </c>
      <c r="E249" s="7" t="s">
        <v>34</v>
      </c>
      <c r="F249" s="4"/>
      <c r="G249" s="7" t="s">
        <v>937</v>
      </c>
      <c r="H249" s="7" t="s">
        <v>707</v>
      </c>
      <c r="I249" s="5"/>
      <c r="J249" s="7" t="s">
        <v>938</v>
      </c>
      <c r="K249" s="7" t="s">
        <v>24</v>
      </c>
      <c r="L249" s="7" t="s">
        <v>939</v>
      </c>
      <c r="M249" s="109">
        <v>607575480</v>
      </c>
      <c r="N249" s="109">
        <v>60674400</v>
      </c>
      <c r="O249" s="109">
        <v>7500000</v>
      </c>
      <c r="P249" s="110"/>
      <c r="Q249" s="109">
        <f t="shared" si="18"/>
        <v>675749880</v>
      </c>
      <c r="R249" s="3">
        <v>607575480</v>
      </c>
      <c r="S249" s="3">
        <v>60674400</v>
      </c>
      <c r="T249" s="30">
        <v>7500000</v>
      </c>
      <c r="U249" s="5"/>
      <c r="V249" s="5"/>
      <c r="W249" s="28"/>
      <c r="X249" s="28">
        <f t="shared" si="19"/>
        <v>0</v>
      </c>
      <c r="Y249" s="28">
        <f t="shared" si="20"/>
        <v>0</v>
      </c>
      <c r="Z249" s="28">
        <f t="shared" si="21"/>
        <v>0</v>
      </c>
      <c r="AA249" s="4"/>
      <c r="AB249" s="4"/>
      <c r="AC249">
        <f t="shared" si="22"/>
        <v>2</v>
      </c>
    </row>
    <row r="250" spans="1:30" ht="31.2" x14ac:dyDescent="0.3">
      <c r="A250" s="7" t="s">
        <v>46</v>
      </c>
      <c r="B250" s="6">
        <v>237</v>
      </c>
      <c r="C250" s="7" t="s">
        <v>895</v>
      </c>
      <c r="D250" s="7" t="s">
        <v>940</v>
      </c>
      <c r="E250" s="5"/>
      <c r="F250" s="4"/>
      <c r="G250" s="7" t="s">
        <v>941</v>
      </c>
      <c r="H250" s="5"/>
      <c r="I250" s="5"/>
      <c r="J250" s="7" t="s">
        <v>942</v>
      </c>
      <c r="K250" s="7" t="s">
        <v>24</v>
      </c>
      <c r="L250" s="7" t="s">
        <v>943</v>
      </c>
      <c r="M250" s="109">
        <v>1176584884</v>
      </c>
      <c r="N250" s="111"/>
      <c r="O250" s="109">
        <v>7500000</v>
      </c>
      <c r="P250" s="110"/>
      <c r="Q250" s="109">
        <f t="shared" si="18"/>
        <v>1184084884</v>
      </c>
      <c r="R250" s="3">
        <v>1176584884</v>
      </c>
      <c r="S250" s="5"/>
      <c r="T250" s="30">
        <v>7500000</v>
      </c>
      <c r="U250" s="5"/>
      <c r="V250" s="5"/>
      <c r="W250" s="28"/>
      <c r="X250" s="28">
        <f t="shared" si="19"/>
        <v>0</v>
      </c>
      <c r="Y250" s="28">
        <f t="shared" si="20"/>
        <v>0</v>
      </c>
      <c r="Z250" s="28">
        <f t="shared" si="21"/>
        <v>0</v>
      </c>
      <c r="AA250" s="4"/>
      <c r="AB250" s="4"/>
      <c r="AC250">
        <f t="shared" si="22"/>
        <v>2</v>
      </c>
    </row>
    <row r="251" spans="1:30" ht="31.2" x14ac:dyDescent="0.3">
      <c r="A251" s="7" t="s">
        <v>46</v>
      </c>
      <c r="B251" s="6">
        <v>238</v>
      </c>
      <c r="C251" s="7" t="s">
        <v>895</v>
      </c>
      <c r="D251" s="7" t="s">
        <v>944</v>
      </c>
      <c r="E251" s="7"/>
      <c r="F251" s="4"/>
      <c r="G251" s="7" t="s">
        <v>945</v>
      </c>
      <c r="H251" s="7"/>
      <c r="I251" s="7"/>
      <c r="J251" s="7" t="s">
        <v>946</v>
      </c>
      <c r="K251" s="7" t="s">
        <v>24</v>
      </c>
      <c r="L251" s="7" t="s">
        <v>947</v>
      </c>
      <c r="M251" s="109">
        <v>2575548192</v>
      </c>
      <c r="N251" s="111"/>
      <c r="O251" s="109">
        <v>7500000</v>
      </c>
      <c r="P251" s="110"/>
      <c r="Q251" s="109">
        <f t="shared" si="18"/>
        <v>2583048192</v>
      </c>
      <c r="R251" s="5"/>
      <c r="S251" s="5"/>
      <c r="T251" s="72"/>
      <c r="U251" s="5"/>
      <c r="V251" s="5"/>
      <c r="W251" s="28">
        <v>2575548192</v>
      </c>
      <c r="X251" s="28">
        <f t="shared" si="19"/>
        <v>0</v>
      </c>
      <c r="Y251" s="36">
        <f t="shared" si="20"/>
        <v>7500000</v>
      </c>
      <c r="Z251" s="28">
        <f t="shared" si="21"/>
        <v>0</v>
      </c>
      <c r="AA251" s="10">
        <v>2575548192</v>
      </c>
      <c r="AB251" s="40"/>
      <c r="AC251" s="121">
        <f t="shared" si="22"/>
        <v>2</v>
      </c>
      <c r="AD251" s="121"/>
    </row>
    <row r="252" spans="1:30" ht="31.2" x14ac:dyDescent="0.3">
      <c r="A252" s="7" t="s">
        <v>62</v>
      </c>
      <c r="B252" s="6">
        <v>239</v>
      </c>
      <c r="C252" s="7" t="s">
        <v>895</v>
      </c>
      <c r="D252" s="7" t="s">
        <v>948</v>
      </c>
      <c r="E252" s="7" t="s">
        <v>158</v>
      </c>
      <c r="F252" s="4"/>
      <c r="G252" s="7" t="s">
        <v>949</v>
      </c>
      <c r="H252" s="7" t="s">
        <v>66</v>
      </c>
      <c r="I252" s="5"/>
      <c r="J252" s="7" t="s">
        <v>950</v>
      </c>
      <c r="K252" s="7" t="s">
        <v>24</v>
      </c>
      <c r="L252" s="7" t="s">
        <v>951</v>
      </c>
      <c r="M252" s="109">
        <v>3117071830</v>
      </c>
      <c r="N252" s="109">
        <v>483955776</v>
      </c>
      <c r="O252" s="109">
        <v>7500000</v>
      </c>
      <c r="P252" s="110"/>
      <c r="Q252" s="109">
        <f t="shared" si="18"/>
        <v>3608527606</v>
      </c>
      <c r="R252" s="3">
        <v>3117071830</v>
      </c>
      <c r="S252" s="3">
        <v>483955776</v>
      </c>
      <c r="T252" s="30">
        <v>7500000</v>
      </c>
      <c r="U252" s="5"/>
      <c r="V252" s="5"/>
      <c r="W252" s="28"/>
      <c r="X252" s="28">
        <f t="shared" si="19"/>
        <v>0</v>
      </c>
      <c r="Y252" s="28">
        <f t="shared" si="20"/>
        <v>0</v>
      </c>
      <c r="Z252" s="28">
        <f t="shared" si="21"/>
        <v>0</v>
      </c>
      <c r="AA252" s="4"/>
      <c r="AB252" s="4"/>
      <c r="AC252">
        <f t="shared" si="22"/>
        <v>2</v>
      </c>
    </row>
    <row r="253" spans="1:30" ht="62.4" customHeight="1" x14ac:dyDescent="0.3">
      <c r="A253" s="7" t="s">
        <v>62</v>
      </c>
      <c r="B253" s="6">
        <v>240</v>
      </c>
      <c r="C253" s="7" t="s">
        <v>895</v>
      </c>
      <c r="D253" s="7" t="s">
        <v>952</v>
      </c>
      <c r="E253" s="5"/>
      <c r="F253" s="40" t="s">
        <v>953</v>
      </c>
      <c r="G253" s="7" t="s">
        <v>954</v>
      </c>
      <c r="H253" s="5"/>
      <c r="I253" s="5"/>
      <c r="J253" s="7" t="s">
        <v>955</v>
      </c>
      <c r="K253" s="7" t="s">
        <v>24</v>
      </c>
      <c r="L253" s="7" t="s">
        <v>956</v>
      </c>
      <c r="M253" s="109">
        <v>3280061542</v>
      </c>
      <c r="N253" s="111"/>
      <c r="O253" s="109">
        <v>15000000</v>
      </c>
      <c r="P253" s="112">
        <v>90000000</v>
      </c>
      <c r="Q253" s="109">
        <f t="shared" si="18"/>
        <v>3385061542</v>
      </c>
      <c r="R253" s="3">
        <v>3280061542</v>
      </c>
      <c r="S253" s="5"/>
      <c r="T253" s="30">
        <v>15000000</v>
      </c>
      <c r="U253" s="3">
        <v>90000000</v>
      </c>
      <c r="V253" s="5"/>
      <c r="W253" s="28"/>
      <c r="X253" s="28">
        <f t="shared" si="19"/>
        <v>0</v>
      </c>
      <c r="Y253" s="28">
        <f t="shared" si="20"/>
        <v>0</v>
      </c>
      <c r="Z253" s="28">
        <f t="shared" si="21"/>
        <v>0</v>
      </c>
      <c r="AA253" s="4"/>
      <c r="AB253" s="4"/>
      <c r="AC253">
        <f t="shared" si="22"/>
        <v>2</v>
      </c>
    </row>
    <row r="254" spans="1:30" ht="31.2" x14ac:dyDescent="0.3">
      <c r="A254" s="7" t="s">
        <v>46</v>
      </c>
      <c r="B254" s="6">
        <v>241</v>
      </c>
      <c r="C254" s="7" t="s">
        <v>895</v>
      </c>
      <c r="D254" s="7" t="s">
        <v>957</v>
      </c>
      <c r="E254" s="5"/>
      <c r="F254" s="4"/>
      <c r="G254" s="7" t="s">
        <v>958</v>
      </c>
      <c r="H254" s="5"/>
      <c r="I254" s="5"/>
      <c r="J254" s="7" t="s">
        <v>959</v>
      </c>
      <c r="K254" s="7" t="s">
        <v>24</v>
      </c>
      <c r="L254" s="7" t="s">
        <v>960</v>
      </c>
      <c r="M254" s="109">
        <v>391616484</v>
      </c>
      <c r="N254" s="111"/>
      <c r="O254" s="109">
        <v>7500000</v>
      </c>
      <c r="P254" s="110"/>
      <c r="Q254" s="109">
        <f t="shared" si="18"/>
        <v>399116484</v>
      </c>
      <c r="R254" s="3">
        <v>391616484</v>
      </c>
      <c r="S254" s="5"/>
      <c r="T254" s="30">
        <v>7500000</v>
      </c>
      <c r="U254" s="5"/>
      <c r="V254" s="5"/>
      <c r="W254" s="28"/>
      <c r="X254" s="28">
        <f t="shared" si="19"/>
        <v>0</v>
      </c>
      <c r="Y254" s="28">
        <f t="shared" si="20"/>
        <v>0</v>
      </c>
      <c r="Z254" s="28">
        <f t="shared" si="21"/>
        <v>0</v>
      </c>
      <c r="AA254" s="4"/>
      <c r="AB254" s="4"/>
      <c r="AC254">
        <f t="shared" si="22"/>
        <v>2</v>
      </c>
    </row>
    <row r="255" spans="1:30" ht="31.2" x14ac:dyDescent="0.3">
      <c r="A255" s="7" t="s">
        <v>46</v>
      </c>
      <c r="B255" s="6">
        <v>242</v>
      </c>
      <c r="C255" s="7" t="s">
        <v>895</v>
      </c>
      <c r="D255" s="7" t="s">
        <v>961</v>
      </c>
      <c r="E255" s="7" t="s">
        <v>914</v>
      </c>
      <c r="F255" s="4"/>
      <c r="G255" s="7" t="s">
        <v>962</v>
      </c>
      <c r="H255" s="5"/>
      <c r="I255" s="5"/>
      <c r="J255" s="7" t="s">
        <v>963</v>
      </c>
      <c r="K255" s="7" t="s">
        <v>24</v>
      </c>
      <c r="L255" s="7" t="s">
        <v>964</v>
      </c>
      <c r="M255" s="109">
        <v>5427416524</v>
      </c>
      <c r="N255" s="109">
        <v>5717376</v>
      </c>
      <c r="O255" s="109">
        <v>7500000</v>
      </c>
      <c r="P255" s="110"/>
      <c r="Q255" s="109">
        <f t="shared" si="18"/>
        <v>5440633900</v>
      </c>
      <c r="R255" s="3">
        <v>5427416524</v>
      </c>
      <c r="S255" s="3">
        <v>5717376</v>
      </c>
      <c r="T255" s="30">
        <v>7500000</v>
      </c>
      <c r="U255" s="5"/>
      <c r="V255" s="5"/>
      <c r="W255" s="28"/>
      <c r="X255" s="28">
        <f t="shared" si="19"/>
        <v>0</v>
      </c>
      <c r="Y255" s="28">
        <f t="shared" si="20"/>
        <v>0</v>
      </c>
      <c r="Z255" s="28">
        <f t="shared" si="21"/>
        <v>0</v>
      </c>
      <c r="AA255" s="4"/>
      <c r="AB255" s="4"/>
      <c r="AC255">
        <f t="shared" si="22"/>
        <v>2</v>
      </c>
    </row>
    <row r="256" spans="1:30" ht="31.2" x14ac:dyDescent="0.3">
      <c r="A256" s="7" t="s">
        <v>46</v>
      </c>
      <c r="B256" s="6">
        <v>243</v>
      </c>
      <c r="C256" s="7" t="s">
        <v>895</v>
      </c>
      <c r="D256" s="7" t="s">
        <v>965</v>
      </c>
      <c r="E256" s="5"/>
      <c r="F256" s="4"/>
      <c r="G256" s="7" t="s">
        <v>966</v>
      </c>
      <c r="H256" s="5"/>
      <c r="I256" s="5"/>
      <c r="J256" s="7" t="s">
        <v>967</v>
      </c>
      <c r="K256" s="7" t="s">
        <v>24</v>
      </c>
      <c r="L256" s="7" t="s">
        <v>968</v>
      </c>
      <c r="M256" s="109">
        <v>220068000</v>
      </c>
      <c r="N256" s="111"/>
      <c r="O256" s="109">
        <v>7500000</v>
      </c>
      <c r="P256" s="110"/>
      <c r="Q256" s="109">
        <f t="shared" si="18"/>
        <v>227568000</v>
      </c>
      <c r="R256" s="3">
        <v>220068000</v>
      </c>
      <c r="S256" s="5"/>
      <c r="T256" s="30">
        <v>7500000</v>
      </c>
      <c r="U256" s="5"/>
      <c r="V256" s="5"/>
      <c r="W256" s="28"/>
      <c r="X256" s="28">
        <f t="shared" si="19"/>
        <v>0</v>
      </c>
      <c r="Y256" s="28">
        <f t="shared" si="20"/>
        <v>0</v>
      </c>
      <c r="Z256" s="28">
        <f t="shared" si="21"/>
        <v>0</v>
      </c>
      <c r="AA256" s="4"/>
      <c r="AB256" s="4"/>
      <c r="AC256">
        <f t="shared" si="22"/>
        <v>2</v>
      </c>
    </row>
    <row r="257" spans="1:30" ht="31.2" x14ac:dyDescent="0.3">
      <c r="A257" s="7" t="s">
        <v>46</v>
      </c>
      <c r="B257" s="6">
        <v>244</v>
      </c>
      <c r="C257" s="7" t="s">
        <v>895</v>
      </c>
      <c r="D257" s="7" t="s">
        <v>969</v>
      </c>
      <c r="E257" s="7" t="s">
        <v>914</v>
      </c>
      <c r="F257" s="4"/>
      <c r="G257" s="7" t="s">
        <v>970</v>
      </c>
      <c r="H257" s="7"/>
      <c r="I257" s="7"/>
      <c r="J257" s="7" t="s">
        <v>971</v>
      </c>
      <c r="K257" s="7" t="s">
        <v>24</v>
      </c>
      <c r="L257" s="7" t="s">
        <v>972</v>
      </c>
      <c r="M257" s="109">
        <v>803708300</v>
      </c>
      <c r="N257" s="109">
        <v>83491840</v>
      </c>
      <c r="O257" s="109">
        <v>7500000</v>
      </c>
      <c r="P257" s="110"/>
      <c r="Q257" s="109">
        <f t="shared" si="18"/>
        <v>894700140</v>
      </c>
      <c r="R257" s="3">
        <v>803708300</v>
      </c>
      <c r="S257" s="3">
        <v>83491840</v>
      </c>
      <c r="T257" s="72"/>
      <c r="U257" s="5"/>
      <c r="V257" s="5"/>
      <c r="W257" s="28"/>
      <c r="X257" s="28">
        <f t="shared" si="19"/>
        <v>0</v>
      </c>
      <c r="Y257" s="36">
        <f t="shared" si="20"/>
        <v>7500000</v>
      </c>
      <c r="Z257" s="28">
        <f t="shared" si="21"/>
        <v>0</v>
      </c>
      <c r="AA257" s="4"/>
      <c r="AB257" s="40"/>
      <c r="AC257" s="121">
        <f t="shared" si="22"/>
        <v>2</v>
      </c>
      <c r="AD257" s="121"/>
    </row>
    <row r="258" spans="1:30" ht="31.2" x14ac:dyDescent="0.3">
      <c r="A258" s="7" t="s">
        <v>62</v>
      </c>
      <c r="B258" s="6">
        <v>245</v>
      </c>
      <c r="C258" s="7" t="s">
        <v>895</v>
      </c>
      <c r="D258" s="7" t="s">
        <v>973</v>
      </c>
      <c r="E258" s="5"/>
      <c r="F258" s="4"/>
      <c r="G258" s="7" t="s">
        <v>974</v>
      </c>
      <c r="H258" s="5"/>
      <c r="I258" s="5"/>
      <c r="J258" s="7" t="s">
        <v>975</v>
      </c>
      <c r="K258" s="7" t="s">
        <v>24</v>
      </c>
      <c r="L258" s="7" t="s">
        <v>976</v>
      </c>
      <c r="M258" s="109">
        <v>0</v>
      </c>
      <c r="N258" s="111"/>
      <c r="O258" s="109">
        <v>7500000</v>
      </c>
      <c r="P258" s="110"/>
      <c r="Q258" s="109">
        <f t="shared" si="18"/>
        <v>7500000</v>
      </c>
      <c r="R258" s="6">
        <v>0</v>
      </c>
      <c r="S258" s="5"/>
      <c r="T258" s="30">
        <v>7500000</v>
      </c>
      <c r="U258" s="5"/>
      <c r="V258" s="5"/>
      <c r="W258" s="28"/>
      <c r="X258" s="28">
        <f t="shared" si="19"/>
        <v>0</v>
      </c>
      <c r="Y258" s="28">
        <f t="shared" si="20"/>
        <v>0</v>
      </c>
      <c r="Z258" s="28">
        <f t="shared" si="21"/>
        <v>0</v>
      </c>
      <c r="AA258" s="4"/>
      <c r="AB258" s="4"/>
      <c r="AC258">
        <f t="shared" si="22"/>
        <v>2</v>
      </c>
    </row>
    <row r="259" spans="1:30" ht="93.6" x14ac:dyDescent="0.3">
      <c r="A259" s="7" t="s">
        <v>46</v>
      </c>
      <c r="B259" s="6">
        <v>246</v>
      </c>
      <c r="C259" s="7" t="s">
        <v>895</v>
      </c>
      <c r="D259" s="7" t="s">
        <v>977</v>
      </c>
      <c r="E259" s="7" t="s">
        <v>914</v>
      </c>
      <c r="F259" s="4"/>
      <c r="G259" s="7" t="s">
        <v>978</v>
      </c>
      <c r="H259" s="5"/>
      <c r="I259" s="5"/>
      <c r="J259" s="7" t="s">
        <v>979</v>
      </c>
      <c r="K259" s="7" t="s">
        <v>24</v>
      </c>
      <c r="L259" s="7" t="s">
        <v>980</v>
      </c>
      <c r="M259" s="109">
        <v>3613352200</v>
      </c>
      <c r="N259" s="109">
        <v>53089920</v>
      </c>
      <c r="O259" s="109">
        <v>7500000</v>
      </c>
      <c r="P259" s="110"/>
      <c r="Q259" s="109">
        <f t="shared" si="18"/>
        <v>3673942120</v>
      </c>
      <c r="R259" s="3">
        <v>3613352200</v>
      </c>
      <c r="S259" s="3">
        <v>53089920</v>
      </c>
      <c r="T259" s="30">
        <v>7500000</v>
      </c>
      <c r="U259" s="5"/>
      <c r="V259" s="5"/>
      <c r="W259" s="28"/>
      <c r="X259" s="28">
        <f t="shared" si="19"/>
        <v>0</v>
      </c>
      <c r="Y259" s="28">
        <f t="shared" si="20"/>
        <v>0</v>
      </c>
      <c r="Z259" s="28">
        <f t="shared" si="21"/>
        <v>0</v>
      </c>
      <c r="AA259" s="4"/>
      <c r="AB259" s="4"/>
      <c r="AC259">
        <f t="shared" si="22"/>
        <v>2</v>
      </c>
    </row>
    <row r="260" spans="1:30" ht="31.2" x14ac:dyDescent="0.3">
      <c r="A260" s="7" t="s">
        <v>46</v>
      </c>
      <c r="B260" s="6">
        <v>247</v>
      </c>
      <c r="C260" s="7" t="s">
        <v>895</v>
      </c>
      <c r="D260" s="7" t="s">
        <v>981</v>
      </c>
      <c r="E260" s="7" t="s">
        <v>982</v>
      </c>
      <c r="F260" s="4"/>
      <c r="G260" s="7" t="s">
        <v>983</v>
      </c>
      <c r="H260" s="5"/>
      <c r="I260" s="5"/>
      <c r="J260" s="7" t="s">
        <v>984</v>
      </c>
      <c r="K260" s="7" t="s">
        <v>24</v>
      </c>
      <c r="L260" s="7" t="s">
        <v>985</v>
      </c>
      <c r="M260" s="109">
        <v>2238832624</v>
      </c>
      <c r="N260" s="109">
        <v>440119008</v>
      </c>
      <c r="O260" s="109">
        <v>15000000</v>
      </c>
      <c r="P260" s="110"/>
      <c r="Q260" s="109">
        <f t="shared" si="18"/>
        <v>2693951632</v>
      </c>
      <c r="R260" s="3">
        <v>2238832624</v>
      </c>
      <c r="S260" s="3">
        <v>440119008</v>
      </c>
      <c r="T260" s="30">
        <v>15000000</v>
      </c>
      <c r="U260" s="5"/>
      <c r="V260" s="5"/>
      <c r="W260" s="28"/>
      <c r="X260" s="28">
        <f t="shared" si="19"/>
        <v>0</v>
      </c>
      <c r="Y260" s="28">
        <f t="shared" si="20"/>
        <v>0</v>
      </c>
      <c r="Z260" s="28">
        <f t="shared" si="21"/>
        <v>0</v>
      </c>
      <c r="AA260" s="4"/>
      <c r="AB260" s="4"/>
      <c r="AC260">
        <f t="shared" si="22"/>
        <v>2</v>
      </c>
    </row>
    <row r="261" spans="1:30" ht="31.2" x14ac:dyDescent="0.3">
      <c r="A261" s="7" t="s">
        <v>46</v>
      </c>
      <c r="B261" s="6">
        <v>248</v>
      </c>
      <c r="C261" s="7" t="s">
        <v>895</v>
      </c>
      <c r="D261" s="7" t="s">
        <v>986</v>
      </c>
      <c r="E261" s="5"/>
      <c r="F261" s="4"/>
      <c r="G261" s="7" t="s">
        <v>604</v>
      </c>
      <c r="H261" s="5"/>
      <c r="I261" s="5"/>
      <c r="J261" s="7" t="s">
        <v>987</v>
      </c>
      <c r="K261" s="7" t="s">
        <v>24</v>
      </c>
      <c r="L261" s="7" t="s">
        <v>988</v>
      </c>
      <c r="M261" s="109">
        <v>3203717384</v>
      </c>
      <c r="N261" s="111"/>
      <c r="O261" s="109">
        <v>15000000</v>
      </c>
      <c r="P261" s="110"/>
      <c r="Q261" s="109">
        <f t="shared" si="18"/>
        <v>3218717384</v>
      </c>
      <c r="R261" s="3">
        <v>3203717384</v>
      </c>
      <c r="S261" s="5"/>
      <c r="T261" s="30">
        <v>15000000</v>
      </c>
      <c r="U261" s="5"/>
      <c r="V261" s="5"/>
      <c r="W261" s="28"/>
      <c r="X261" s="28">
        <f t="shared" si="19"/>
        <v>0</v>
      </c>
      <c r="Y261" s="28">
        <f t="shared" si="20"/>
        <v>0</v>
      </c>
      <c r="Z261" s="28">
        <f t="shared" si="21"/>
        <v>0</v>
      </c>
      <c r="AA261" s="4"/>
      <c r="AB261" s="4"/>
      <c r="AC261">
        <f t="shared" si="22"/>
        <v>2</v>
      </c>
    </row>
    <row r="262" spans="1:30" ht="62.4" customHeight="1" x14ac:dyDescent="0.3">
      <c r="A262" s="40" t="s">
        <v>62</v>
      </c>
      <c r="B262" s="6">
        <v>249</v>
      </c>
      <c r="C262" s="40" t="s">
        <v>895</v>
      </c>
      <c r="D262" s="40" t="s">
        <v>989</v>
      </c>
      <c r="E262" s="40" t="s">
        <v>158</v>
      </c>
      <c r="F262" s="40" t="s">
        <v>990</v>
      </c>
      <c r="G262" s="40" t="s">
        <v>991</v>
      </c>
      <c r="H262" s="40" t="s">
        <v>83</v>
      </c>
      <c r="I262" s="4"/>
      <c r="J262" s="40" t="s">
        <v>992</v>
      </c>
      <c r="K262" s="40" t="s">
        <v>24</v>
      </c>
      <c r="L262" s="40" t="s">
        <v>993</v>
      </c>
      <c r="M262" s="75">
        <v>11542084576</v>
      </c>
      <c r="N262" s="75">
        <v>195952446</v>
      </c>
      <c r="O262" s="75">
        <v>15000000</v>
      </c>
      <c r="P262" s="112">
        <v>108000000</v>
      </c>
      <c r="Q262" s="109">
        <f t="shared" si="18"/>
        <v>11861037022</v>
      </c>
      <c r="R262" s="3">
        <v>11542084576</v>
      </c>
      <c r="S262" s="3">
        <v>195952446</v>
      </c>
      <c r="T262" s="30">
        <v>15000000</v>
      </c>
      <c r="U262" s="10">
        <v>108000000</v>
      </c>
      <c r="V262" s="5"/>
      <c r="W262" s="28"/>
      <c r="X262" s="28">
        <f t="shared" si="19"/>
        <v>0</v>
      </c>
      <c r="Y262" s="28">
        <f t="shared" si="20"/>
        <v>0</v>
      </c>
      <c r="Z262" s="28">
        <f t="shared" si="21"/>
        <v>0</v>
      </c>
      <c r="AA262" s="4"/>
      <c r="AB262" s="4"/>
      <c r="AC262">
        <f t="shared" si="22"/>
        <v>2</v>
      </c>
    </row>
    <row r="263" spans="1:30" ht="31.2" x14ac:dyDescent="0.3">
      <c r="A263" s="7" t="s">
        <v>46</v>
      </c>
      <c r="B263" s="6">
        <v>250</v>
      </c>
      <c r="C263" s="7" t="s">
        <v>895</v>
      </c>
      <c r="D263" s="7" t="s">
        <v>994</v>
      </c>
      <c r="E263" s="5"/>
      <c r="F263" s="4"/>
      <c r="G263" s="7" t="s">
        <v>995</v>
      </c>
      <c r="H263" s="5"/>
      <c r="I263" s="5"/>
      <c r="J263" s="7" t="s">
        <v>996</v>
      </c>
      <c r="K263" s="7" t="s">
        <v>24</v>
      </c>
      <c r="L263" s="7" t="s">
        <v>997</v>
      </c>
      <c r="M263" s="109">
        <v>3719388760</v>
      </c>
      <c r="N263" s="111"/>
      <c r="O263" s="109">
        <v>15000000</v>
      </c>
      <c r="P263" s="110"/>
      <c r="Q263" s="109">
        <f t="shared" si="18"/>
        <v>3734388760</v>
      </c>
      <c r="R263" s="3">
        <v>3719388760</v>
      </c>
      <c r="S263" s="5"/>
      <c r="T263" s="30">
        <v>15000000</v>
      </c>
      <c r="U263" s="5"/>
      <c r="V263" s="5"/>
      <c r="W263" s="28"/>
      <c r="X263" s="28">
        <f t="shared" si="19"/>
        <v>0</v>
      </c>
      <c r="Y263" s="28">
        <f t="shared" si="20"/>
        <v>0</v>
      </c>
      <c r="Z263" s="28">
        <f t="shared" si="21"/>
        <v>0</v>
      </c>
      <c r="AA263" s="4"/>
      <c r="AB263" s="4"/>
      <c r="AC263">
        <f t="shared" si="22"/>
        <v>2</v>
      </c>
    </row>
    <row r="264" spans="1:30" ht="31.2" x14ac:dyDescent="0.3">
      <c r="A264" s="7" t="s">
        <v>46</v>
      </c>
      <c r="B264" s="6">
        <v>251</v>
      </c>
      <c r="C264" s="7" t="s">
        <v>895</v>
      </c>
      <c r="D264" s="7" t="s">
        <v>998</v>
      </c>
      <c r="E264" s="5"/>
      <c r="F264" s="4"/>
      <c r="G264" s="7" t="s">
        <v>999</v>
      </c>
      <c r="H264" s="5"/>
      <c r="I264" s="7" t="s">
        <v>1000</v>
      </c>
      <c r="J264" s="7" t="s">
        <v>1001</v>
      </c>
      <c r="K264" s="7" t="s">
        <v>24</v>
      </c>
      <c r="L264" s="7" t="s">
        <v>1002</v>
      </c>
      <c r="M264" s="109">
        <v>3679560544</v>
      </c>
      <c r="N264" s="111"/>
      <c r="O264" s="109">
        <v>15000000</v>
      </c>
      <c r="P264" s="110"/>
      <c r="Q264" s="109">
        <f t="shared" si="18"/>
        <v>3694560544</v>
      </c>
      <c r="R264" s="3">
        <v>3679560544</v>
      </c>
      <c r="S264" s="5"/>
      <c r="T264" s="30">
        <v>15000000</v>
      </c>
      <c r="U264" s="5"/>
      <c r="V264" s="5"/>
      <c r="W264" s="28"/>
      <c r="X264" s="28">
        <f t="shared" si="19"/>
        <v>0</v>
      </c>
      <c r="Y264" s="28">
        <f t="shared" si="20"/>
        <v>0</v>
      </c>
      <c r="Z264" s="28">
        <f t="shared" si="21"/>
        <v>0</v>
      </c>
      <c r="AA264" s="4"/>
      <c r="AB264" s="4"/>
      <c r="AC264">
        <f t="shared" si="22"/>
        <v>2</v>
      </c>
    </row>
    <row r="265" spans="1:30" ht="46.8" x14ac:dyDescent="0.3">
      <c r="A265" s="7" t="s">
        <v>53</v>
      </c>
      <c r="B265" s="6">
        <v>252</v>
      </c>
      <c r="C265" s="7" t="s">
        <v>1003</v>
      </c>
      <c r="D265" s="7" t="s">
        <v>1004</v>
      </c>
      <c r="E265" s="5"/>
      <c r="F265" s="4"/>
      <c r="G265" s="7" t="s">
        <v>1005</v>
      </c>
      <c r="H265" s="5"/>
      <c r="I265" s="5"/>
      <c r="J265" s="7" t="s">
        <v>1006</v>
      </c>
      <c r="K265" s="7" t="s">
        <v>24</v>
      </c>
      <c r="L265" s="7" t="s">
        <v>1007</v>
      </c>
      <c r="M265" s="109">
        <v>2768598346</v>
      </c>
      <c r="N265" s="111"/>
      <c r="O265" s="109">
        <v>7500000</v>
      </c>
      <c r="P265" s="110"/>
      <c r="Q265" s="109">
        <f t="shared" si="18"/>
        <v>2776098346</v>
      </c>
      <c r="R265" s="3">
        <v>2768598346</v>
      </c>
      <c r="S265" s="5"/>
      <c r="T265" s="30">
        <v>7500000</v>
      </c>
      <c r="U265" s="5"/>
      <c r="V265" s="5"/>
      <c r="W265" s="28"/>
      <c r="X265" s="28">
        <f t="shared" si="19"/>
        <v>0</v>
      </c>
      <c r="Y265" s="28">
        <f t="shared" si="20"/>
        <v>0</v>
      </c>
      <c r="Z265" s="28">
        <f t="shared" si="21"/>
        <v>0</v>
      </c>
      <c r="AA265" s="4"/>
      <c r="AB265" s="4"/>
      <c r="AC265">
        <f t="shared" si="22"/>
        <v>2</v>
      </c>
    </row>
    <row r="266" spans="1:30" ht="46.8" x14ac:dyDescent="0.3">
      <c r="A266" s="7" t="s">
        <v>53</v>
      </c>
      <c r="B266" s="6">
        <v>253</v>
      </c>
      <c r="C266" s="7" t="s">
        <v>1003</v>
      </c>
      <c r="D266" s="7" t="s">
        <v>1008</v>
      </c>
      <c r="E266" s="5"/>
      <c r="F266" s="4"/>
      <c r="G266" s="7" t="s">
        <v>1009</v>
      </c>
      <c r="H266" s="5"/>
      <c r="I266" s="5"/>
      <c r="J266" s="7" t="s">
        <v>1010</v>
      </c>
      <c r="K266" s="7" t="s">
        <v>24</v>
      </c>
      <c r="L266" s="7" t="s">
        <v>1011</v>
      </c>
      <c r="M266" s="109">
        <v>671801500</v>
      </c>
      <c r="N266" s="111"/>
      <c r="O266" s="109">
        <v>7500000</v>
      </c>
      <c r="P266" s="110"/>
      <c r="Q266" s="109">
        <f t="shared" si="18"/>
        <v>679301500</v>
      </c>
      <c r="R266" s="3">
        <v>671801500</v>
      </c>
      <c r="S266" s="5"/>
      <c r="T266" s="30">
        <v>7500000</v>
      </c>
      <c r="U266" s="5"/>
      <c r="V266" s="5"/>
      <c r="W266" s="28"/>
      <c r="X266" s="28">
        <f t="shared" si="19"/>
        <v>0</v>
      </c>
      <c r="Y266" s="28">
        <f t="shared" si="20"/>
        <v>0</v>
      </c>
      <c r="Z266" s="28">
        <f t="shared" si="21"/>
        <v>0</v>
      </c>
      <c r="AA266" s="4"/>
      <c r="AB266" s="4"/>
      <c r="AC266">
        <f t="shared" si="22"/>
        <v>2</v>
      </c>
    </row>
    <row r="267" spans="1:30" ht="46.8" x14ac:dyDescent="0.3">
      <c r="A267" s="7" t="s">
        <v>53</v>
      </c>
      <c r="B267" s="6">
        <v>254</v>
      </c>
      <c r="C267" s="7" t="s">
        <v>1003</v>
      </c>
      <c r="D267" s="7" t="s">
        <v>1012</v>
      </c>
      <c r="E267" s="5"/>
      <c r="F267" s="4"/>
      <c r="G267" s="7" t="s">
        <v>1013</v>
      </c>
      <c r="H267" s="5"/>
      <c r="I267" s="5"/>
      <c r="J267" s="7" t="s">
        <v>1014</v>
      </c>
      <c r="K267" s="7" t="s">
        <v>24</v>
      </c>
      <c r="L267" s="7" t="s">
        <v>1015</v>
      </c>
      <c r="M267" s="109">
        <v>691241261</v>
      </c>
      <c r="N267" s="111"/>
      <c r="O267" s="109">
        <v>7500000</v>
      </c>
      <c r="P267" s="110"/>
      <c r="Q267" s="109">
        <f t="shared" si="18"/>
        <v>698741261</v>
      </c>
      <c r="R267" s="3">
        <v>691241261</v>
      </c>
      <c r="S267" s="5"/>
      <c r="T267" s="30">
        <v>7500000</v>
      </c>
      <c r="U267" s="5"/>
      <c r="V267" s="5"/>
      <c r="W267" s="28"/>
      <c r="X267" s="28">
        <f t="shared" si="19"/>
        <v>0</v>
      </c>
      <c r="Y267" s="28">
        <f t="shared" si="20"/>
        <v>0</v>
      </c>
      <c r="Z267" s="28">
        <f t="shared" si="21"/>
        <v>0</v>
      </c>
      <c r="AA267" s="4"/>
      <c r="AB267" s="4"/>
      <c r="AC267">
        <f t="shared" si="22"/>
        <v>2</v>
      </c>
    </row>
    <row r="268" spans="1:30" ht="46.8" x14ac:dyDescent="0.3">
      <c r="A268" s="7" t="s">
        <v>46</v>
      </c>
      <c r="B268" s="6">
        <v>255</v>
      </c>
      <c r="C268" s="7" t="s">
        <v>1003</v>
      </c>
      <c r="D268" s="7" t="s">
        <v>1016</v>
      </c>
      <c r="E268" s="5"/>
      <c r="F268" s="4"/>
      <c r="G268" s="7" t="s">
        <v>1017</v>
      </c>
      <c r="H268" s="5"/>
      <c r="I268" s="7" t="s">
        <v>1018</v>
      </c>
      <c r="J268" s="7" t="s">
        <v>1019</v>
      </c>
      <c r="K268" s="7" t="s">
        <v>24</v>
      </c>
      <c r="L268" s="7" t="s">
        <v>1020</v>
      </c>
      <c r="M268" s="109">
        <v>6226631799</v>
      </c>
      <c r="N268" s="111"/>
      <c r="O268" s="109">
        <v>15000000</v>
      </c>
      <c r="P268" s="110"/>
      <c r="Q268" s="109">
        <f t="shared" si="18"/>
        <v>6241631799</v>
      </c>
      <c r="R268" s="3">
        <v>6226631799</v>
      </c>
      <c r="S268" s="5"/>
      <c r="T268" s="30">
        <v>15000000</v>
      </c>
      <c r="U268" s="5"/>
      <c r="V268" s="5"/>
      <c r="W268" s="28"/>
      <c r="X268" s="28">
        <f t="shared" si="19"/>
        <v>0</v>
      </c>
      <c r="Y268" s="28">
        <f t="shared" si="20"/>
        <v>0</v>
      </c>
      <c r="Z268" s="28">
        <f t="shared" si="21"/>
        <v>0</v>
      </c>
      <c r="AA268" s="4"/>
      <c r="AB268" s="4"/>
      <c r="AC268">
        <f t="shared" si="22"/>
        <v>2</v>
      </c>
    </row>
    <row r="269" spans="1:30" ht="46.8" x14ac:dyDescent="0.3">
      <c r="A269" s="7" t="s">
        <v>53</v>
      </c>
      <c r="B269" s="6">
        <v>256</v>
      </c>
      <c r="C269" s="7" t="s">
        <v>1003</v>
      </c>
      <c r="D269" s="7" t="s">
        <v>1021</v>
      </c>
      <c r="E269" s="5"/>
      <c r="F269" s="40" t="s">
        <v>773</v>
      </c>
      <c r="G269" s="7" t="s">
        <v>1022</v>
      </c>
      <c r="H269" s="5"/>
      <c r="I269" s="7" t="s">
        <v>1023</v>
      </c>
      <c r="J269" s="7" t="s">
        <v>1024</v>
      </c>
      <c r="K269" s="7" t="s">
        <v>24</v>
      </c>
      <c r="L269" s="7" t="s">
        <v>1025</v>
      </c>
      <c r="M269" s="109">
        <v>6294452378</v>
      </c>
      <c r="N269" s="111"/>
      <c r="O269" s="109">
        <v>15000000</v>
      </c>
      <c r="P269" s="112">
        <v>84000000</v>
      </c>
      <c r="Q269" s="109">
        <f t="shared" si="18"/>
        <v>6393452378</v>
      </c>
      <c r="R269" s="3">
        <v>6294452378</v>
      </c>
      <c r="S269" s="5"/>
      <c r="T269" s="30">
        <v>15000000</v>
      </c>
      <c r="U269" s="5"/>
      <c r="V269" s="5"/>
      <c r="W269" s="28"/>
      <c r="X269" s="28">
        <f t="shared" si="19"/>
        <v>0</v>
      </c>
      <c r="Y269" s="28">
        <f t="shared" si="20"/>
        <v>0</v>
      </c>
      <c r="Z269" s="28">
        <f t="shared" si="21"/>
        <v>84000000</v>
      </c>
      <c r="AA269" s="4"/>
      <c r="AB269" s="4"/>
      <c r="AC269">
        <f t="shared" si="22"/>
        <v>2</v>
      </c>
    </row>
    <row r="270" spans="1:30" ht="46.8" x14ac:dyDescent="0.3">
      <c r="A270" s="7" t="s">
        <v>53</v>
      </c>
      <c r="B270" s="6">
        <v>257</v>
      </c>
      <c r="C270" s="7" t="s">
        <v>1003</v>
      </c>
      <c r="D270" s="7" t="s">
        <v>1026</v>
      </c>
      <c r="E270" s="5"/>
      <c r="F270" s="4"/>
      <c r="G270" s="7" t="s">
        <v>1027</v>
      </c>
      <c r="H270" s="5"/>
      <c r="I270" s="5"/>
      <c r="J270" s="7" t="s">
        <v>1028</v>
      </c>
      <c r="K270" s="7" t="s">
        <v>24</v>
      </c>
      <c r="L270" s="7" t="s">
        <v>1029</v>
      </c>
      <c r="M270" s="109">
        <v>1052260732</v>
      </c>
      <c r="N270" s="111"/>
      <c r="O270" s="109">
        <v>15000000</v>
      </c>
      <c r="P270" s="110"/>
      <c r="Q270" s="109">
        <f t="shared" si="18"/>
        <v>1067260732</v>
      </c>
      <c r="R270" s="3">
        <v>1052260732</v>
      </c>
      <c r="S270" s="5"/>
      <c r="T270" s="30">
        <v>15000000</v>
      </c>
      <c r="U270" s="5"/>
      <c r="V270" s="5"/>
      <c r="W270" s="28"/>
      <c r="X270" s="28">
        <f t="shared" si="19"/>
        <v>0</v>
      </c>
      <c r="Y270" s="28">
        <f t="shared" si="20"/>
        <v>0</v>
      </c>
      <c r="Z270" s="28">
        <f t="shared" si="21"/>
        <v>0</v>
      </c>
      <c r="AA270" s="4"/>
      <c r="AB270" s="4"/>
      <c r="AC270">
        <f t="shared" si="22"/>
        <v>2</v>
      </c>
    </row>
    <row r="271" spans="1:30" ht="46.8" x14ac:dyDescent="0.3">
      <c r="A271" s="7" t="s">
        <v>53</v>
      </c>
      <c r="B271" s="6">
        <v>258</v>
      </c>
      <c r="C271" s="7" t="s">
        <v>1003</v>
      </c>
      <c r="D271" s="7" t="s">
        <v>1030</v>
      </c>
      <c r="E271" s="7" t="s">
        <v>1031</v>
      </c>
      <c r="F271" s="4"/>
      <c r="G271" s="7" t="s">
        <v>1032</v>
      </c>
      <c r="H271" s="7"/>
      <c r="I271" s="7"/>
      <c r="J271" s="7" t="s">
        <v>1033</v>
      </c>
      <c r="K271" s="7" t="s">
        <v>24</v>
      </c>
      <c r="L271" s="7" t="s">
        <v>109</v>
      </c>
      <c r="M271" s="109">
        <v>10000000</v>
      </c>
      <c r="N271" s="109">
        <v>1123847280</v>
      </c>
      <c r="O271" s="109">
        <v>15000000</v>
      </c>
      <c r="P271" s="110"/>
      <c r="Q271" s="109">
        <f t="shared" ref="Q271:Q334" si="23">M271+N271+O271+P271</f>
        <v>1148847280</v>
      </c>
      <c r="R271" s="3">
        <v>10000000</v>
      </c>
      <c r="S271" s="3">
        <v>1123847280</v>
      </c>
      <c r="T271" s="72"/>
      <c r="U271" s="5"/>
      <c r="V271" s="5"/>
      <c r="W271" s="28"/>
      <c r="X271" s="28">
        <f t="shared" ref="X271:X334" si="24">N271-S271</f>
        <v>0</v>
      </c>
      <c r="Y271" s="36">
        <f t="shared" ref="Y271:Y334" si="25">O271-T271</f>
        <v>15000000</v>
      </c>
      <c r="Z271" s="28">
        <f t="shared" ref="Z271:Z334" si="26">P271-U271</f>
        <v>0</v>
      </c>
      <c r="AA271" s="4"/>
      <c r="AB271" s="40"/>
      <c r="AC271" s="121">
        <f t="shared" ref="AC271:AC334" si="27">IF(AB271=G271,1,2)</f>
        <v>2</v>
      </c>
      <c r="AD271" s="121"/>
    </row>
    <row r="272" spans="1:30" ht="46.8" x14ac:dyDescent="0.3">
      <c r="A272" s="7" t="s">
        <v>46</v>
      </c>
      <c r="B272" s="6">
        <v>259</v>
      </c>
      <c r="C272" s="7" t="s">
        <v>1003</v>
      </c>
      <c r="D272" s="7" t="s">
        <v>1034</v>
      </c>
      <c r="E272" s="5"/>
      <c r="F272" s="4"/>
      <c r="G272" s="7" t="s">
        <v>1035</v>
      </c>
      <c r="H272" s="5"/>
      <c r="I272" s="5"/>
      <c r="J272" s="7" t="s">
        <v>1036</v>
      </c>
      <c r="K272" s="7" t="s">
        <v>24</v>
      </c>
      <c r="L272" s="7" t="s">
        <v>1037</v>
      </c>
      <c r="M272" s="109">
        <v>2010547710</v>
      </c>
      <c r="N272" s="111"/>
      <c r="O272" s="109">
        <v>7500000</v>
      </c>
      <c r="P272" s="110"/>
      <c r="Q272" s="109">
        <f t="shared" si="23"/>
        <v>2018047710</v>
      </c>
      <c r="R272" s="3">
        <v>2010547710</v>
      </c>
      <c r="S272" s="5"/>
      <c r="T272" s="30">
        <v>7500000</v>
      </c>
      <c r="U272" s="5"/>
      <c r="V272" s="5"/>
      <c r="W272" s="28"/>
      <c r="X272" s="28">
        <f t="shared" si="24"/>
        <v>0</v>
      </c>
      <c r="Y272" s="28">
        <f t="shared" si="25"/>
        <v>0</v>
      </c>
      <c r="Z272" s="28">
        <f t="shared" si="26"/>
        <v>0</v>
      </c>
      <c r="AA272" s="4"/>
      <c r="AB272" s="4"/>
      <c r="AC272">
        <f t="shared" si="27"/>
        <v>2</v>
      </c>
    </row>
    <row r="273" spans="1:30" ht="31.2" x14ac:dyDescent="0.3">
      <c r="A273" s="7" t="s">
        <v>62</v>
      </c>
      <c r="B273" s="6">
        <v>260</v>
      </c>
      <c r="C273" s="7" t="s">
        <v>1038</v>
      </c>
      <c r="D273" s="7" t="s">
        <v>1039</v>
      </c>
      <c r="E273" s="7"/>
      <c r="F273" s="4"/>
      <c r="G273" s="7" t="s">
        <v>1040</v>
      </c>
      <c r="H273" s="7"/>
      <c r="I273" s="7"/>
      <c r="J273" s="7" t="s">
        <v>1041</v>
      </c>
      <c r="K273" s="7" t="s">
        <v>24</v>
      </c>
      <c r="L273" s="7" t="s">
        <v>1042</v>
      </c>
      <c r="M273" s="109">
        <v>3081534920</v>
      </c>
      <c r="N273" s="111"/>
      <c r="O273" s="109">
        <v>7500000</v>
      </c>
      <c r="P273" s="110"/>
      <c r="Q273" s="109">
        <f t="shared" si="23"/>
        <v>3089034920</v>
      </c>
      <c r="R273" s="3">
        <v>3081534920</v>
      </c>
      <c r="S273" s="5"/>
      <c r="T273" s="72"/>
      <c r="U273" s="5"/>
      <c r="V273" s="5"/>
      <c r="W273" s="28"/>
      <c r="X273" s="28">
        <f t="shared" si="24"/>
        <v>0</v>
      </c>
      <c r="Y273" s="36">
        <f t="shared" si="25"/>
        <v>7500000</v>
      </c>
      <c r="Z273" s="28">
        <f t="shared" si="26"/>
        <v>0</v>
      </c>
      <c r="AA273" s="4"/>
      <c r="AB273" s="40"/>
      <c r="AC273" s="121">
        <f t="shared" si="27"/>
        <v>2</v>
      </c>
      <c r="AD273" s="121"/>
    </row>
    <row r="274" spans="1:30" ht="31.2" x14ac:dyDescent="0.3">
      <c r="A274" s="41" t="s">
        <v>46</v>
      </c>
      <c r="B274" s="6">
        <v>261</v>
      </c>
      <c r="C274" s="41" t="s">
        <v>1038</v>
      </c>
      <c r="D274" s="41" t="s">
        <v>1043</v>
      </c>
      <c r="E274" s="5"/>
      <c r="F274" s="4"/>
      <c r="G274" s="41" t="s">
        <v>1044</v>
      </c>
      <c r="H274" s="5"/>
      <c r="I274" s="5"/>
      <c r="J274" s="41" t="s">
        <v>1045</v>
      </c>
      <c r="K274" s="41" t="s">
        <v>24</v>
      </c>
      <c r="L274" s="41" t="s">
        <v>1046</v>
      </c>
      <c r="M274" s="113">
        <v>10000000</v>
      </c>
      <c r="N274" s="111"/>
      <c r="O274" s="113">
        <v>15000000</v>
      </c>
      <c r="P274" s="110"/>
      <c r="Q274" s="109">
        <f t="shared" si="23"/>
        <v>25000000</v>
      </c>
      <c r="R274" s="9">
        <v>10000000</v>
      </c>
      <c r="S274" s="5"/>
      <c r="T274" s="32">
        <v>15000000</v>
      </c>
      <c r="U274" s="5"/>
      <c r="V274" s="5"/>
      <c r="W274" s="28"/>
      <c r="X274" s="28">
        <f t="shared" si="24"/>
        <v>0</v>
      </c>
      <c r="Y274" s="28">
        <f t="shared" si="25"/>
        <v>0</v>
      </c>
      <c r="Z274" s="28">
        <f t="shared" si="26"/>
        <v>0</v>
      </c>
      <c r="AA274" s="4"/>
      <c r="AB274" s="4"/>
      <c r="AC274">
        <f t="shared" si="27"/>
        <v>2</v>
      </c>
    </row>
    <row r="275" spans="1:30" ht="31.2" x14ac:dyDescent="0.3">
      <c r="A275" s="7" t="s">
        <v>62</v>
      </c>
      <c r="B275" s="6">
        <v>262</v>
      </c>
      <c r="C275" s="7" t="s">
        <v>1038</v>
      </c>
      <c r="D275" s="7" t="s">
        <v>1047</v>
      </c>
      <c r="E275" s="5"/>
      <c r="F275" s="4"/>
      <c r="G275" s="7" t="s">
        <v>1048</v>
      </c>
      <c r="H275" s="5"/>
      <c r="I275" s="5"/>
      <c r="J275" s="7" t="s">
        <v>1049</v>
      </c>
      <c r="K275" s="7" t="s">
        <v>24</v>
      </c>
      <c r="L275" s="7" t="s">
        <v>1050</v>
      </c>
      <c r="M275" s="109">
        <v>3066157800</v>
      </c>
      <c r="N275" s="111"/>
      <c r="O275" s="109">
        <v>7500000</v>
      </c>
      <c r="P275" s="110"/>
      <c r="Q275" s="109">
        <f t="shared" si="23"/>
        <v>3073657800</v>
      </c>
      <c r="R275" s="3">
        <v>3066157800</v>
      </c>
      <c r="S275" s="5"/>
      <c r="T275" s="30">
        <v>7500000</v>
      </c>
      <c r="U275" s="5"/>
      <c r="V275" s="5"/>
      <c r="W275" s="28"/>
      <c r="X275" s="28">
        <f t="shared" si="24"/>
        <v>0</v>
      </c>
      <c r="Y275" s="28">
        <f t="shared" si="25"/>
        <v>0</v>
      </c>
      <c r="Z275" s="28">
        <f t="shared" si="26"/>
        <v>0</v>
      </c>
      <c r="AA275" s="4"/>
      <c r="AB275" s="4"/>
      <c r="AC275">
        <f t="shared" si="27"/>
        <v>2</v>
      </c>
    </row>
    <row r="276" spans="1:30" ht="31.2" x14ac:dyDescent="0.3">
      <c r="A276" s="7" t="s">
        <v>62</v>
      </c>
      <c r="B276" s="6">
        <v>263</v>
      </c>
      <c r="C276" s="7" t="s">
        <v>1038</v>
      </c>
      <c r="D276" s="7" t="s">
        <v>1051</v>
      </c>
      <c r="E276" s="5"/>
      <c r="F276" s="4"/>
      <c r="G276" s="7" t="s">
        <v>1052</v>
      </c>
      <c r="H276" s="5"/>
      <c r="I276" s="5"/>
      <c r="J276" s="7" t="s">
        <v>1053</v>
      </c>
      <c r="K276" s="7" t="s">
        <v>24</v>
      </c>
      <c r="L276" s="7" t="s">
        <v>660</v>
      </c>
      <c r="M276" s="109">
        <v>6936573600</v>
      </c>
      <c r="N276" s="111"/>
      <c r="O276" s="109">
        <v>7500000</v>
      </c>
      <c r="P276" s="110"/>
      <c r="Q276" s="109">
        <f t="shared" si="23"/>
        <v>6944073600</v>
      </c>
      <c r="R276" s="3">
        <v>6936573600</v>
      </c>
      <c r="S276" s="5"/>
      <c r="T276" s="31">
        <v>7500000</v>
      </c>
      <c r="U276" s="5"/>
      <c r="V276" s="5"/>
      <c r="W276" s="28"/>
      <c r="X276" s="28">
        <f t="shared" si="24"/>
        <v>0</v>
      </c>
      <c r="Y276" s="28">
        <f t="shared" si="25"/>
        <v>0</v>
      </c>
      <c r="Z276" s="28">
        <f t="shared" si="26"/>
        <v>0</v>
      </c>
      <c r="AA276" s="4"/>
      <c r="AB276" s="4"/>
      <c r="AC276">
        <f t="shared" si="27"/>
        <v>2</v>
      </c>
    </row>
    <row r="277" spans="1:30" ht="46.8" x14ac:dyDescent="0.3">
      <c r="A277" s="7" t="s">
        <v>62</v>
      </c>
      <c r="B277" s="6">
        <v>264</v>
      </c>
      <c r="C277" s="7" t="s">
        <v>1038</v>
      </c>
      <c r="D277" s="7" t="s">
        <v>1054</v>
      </c>
      <c r="E277" s="5"/>
      <c r="F277" s="4"/>
      <c r="G277" s="7" t="s">
        <v>1055</v>
      </c>
      <c r="H277" s="5"/>
      <c r="I277" s="5"/>
      <c r="J277" s="7" t="s">
        <v>1056</v>
      </c>
      <c r="K277" s="7" t="s">
        <v>24</v>
      </c>
      <c r="L277" s="7" t="s">
        <v>1057</v>
      </c>
      <c r="M277" s="109">
        <v>3906644000</v>
      </c>
      <c r="N277" s="111"/>
      <c r="O277" s="109">
        <v>7500000</v>
      </c>
      <c r="P277" s="110"/>
      <c r="Q277" s="109">
        <f t="shared" si="23"/>
        <v>3914144000</v>
      </c>
      <c r="R277" s="3">
        <v>3906644000</v>
      </c>
      <c r="S277" s="5"/>
      <c r="T277" s="30">
        <v>7500000</v>
      </c>
      <c r="U277" s="5"/>
      <c r="V277" s="5"/>
      <c r="W277" s="28"/>
      <c r="X277" s="28">
        <f t="shared" si="24"/>
        <v>0</v>
      </c>
      <c r="Y277" s="28">
        <f t="shared" si="25"/>
        <v>0</v>
      </c>
      <c r="Z277" s="28">
        <f t="shared" si="26"/>
        <v>0</v>
      </c>
      <c r="AA277" s="4"/>
      <c r="AB277" s="4"/>
      <c r="AC277">
        <f t="shared" si="27"/>
        <v>2</v>
      </c>
    </row>
    <row r="278" spans="1:30" ht="31.2" x14ac:dyDescent="0.3">
      <c r="A278" s="7" t="s">
        <v>62</v>
      </c>
      <c r="B278" s="6">
        <v>265</v>
      </c>
      <c r="C278" s="7" t="s">
        <v>1038</v>
      </c>
      <c r="D278" s="7" t="s">
        <v>1058</v>
      </c>
      <c r="E278" s="7" t="s">
        <v>389</v>
      </c>
      <c r="F278" s="4"/>
      <c r="G278" s="7" t="s">
        <v>1059</v>
      </c>
      <c r="H278" s="7" t="s">
        <v>1060</v>
      </c>
      <c r="I278" s="5"/>
      <c r="J278" s="7" t="s">
        <v>1061</v>
      </c>
      <c r="K278" s="7" t="s">
        <v>24</v>
      </c>
      <c r="L278" s="7" t="s">
        <v>1062</v>
      </c>
      <c r="M278" s="109">
        <v>1851531912</v>
      </c>
      <c r="N278" s="109">
        <v>220049280</v>
      </c>
      <c r="O278" s="109">
        <v>15000000</v>
      </c>
      <c r="P278" s="110"/>
      <c r="Q278" s="109">
        <f t="shared" si="23"/>
        <v>2086581192</v>
      </c>
      <c r="R278" s="3">
        <v>1851531912</v>
      </c>
      <c r="S278" s="3">
        <v>220049280</v>
      </c>
      <c r="T278" s="30">
        <v>15000000</v>
      </c>
      <c r="U278" s="5"/>
      <c r="V278" s="5"/>
      <c r="W278" s="28"/>
      <c r="X278" s="28">
        <f t="shared" si="24"/>
        <v>0</v>
      </c>
      <c r="Y278" s="28">
        <f t="shared" si="25"/>
        <v>0</v>
      </c>
      <c r="Z278" s="28">
        <f t="shared" si="26"/>
        <v>0</v>
      </c>
      <c r="AA278" s="4"/>
      <c r="AB278" s="4"/>
      <c r="AC278">
        <f t="shared" si="27"/>
        <v>2</v>
      </c>
    </row>
    <row r="279" spans="1:30" ht="31.2" x14ac:dyDescent="0.3">
      <c r="A279" s="7" t="s">
        <v>62</v>
      </c>
      <c r="B279" s="6">
        <v>266</v>
      </c>
      <c r="C279" s="7" t="s">
        <v>1038</v>
      </c>
      <c r="D279" s="7" t="s">
        <v>1063</v>
      </c>
      <c r="E279" s="7" t="s">
        <v>259</v>
      </c>
      <c r="F279" s="4"/>
      <c r="G279" s="7" t="s">
        <v>1064</v>
      </c>
      <c r="H279" s="7" t="s">
        <v>810</v>
      </c>
      <c r="I279" s="5"/>
      <c r="J279" s="7" t="s">
        <v>1065</v>
      </c>
      <c r="K279" s="7" t="s">
        <v>24</v>
      </c>
      <c r="L279" s="7" t="s">
        <v>1066</v>
      </c>
      <c r="M279" s="109">
        <v>4181618839</v>
      </c>
      <c r="N279" s="109">
        <v>765880262</v>
      </c>
      <c r="O279" s="113">
        <v>15000000</v>
      </c>
      <c r="P279" s="110"/>
      <c r="Q279" s="109">
        <f t="shared" si="23"/>
        <v>4962499101</v>
      </c>
      <c r="R279" s="3">
        <v>4181618839</v>
      </c>
      <c r="S279" s="3">
        <v>765880262</v>
      </c>
      <c r="T279" s="30">
        <v>15000000</v>
      </c>
      <c r="U279" s="5"/>
      <c r="V279" s="5"/>
      <c r="W279" s="28"/>
      <c r="X279" s="28">
        <f t="shared" si="24"/>
        <v>0</v>
      </c>
      <c r="Y279" s="28">
        <f t="shared" si="25"/>
        <v>0</v>
      </c>
      <c r="Z279" s="28">
        <f t="shared" si="26"/>
        <v>0</v>
      </c>
      <c r="AA279" s="4"/>
      <c r="AB279" s="4"/>
      <c r="AC279">
        <f t="shared" si="27"/>
        <v>2</v>
      </c>
    </row>
    <row r="280" spans="1:30" ht="31.2" x14ac:dyDescent="0.3">
      <c r="A280" s="7" t="s">
        <v>62</v>
      </c>
      <c r="B280" s="6">
        <v>267</v>
      </c>
      <c r="C280" s="7" t="s">
        <v>1038</v>
      </c>
      <c r="D280" s="7" t="s">
        <v>1067</v>
      </c>
      <c r="E280" s="7" t="s">
        <v>389</v>
      </c>
      <c r="F280" s="4"/>
      <c r="G280" s="7" t="s">
        <v>1068</v>
      </c>
      <c r="H280" s="7" t="s">
        <v>1069</v>
      </c>
      <c r="I280" s="5"/>
      <c r="J280" s="7" t="s">
        <v>1070</v>
      </c>
      <c r="K280" s="7" t="s">
        <v>24</v>
      </c>
      <c r="L280" s="7" t="s">
        <v>1071</v>
      </c>
      <c r="M280" s="109">
        <v>1794046036</v>
      </c>
      <c r="N280" s="109">
        <v>186223104</v>
      </c>
      <c r="O280" s="109">
        <v>15000000</v>
      </c>
      <c r="P280" s="110"/>
      <c r="Q280" s="109">
        <f t="shared" si="23"/>
        <v>1995269140</v>
      </c>
      <c r="R280" s="3">
        <v>1794046036</v>
      </c>
      <c r="S280" s="3">
        <v>186223104</v>
      </c>
      <c r="T280" s="30">
        <v>15000000</v>
      </c>
      <c r="U280" s="5"/>
      <c r="V280" s="5"/>
      <c r="W280" s="28"/>
      <c r="X280" s="28">
        <f t="shared" si="24"/>
        <v>0</v>
      </c>
      <c r="Y280" s="28">
        <f t="shared" si="25"/>
        <v>0</v>
      </c>
      <c r="Z280" s="28">
        <f t="shared" si="26"/>
        <v>0</v>
      </c>
      <c r="AA280" s="4"/>
      <c r="AB280" s="4"/>
      <c r="AC280">
        <f t="shared" si="27"/>
        <v>2</v>
      </c>
    </row>
    <row r="281" spans="1:30" ht="46.8" x14ac:dyDescent="0.3">
      <c r="A281" s="7" t="s">
        <v>62</v>
      </c>
      <c r="B281" s="6">
        <v>268</v>
      </c>
      <c r="C281" s="7" t="s">
        <v>1072</v>
      </c>
      <c r="D281" s="7" t="s">
        <v>1073</v>
      </c>
      <c r="E281" s="5"/>
      <c r="F281" s="40" t="s">
        <v>858</v>
      </c>
      <c r="G281" s="7" t="s">
        <v>1074</v>
      </c>
      <c r="H281" s="5"/>
      <c r="I281" s="5"/>
      <c r="J281" s="7" t="s">
        <v>1075</v>
      </c>
      <c r="K281" s="7" t="s">
        <v>24</v>
      </c>
      <c r="L281" s="7" t="s">
        <v>1076</v>
      </c>
      <c r="M281" s="109">
        <v>7086142428</v>
      </c>
      <c r="N281" s="111"/>
      <c r="O281" s="109">
        <v>7500000</v>
      </c>
      <c r="P281" s="112">
        <v>72000000</v>
      </c>
      <c r="Q281" s="109">
        <f t="shared" si="23"/>
        <v>7165642428</v>
      </c>
      <c r="R281" s="3">
        <v>7086142428</v>
      </c>
      <c r="S281" s="5"/>
      <c r="T281" s="30">
        <v>7500000</v>
      </c>
      <c r="U281" s="3">
        <v>72000000</v>
      </c>
      <c r="V281" s="5"/>
      <c r="W281" s="28"/>
      <c r="X281" s="28">
        <f t="shared" si="24"/>
        <v>0</v>
      </c>
      <c r="Y281" s="28">
        <f t="shared" si="25"/>
        <v>0</v>
      </c>
      <c r="Z281" s="28">
        <f t="shared" si="26"/>
        <v>0</v>
      </c>
      <c r="AA281" s="4"/>
      <c r="AB281" s="4"/>
      <c r="AC281">
        <f t="shared" si="27"/>
        <v>2</v>
      </c>
    </row>
    <row r="282" spans="1:30" ht="46.8" x14ac:dyDescent="0.3">
      <c r="A282" s="7" t="s">
        <v>53</v>
      </c>
      <c r="B282" s="6">
        <v>269</v>
      </c>
      <c r="C282" s="7" t="s">
        <v>1077</v>
      </c>
      <c r="D282" s="7" t="s">
        <v>1078</v>
      </c>
      <c r="E282" s="5"/>
      <c r="F282" s="4"/>
      <c r="G282" s="7" t="s">
        <v>1079</v>
      </c>
      <c r="H282" s="5"/>
      <c r="I282" s="5"/>
      <c r="J282" s="7" t="s">
        <v>1080</v>
      </c>
      <c r="K282" s="7" t="s">
        <v>24</v>
      </c>
      <c r="L282" s="7" t="s">
        <v>1081</v>
      </c>
      <c r="M282" s="109">
        <v>6717999850</v>
      </c>
      <c r="N282" s="111"/>
      <c r="O282" s="109">
        <v>15000000</v>
      </c>
      <c r="P282" s="110"/>
      <c r="Q282" s="109">
        <f t="shared" si="23"/>
        <v>6732999850</v>
      </c>
      <c r="R282" s="3">
        <v>6717999850</v>
      </c>
      <c r="S282" s="5"/>
      <c r="T282" s="30">
        <v>15000000</v>
      </c>
      <c r="U282" s="5"/>
      <c r="V282" s="5"/>
      <c r="W282" s="28"/>
      <c r="X282" s="28">
        <f t="shared" si="24"/>
        <v>0</v>
      </c>
      <c r="Y282" s="28">
        <f t="shared" si="25"/>
        <v>0</v>
      </c>
      <c r="Z282" s="28">
        <f t="shared" si="26"/>
        <v>0</v>
      </c>
      <c r="AA282" s="4"/>
      <c r="AB282" s="4"/>
      <c r="AC282">
        <f t="shared" si="27"/>
        <v>2</v>
      </c>
    </row>
    <row r="283" spans="1:30" ht="62.4" customHeight="1" x14ac:dyDescent="0.3">
      <c r="A283" s="7" t="s">
        <v>62</v>
      </c>
      <c r="B283" s="6">
        <v>270</v>
      </c>
      <c r="C283" s="7" t="s">
        <v>1077</v>
      </c>
      <c r="D283" s="7" t="s">
        <v>1082</v>
      </c>
      <c r="E283" s="7" t="s">
        <v>1084</v>
      </c>
      <c r="F283" s="40" t="s">
        <v>1083</v>
      </c>
      <c r="G283" s="7" t="s">
        <v>1085</v>
      </c>
      <c r="H283" s="7" t="s">
        <v>1086</v>
      </c>
      <c r="I283" s="5"/>
      <c r="J283" s="7" t="s">
        <v>1087</v>
      </c>
      <c r="K283" s="7" t="s">
        <v>24</v>
      </c>
      <c r="L283" s="7" t="s">
        <v>1088</v>
      </c>
      <c r="M283" s="109">
        <v>1418361365</v>
      </c>
      <c r="N283" s="109">
        <v>168075878</v>
      </c>
      <c r="O283" s="109">
        <v>15000000</v>
      </c>
      <c r="P283" s="112">
        <v>96000000</v>
      </c>
      <c r="Q283" s="109">
        <f t="shared" si="23"/>
        <v>1697437243</v>
      </c>
      <c r="R283" s="3">
        <v>1418361365</v>
      </c>
      <c r="S283" s="3">
        <v>168075878</v>
      </c>
      <c r="T283" s="30">
        <v>15000000</v>
      </c>
      <c r="U283" s="3">
        <v>96000000</v>
      </c>
      <c r="V283" s="5"/>
      <c r="W283" s="28"/>
      <c r="X283" s="28">
        <f t="shared" si="24"/>
        <v>0</v>
      </c>
      <c r="Y283" s="28">
        <f t="shared" si="25"/>
        <v>0</v>
      </c>
      <c r="Z283" s="28">
        <f t="shared" si="26"/>
        <v>0</v>
      </c>
      <c r="AA283" s="4"/>
      <c r="AB283" s="4"/>
      <c r="AC283">
        <f t="shared" si="27"/>
        <v>2</v>
      </c>
    </row>
    <row r="284" spans="1:30" ht="46.8" x14ac:dyDescent="0.3">
      <c r="A284" s="7" t="s">
        <v>62</v>
      </c>
      <c r="B284" s="6">
        <v>271</v>
      </c>
      <c r="C284" s="7" t="s">
        <v>1077</v>
      </c>
      <c r="D284" s="7" t="s">
        <v>1089</v>
      </c>
      <c r="E284" s="5"/>
      <c r="F284" s="4"/>
      <c r="G284" s="7" t="s">
        <v>1090</v>
      </c>
      <c r="H284" s="5"/>
      <c r="I284" s="5"/>
      <c r="J284" s="7" t="s">
        <v>1091</v>
      </c>
      <c r="K284" s="7" t="s">
        <v>24</v>
      </c>
      <c r="L284" s="7" t="s">
        <v>1092</v>
      </c>
      <c r="M284" s="109">
        <v>1566048680</v>
      </c>
      <c r="N284" s="111"/>
      <c r="O284" s="109">
        <v>7500000</v>
      </c>
      <c r="P284" s="110"/>
      <c r="Q284" s="109">
        <f t="shared" si="23"/>
        <v>1573548680</v>
      </c>
      <c r="R284" s="3">
        <v>1566048680</v>
      </c>
      <c r="S284" s="5"/>
      <c r="T284" s="30">
        <v>7500000</v>
      </c>
      <c r="U284" s="5"/>
      <c r="V284" s="5"/>
      <c r="W284" s="28"/>
      <c r="X284" s="28">
        <f t="shared" si="24"/>
        <v>0</v>
      </c>
      <c r="Y284" s="28">
        <f t="shared" si="25"/>
        <v>0</v>
      </c>
      <c r="Z284" s="28">
        <f t="shared" si="26"/>
        <v>0</v>
      </c>
      <c r="AA284" s="4"/>
      <c r="AB284" s="4"/>
      <c r="AC284">
        <f t="shared" si="27"/>
        <v>2</v>
      </c>
    </row>
    <row r="285" spans="1:30" ht="31.2" x14ac:dyDescent="0.3">
      <c r="A285" s="7" t="s">
        <v>62</v>
      </c>
      <c r="B285" s="6">
        <v>272</v>
      </c>
      <c r="C285" s="7" t="s">
        <v>1077</v>
      </c>
      <c r="D285" s="7" t="s">
        <v>1093</v>
      </c>
      <c r="E285" s="5"/>
      <c r="F285" s="4"/>
      <c r="G285" s="7" t="s">
        <v>1094</v>
      </c>
      <c r="H285" s="5"/>
      <c r="I285" s="5"/>
      <c r="J285" s="7" t="s">
        <v>1095</v>
      </c>
      <c r="K285" s="7" t="s">
        <v>24</v>
      </c>
      <c r="L285" s="7" t="s">
        <v>1096</v>
      </c>
      <c r="M285" s="109">
        <v>1991452760</v>
      </c>
      <c r="N285" s="111"/>
      <c r="O285" s="109">
        <v>7500000</v>
      </c>
      <c r="P285" s="110"/>
      <c r="Q285" s="109">
        <f t="shared" si="23"/>
        <v>1998952760</v>
      </c>
      <c r="R285" s="3">
        <v>1991452760</v>
      </c>
      <c r="S285" s="5"/>
      <c r="T285" s="30">
        <v>7500000</v>
      </c>
      <c r="U285" s="5"/>
      <c r="V285" s="5"/>
      <c r="W285" s="28"/>
      <c r="X285" s="28">
        <f t="shared" si="24"/>
        <v>0</v>
      </c>
      <c r="Y285" s="28">
        <f t="shared" si="25"/>
        <v>0</v>
      </c>
      <c r="Z285" s="28">
        <f t="shared" si="26"/>
        <v>0</v>
      </c>
      <c r="AA285" s="4"/>
      <c r="AB285" s="4"/>
      <c r="AC285">
        <f t="shared" si="27"/>
        <v>2</v>
      </c>
    </row>
    <row r="286" spans="1:30" ht="62.4" x14ac:dyDescent="0.3">
      <c r="A286" s="7" t="s">
        <v>62</v>
      </c>
      <c r="B286" s="6">
        <v>273</v>
      </c>
      <c r="C286" s="7" t="s">
        <v>1077</v>
      </c>
      <c r="D286" s="7" t="s">
        <v>1097</v>
      </c>
      <c r="E286" s="5"/>
      <c r="F286" s="4"/>
      <c r="G286" s="7" t="s">
        <v>1098</v>
      </c>
      <c r="H286" s="5"/>
      <c r="I286" s="5"/>
      <c r="J286" s="7" t="s">
        <v>1099</v>
      </c>
      <c r="K286" s="7" t="s">
        <v>24</v>
      </c>
      <c r="L286" s="7" t="s">
        <v>1100</v>
      </c>
      <c r="M286" s="109">
        <v>174451100</v>
      </c>
      <c r="N286" s="111"/>
      <c r="O286" s="109">
        <v>7500000</v>
      </c>
      <c r="P286" s="110"/>
      <c r="Q286" s="109">
        <f t="shared" si="23"/>
        <v>181951100</v>
      </c>
      <c r="R286" s="3">
        <v>174451100</v>
      </c>
      <c r="S286" s="5"/>
      <c r="T286" s="30">
        <v>7500000</v>
      </c>
      <c r="U286" s="5"/>
      <c r="V286" s="5"/>
      <c r="W286" s="28"/>
      <c r="X286" s="28">
        <f t="shared" si="24"/>
        <v>0</v>
      </c>
      <c r="Y286" s="28">
        <f t="shared" si="25"/>
        <v>0</v>
      </c>
      <c r="Z286" s="28">
        <f t="shared" si="26"/>
        <v>0</v>
      </c>
      <c r="AA286" s="4"/>
      <c r="AB286" s="4"/>
      <c r="AC286">
        <f t="shared" si="27"/>
        <v>2</v>
      </c>
    </row>
    <row r="287" spans="1:30" ht="46.8" x14ac:dyDescent="0.3">
      <c r="A287" s="7" t="s">
        <v>46</v>
      </c>
      <c r="B287" s="6">
        <v>274</v>
      </c>
      <c r="C287" s="7" t="s">
        <v>1077</v>
      </c>
      <c r="D287" s="7" t="s">
        <v>1101</v>
      </c>
      <c r="E287" s="5"/>
      <c r="F287" s="4"/>
      <c r="G287" s="7" t="s">
        <v>1102</v>
      </c>
      <c r="H287" s="5"/>
      <c r="I287" s="5"/>
      <c r="J287" s="7" t="s">
        <v>1103</v>
      </c>
      <c r="K287" s="7" t="s">
        <v>24</v>
      </c>
      <c r="L287" s="7" t="s">
        <v>1104</v>
      </c>
      <c r="M287" s="109">
        <v>2784971220</v>
      </c>
      <c r="N287" s="111"/>
      <c r="O287" s="109">
        <v>7500000</v>
      </c>
      <c r="P287" s="110"/>
      <c r="Q287" s="109">
        <f t="shared" si="23"/>
        <v>2792471220</v>
      </c>
      <c r="R287" s="3">
        <v>2784971220</v>
      </c>
      <c r="S287" s="5"/>
      <c r="T287" s="30">
        <v>7500000</v>
      </c>
      <c r="U287" s="5"/>
      <c r="V287" s="5"/>
      <c r="W287" s="28"/>
      <c r="X287" s="28">
        <f t="shared" si="24"/>
        <v>0</v>
      </c>
      <c r="Y287" s="28">
        <f t="shared" si="25"/>
        <v>0</v>
      </c>
      <c r="Z287" s="28">
        <f t="shared" si="26"/>
        <v>0</v>
      </c>
      <c r="AA287" s="4"/>
      <c r="AB287" s="4"/>
      <c r="AC287">
        <f t="shared" si="27"/>
        <v>2</v>
      </c>
    </row>
    <row r="288" spans="1:30" ht="46.8" x14ac:dyDescent="0.3">
      <c r="A288" s="7" t="s">
        <v>46</v>
      </c>
      <c r="B288" s="6">
        <v>275</v>
      </c>
      <c r="C288" s="7" t="s">
        <v>1077</v>
      </c>
      <c r="D288" s="7" t="s">
        <v>1105</v>
      </c>
      <c r="E288" s="7" t="s">
        <v>1106</v>
      </c>
      <c r="F288" s="4"/>
      <c r="G288" s="7" t="s">
        <v>1107</v>
      </c>
      <c r="H288" s="7" t="s">
        <v>1108</v>
      </c>
      <c r="I288" s="5"/>
      <c r="J288" s="7" t="s">
        <v>1109</v>
      </c>
      <c r="K288" s="7" t="s">
        <v>24</v>
      </c>
      <c r="L288" s="7" t="s">
        <v>1110</v>
      </c>
      <c r="M288" s="109">
        <v>4232294940</v>
      </c>
      <c r="N288" s="109">
        <v>752539900</v>
      </c>
      <c r="O288" s="109">
        <v>7500000</v>
      </c>
      <c r="P288" s="110"/>
      <c r="Q288" s="109">
        <f t="shared" si="23"/>
        <v>4992334840</v>
      </c>
      <c r="R288" s="3">
        <v>4232294940</v>
      </c>
      <c r="S288" s="3">
        <v>752539900</v>
      </c>
      <c r="T288" s="30">
        <v>7500000</v>
      </c>
      <c r="U288" s="5"/>
      <c r="V288" s="5"/>
      <c r="W288" s="28"/>
      <c r="X288" s="28">
        <f t="shared" si="24"/>
        <v>0</v>
      </c>
      <c r="Y288" s="28">
        <f t="shared" si="25"/>
        <v>0</v>
      </c>
      <c r="Z288" s="28">
        <f t="shared" si="26"/>
        <v>0</v>
      </c>
      <c r="AA288" s="4"/>
      <c r="AB288" s="4"/>
      <c r="AC288">
        <f t="shared" si="27"/>
        <v>2</v>
      </c>
    </row>
    <row r="289" spans="1:30" ht="46.8" x14ac:dyDescent="0.3">
      <c r="A289" s="7" t="s">
        <v>46</v>
      </c>
      <c r="B289" s="6">
        <v>276</v>
      </c>
      <c r="C289" s="7" t="s">
        <v>1077</v>
      </c>
      <c r="D289" s="7" t="s">
        <v>1111</v>
      </c>
      <c r="E289" s="5"/>
      <c r="F289" s="4"/>
      <c r="G289" s="7" t="s">
        <v>1112</v>
      </c>
      <c r="H289" s="5"/>
      <c r="I289" s="5"/>
      <c r="J289" s="7" t="s">
        <v>1113</v>
      </c>
      <c r="K289" s="7" t="s">
        <v>24</v>
      </c>
      <c r="L289" s="7" t="s">
        <v>1114</v>
      </c>
      <c r="M289" s="109">
        <v>3383352800</v>
      </c>
      <c r="N289" s="111"/>
      <c r="O289" s="109">
        <v>7500000</v>
      </c>
      <c r="P289" s="110"/>
      <c r="Q289" s="109">
        <f t="shared" si="23"/>
        <v>3390852800</v>
      </c>
      <c r="R289" s="3">
        <v>3383352800</v>
      </c>
      <c r="S289" s="5"/>
      <c r="T289" s="30">
        <v>7500000</v>
      </c>
      <c r="U289" s="5"/>
      <c r="V289" s="5"/>
      <c r="W289" s="28"/>
      <c r="X289" s="28">
        <f t="shared" si="24"/>
        <v>0</v>
      </c>
      <c r="Y289" s="28">
        <f t="shared" si="25"/>
        <v>0</v>
      </c>
      <c r="Z289" s="28">
        <f t="shared" si="26"/>
        <v>0</v>
      </c>
      <c r="AA289" s="4"/>
      <c r="AB289" s="4"/>
      <c r="AC289">
        <f t="shared" si="27"/>
        <v>2</v>
      </c>
    </row>
    <row r="290" spans="1:30" ht="109.2" customHeight="1" x14ac:dyDescent="0.3">
      <c r="A290" s="7" t="s">
        <v>62</v>
      </c>
      <c r="B290" s="6">
        <v>277</v>
      </c>
      <c r="C290" s="7" t="s">
        <v>1077</v>
      </c>
      <c r="D290" s="7" t="s">
        <v>1115</v>
      </c>
      <c r="E290" s="5"/>
      <c r="F290" s="40" t="s">
        <v>3878</v>
      </c>
      <c r="G290" s="7" t="s">
        <v>1117</v>
      </c>
      <c r="H290" s="5"/>
      <c r="I290" s="5"/>
      <c r="J290" s="7" t="s">
        <v>1118</v>
      </c>
      <c r="K290" s="7" t="s">
        <v>24</v>
      </c>
      <c r="L290" s="7" t="s">
        <v>1119</v>
      </c>
      <c r="M290" s="109">
        <v>4066100280</v>
      </c>
      <c r="N290" s="111"/>
      <c r="O290" s="109">
        <v>15000000</v>
      </c>
      <c r="P290" s="112">
        <v>144000000</v>
      </c>
      <c r="Q290" s="109">
        <f t="shared" si="23"/>
        <v>4225100280</v>
      </c>
      <c r="R290" s="3">
        <v>4066100280</v>
      </c>
      <c r="S290" s="5"/>
      <c r="T290" s="30">
        <v>15000000</v>
      </c>
      <c r="U290" s="10">
        <v>48000000</v>
      </c>
      <c r="V290" s="5"/>
      <c r="W290" s="28"/>
      <c r="X290" s="28">
        <f t="shared" si="24"/>
        <v>0</v>
      </c>
      <c r="Y290" s="28">
        <f t="shared" si="25"/>
        <v>0</v>
      </c>
      <c r="Z290" s="28">
        <f t="shared" si="26"/>
        <v>96000000</v>
      </c>
      <c r="AA290" s="4"/>
      <c r="AB290" s="4"/>
      <c r="AC290">
        <f t="shared" si="27"/>
        <v>2</v>
      </c>
    </row>
    <row r="291" spans="1:30" ht="46.8" customHeight="1" x14ac:dyDescent="0.3">
      <c r="A291" s="7" t="s">
        <v>18</v>
      </c>
      <c r="B291" s="6">
        <v>278</v>
      </c>
      <c r="C291" s="7" t="s">
        <v>1077</v>
      </c>
      <c r="D291" s="7" t="s">
        <v>1120</v>
      </c>
      <c r="E291" s="7"/>
      <c r="F291" s="4"/>
      <c r="G291" s="7" t="s">
        <v>1121</v>
      </c>
      <c r="H291" s="7"/>
      <c r="I291" s="7"/>
      <c r="J291" s="7" t="s">
        <v>1122</v>
      </c>
      <c r="K291" s="7" t="s">
        <v>24</v>
      </c>
      <c r="L291" s="7" t="s">
        <v>1123</v>
      </c>
      <c r="M291" s="109">
        <v>7304980</v>
      </c>
      <c r="N291" s="111"/>
      <c r="O291" s="109">
        <v>7500000</v>
      </c>
      <c r="P291" s="110"/>
      <c r="Q291" s="109">
        <f t="shared" si="23"/>
        <v>14804980</v>
      </c>
      <c r="R291" s="5"/>
      <c r="S291" s="5"/>
      <c r="T291" s="72"/>
      <c r="U291" s="5"/>
      <c r="V291" s="5"/>
      <c r="W291" s="28">
        <v>7304980</v>
      </c>
      <c r="X291" s="28">
        <f t="shared" si="24"/>
        <v>0</v>
      </c>
      <c r="Y291" s="36">
        <f t="shared" si="25"/>
        <v>7500000</v>
      </c>
      <c r="Z291" s="28">
        <f t="shared" si="26"/>
        <v>0</v>
      </c>
      <c r="AA291" s="10">
        <v>7304980</v>
      </c>
      <c r="AB291" s="40"/>
      <c r="AC291" s="121">
        <f t="shared" si="27"/>
        <v>2</v>
      </c>
      <c r="AD291" s="121"/>
    </row>
    <row r="292" spans="1:30" ht="62.4" customHeight="1" x14ac:dyDescent="0.3">
      <c r="A292" s="7" t="s">
        <v>53</v>
      </c>
      <c r="B292" s="6">
        <v>279</v>
      </c>
      <c r="C292" s="7" t="s">
        <v>1077</v>
      </c>
      <c r="D292" s="7" t="s">
        <v>1124</v>
      </c>
      <c r="E292" s="5"/>
      <c r="F292" s="40" t="s">
        <v>1125</v>
      </c>
      <c r="G292" s="7" t="s">
        <v>1126</v>
      </c>
      <c r="H292" s="5"/>
      <c r="I292" s="5"/>
      <c r="J292" s="7" t="s">
        <v>1127</v>
      </c>
      <c r="K292" s="7" t="s">
        <v>24</v>
      </c>
      <c r="L292" s="7" t="s">
        <v>1128</v>
      </c>
      <c r="M292" s="109">
        <v>10000000</v>
      </c>
      <c r="N292" s="111"/>
      <c r="O292" s="109">
        <v>15000000</v>
      </c>
      <c r="P292" s="112">
        <v>72000000</v>
      </c>
      <c r="Q292" s="109">
        <f t="shared" si="23"/>
        <v>97000000</v>
      </c>
      <c r="R292" s="36">
        <v>10000000</v>
      </c>
      <c r="S292" s="5"/>
      <c r="T292" s="31">
        <v>15000000</v>
      </c>
      <c r="U292" s="3">
        <v>72000000</v>
      </c>
      <c r="V292" s="5"/>
      <c r="W292" s="28"/>
      <c r="X292" s="28">
        <f t="shared" si="24"/>
        <v>0</v>
      </c>
      <c r="Y292" s="28">
        <f t="shared" si="25"/>
        <v>0</v>
      </c>
      <c r="Z292" s="28">
        <f t="shared" si="26"/>
        <v>0</v>
      </c>
      <c r="AA292" s="4"/>
      <c r="AB292" s="4"/>
      <c r="AC292">
        <f t="shared" si="27"/>
        <v>2</v>
      </c>
    </row>
    <row r="293" spans="1:30" ht="31.2" x14ac:dyDescent="0.3">
      <c r="A293" s="7" t="s">
        <v>62</v>
      </c>
      <c r="B293" s="6">
        <v>280</v>
      </c>
      <c r="C293" s="7" t="s">
        <v>1077</v>
      </c>
      <c r="D293" s="7" t="s">
        <v>1129</v>
      </c>
      <c r="E293" s="5"/>
      <c r="F293" s="4"/>
      <c r="G293" s="7" t="s">
        <v>1130</v>
      </c>
      <c r="H293" s="5"/>
      <c r="I293" s="5"/>
      <c r="J293" s="7" t="s">
        <v>1131</v>
      </c>
      <c r="K293" s="7" t="s">
        <v>24</v>
      </c>
      <c r="L293" s="7" t="s">
        <v>1132</v>
      </c>
      <c r="M293" s="109">
        <v>27024704</v>
      </c>
      <c r="N293" s="111"/>
      <c r="O293" s="109">
        <v>7500000</v>
      </c>
      <c r="P293" s="110"/>
      <c r="Q293" s="109">
        <f t="shared" si="23"/>
        <v>34524704</v>
      </c>
      <c r="R293" s="3">
        <v>27024704</v>
      </c>
      <c r="S293" s="5"/>
      <c r="T293" s="30">
        <v>7500000</v>
      </c>
      <c r="U293" s="5"/>
      <c r="V293" s="5"/>
      <c r="W293" s="28"/>
      <c r="X293" s="28">
        <f t="shared" si="24"/>
        <v>0</v>
      </c>
      <c r="Y293" s="28">
        <f t="shared" si="25"/>
        <v>0</v>
      </c>
      <c r="Z293" s="28">
        <f t="shared" si="26"/>
        <v>0</v>
      </c>
      <c r="AA293" s="4"/>
      <c r="AB293" s="4"/>
      <c r="AC293">
        <f t="shared" si="27"/>
        <v>2</v>
      </c>
    </row>
    <row r="294" spans="1:30" ht="31.2" x14ac:dyDescent="0.3">
      <c r="A294" s="7" t="s">
        <v>62</v>
      </c>
      <c r="B294" s="6">
        <v>281</v>
      </c>
      <c r="C294" s="7" t="s">
        <v>1077</v>
      </c>
      <c r="D294" s="7" t="s">
        <v>1133</v>
      </c>
      <c r="E294" s="5"/>
      <c r="F294" s="4"/>
      <c r="G294" s="7" t="s">
        <v>1134</v>
      </c>
      <c r="H294" s="5"/>
      <c r="I294" s="5"/>
      <c r="J294" s="7" t="s">
        <v>1135</v>
      </c>
      <c r="K294" s="7" t="s">
        <v>24</v>
      </c>
      <c r="L294" s="7" t="s">
        <v>1136</v>
      </c>
      <c r="M294" s="109">
        <v>8038952368</v>
      </c>
      <c r="N294" s="111"/>
      <c r="O294" s="109">
        <v>15000000</v>
      </c>
      <c r="P294" s="110"/>
      <c r="Q294" s="109">
        <f t="shared" si="23"/>
        <v>8053952368</v>
      </c>
      <c r="R294" s="3">
        <v>8038952368</v>
      </c>
      <c r="S294" s="5"/>
      <c r="T294" s="30">
        <v>15000000</v>
      </c>
      <c r="U294" s="5"/>
      <c r="V294" s="5"/>
      <c r="W294" s="28"/>
      <c r="X294" s="28">
        <f t="shared" si="24"/>
        <v>0</v>
      </c>
      <c r="Y294" s="28">
        <f t="shared" si="25"/>
        <v>0</v>
      </c>
      <c r="Z294" s="28">
        <f t="shared" si="26"/>
        <v>0</v>
      </c>
      <c r="AA294" s="4"/>
      <c r="AB294" s="4"/>
      <c r="AC294">
        <f t="shared" si="27"/>
        <v>2</v>
      </c>
    </row>
    <row r="295" spans="1:30" ht="46.8" x14ac:dyDescent="0.3">
      <c r="A295" s="7" t="s">
        <v>53</v>
      </c>
      <c r="B295" s="6">
        <v>282</v>
      </c>
      <c r="C295" s="7" t="s">
        <v>1077</v>
      </c>
      <c r="D295" s="7" t="s">
        <v>1137</v>
      </c>
      <c r="E295" s="7" t="s">
        <v>1138</v>
      </c>
      <c r="F295" s="40" t="s">
        <v>637</v>
      </c>
      <c r="G295" s="7" t="s">
        <v>1139</v>
      </c>
      <c r="H295" s="7" t="s">
        <v>1140</v>
      </c>
      <c r="I295" s="5"/>
      <c r="J295" s="7" t="s">
        <v>1141</v>
      </c>
      <c r="K295" s="7" t="s">
        <v>24</v>
      </c>
      <c r="L295" s="7" t="s">
        <v>1142</v>
      </c>
      <c r="M295" s="109">
        <v>1650170289</v>
      </c>
      <c r="N295" s="109">
        <v>191680384</v>
      </c>
      <c r="O295" s="109">
        <v>15000000</v>
      </c>
      <c r="P295" s="112">
        <v>24000000</v>
      </c>
      <c r="Q295" s="109">
        <f t="shared" si="23"/>
        <v>1880850673</v>
      </c>
      <c r="R295" s="3">
        <v>1650170289</v>
      </c>
      <c r="S295" s="3">
        <v>191680384</v>
      </c>
      <c r="T295" s="30">
        <v>15000000</v>
      </c>
      <c r="U295" s="3">
        <v>24000000</v>
      </c>
      <c r="V295" s="5"/>
      <c r="W295" s="28"/>
      <c r="X295" s="28">
        <f t="shared" si="24"/>
        <v>0</v>
      </c>
      <c r="Y295" s="28">
        <f t="shared" si="25"/>
        <v>0</v>
      </c>
      <c r="Z295" s="28">
        <f t="shared" si="26"/>
        <v>0</v>
      </c>
      <c r="AA295" s="4"/>
      <c r="AB295" s="4"/>
      <c r="AC295">
        <f t="shared" si="27"/>
        <v>2</v>
      </c>
    </row>
    <row r="296" spans="1:30" ht="62.4" customHeight="1" x14ac:dyDescent="0.3">
      <c r="A296" s="7" t="s">
        <v>53</v>
      </c>
      <c r="B296" s="6">
        <v>283</v>
      </c>
      <c r="C296" s="7" t="s">
        <v>1077</v>
      </c>
      <c r="D296" s="7" t="s">
        <v>1143</v>
      </c>
      <c r="E296" s="7" t="s">
        <v>1145</v>
      </c>
      <c r="F296" s="40" t="s">
        <v>1144</v>
      </c>
      <c r="G296" s="7" t="s">
        <v>1146</v>
      </c>
      <c r="H296" s="7" t="s">
        <v>1147</v>
      </c>
      <c r="I296" s="5"/>
      <c r="J296" s="7" t="s">
        <v>1148</v>
      </c>
      <c r="K296" s="7" t="s">
        <v>24</v>
      </c>
      <c r="L296" s="7" t="s">
        <v>1149</v>
      </c>
      <c r="M296" s="109">
        <v>2351212760</v>
      </c>
      <c r="N296" s="109">
        <v>533938698</v>
      </c>
      <c r="O296" s="109">
        <v>15000000</v>
      </c>
      <c r="P296" s="112">
        <v>90000000</v>
      </c>
      <c r="Q296" s="109">
        <f t="shared" si="23"/>
        <v>2990151458</v>
      </c>
      <c r="R296" s="3">
        <v>2351212760</v>
      </c>
      <c r="S296" s="3">
        <v>533938698</v>
      </c>
      <c r="T296" s="30">
        <v>15000000</v>
      </c>
      <c r="U296" s="3">
        <v>90000000</v>
      </c>
      <c r="V296" s="5"/>
      <c r="W296" s="28"/>
      <c r="X296" s="28">
        <f t="shared" si="24"/>
        <v>0</v>
      </c>
      <c r="Y296" s="28">
        <f t="shared" si="25"/>
        <v>0</v>
      </c>
      <c r="Z296" s="28">
        <f t="shared" si="26"/>
        <v>0</v>
      </c>
      <c r="AA296" s="4"/>
      <c r="AB296" s="4"/>
      <c r="AC296">
        <f t="shared" si="27"/>
        <v>2</v>
      </c>
    </row>
    <row r="297" spans="1:30" ht="46.8" x14ac:dyDescent="0.3">
      <c r="A297" s="7" t="s">
        <v>53</v>
      </c>
      <c r="B297" s="6">
        <v>284</v>
      </c>
      <c r="C297" s="7" t="s">
        <v>1077</v>
      </c>
      <c r="D297" s="7" t="s">
        <v>1150</v>
      </c>
      <c r="E297" s="7" t="s">
        <v>373</v>
      </c>
      <c r="F297" s="4"/>
      <c r="G297" s="7" t="s">
        <v>1151</v>
      </c>
      <c r="H297" s="7" t="s">
        <v>1152</v>
      </c>
      <c r="I297" s="5"/>
      <c r="J297" s="7" t="s">
        <v>1153</v>
      </c>
      <c r="K297" s="7" t="s">
        <v>24</v>
      </c>
      <c r="L297" s="7" t="s">
        <v>1154</v>
      </c>
      <c r="M297" s="109">
        <v>8920129828</v>
      </c>
      <c r="N297" s="109">
        <v>80307072</v>
      </c>
      <c r="O297" s="109">
        <v>15000000</v>
      </c>
      <c r="P297" s="110"/>
      <c r="Q297" s="109">
        <f t="shared" si="23"/>
        <v>9015436900</v>
      </c>
      <c r="R297" s="3">
        <v>8920129828</v>
      </c>
      <c r="S297" s="3">
        <v>80307072</v>
      </c>
      <c r="T297" s="30">
        <v>15000000</v>
      </c>
      <c r="U297" s="5"/>
      <c r="V297" s="5"/>
      <c r="W297" s="28"/>
      <c r="X297" s="28">
        <f t="shared" si="24"/>
        <v>0</v>
      </c>
      <c r="Y297" s="28">
        <f t="shared" si="25"/>
        <v>0</v>
      </c>
      <c r="Z297" s="28">
        <f t="shared" si="26"/>
        <v>0</v>
      </c>
      <c r="AA297" s="4"/>
      <c r="AB297" s="4"/>
      <c r="AC297">
        <f t="shared" si="27"/>
        <v>2</v>
      </c>
    </row>
    <row r="298" spans="1:30" ht="46.8" x14ac:dyDescent="0.3">
      <c r="A298" s="7" t="s">
        <v>46</v>
      </c>
      <c r="B298" s="6">
        <v>285</v>
      </c>
      <c r="C298" s="7" t="s">
        <v>1077</v>
      </c>
      <c r="D298" s="7" t="s">
        <v>1155</v>
      </c>
      <c r="E298" s="7" t="s">
        <v>1157</v>
      </c>
      <c r="F298" s="40" t="s">
        <v>1156</v>
      </c>
      <c r="G298" s="7" t="s">
        <v>1158</v>
      </c>
      <c r="H298" s="5"/>
      <c r="I298" s="5"/>
      <c r="J298" s="7" t="s">
        <v>1159</v>
      </c>
      <c r="K298" s="7" t="s">
        <v>24</v>
      </c>
      <c r="L298" s="7" t="s">
        <v>1160</v>
      </c>
      <c r="M298" s="109">
        <v>10000000</v>
      </c>
      <c r="N298" s="109">
        <v>549345285</v>
      </c>
      <c r="O298" s="109">
        <v>15000000</v>
      </c>
      <c r="P298" s="112">
        <v>30000000</v>
      </c>
      <c r="Q298" s="109">
        <f t="shared" si="23"/>
        <v>604345285</v>
      </c>
      <c r="R298" s="3">
        <v>10000000</v>
      </c>
      <c r="S298" s="3">
        <v>549345285</v>
      </c>
      <c r="T298" s="30">
        <v>15000000</v>
      </c>
      <c r="U298" s="3">
        <v>30000000</v>
      </c>
      <c r="V298" s="5"/>
      <c r="W298" s="28"/>
      <c r="X298" s="28">
        <f t="shared" si="24"/>
        <v>0</v>
      </c>
      <c r="Y298" s="28">
        <f t="shared" si="25"/>
        <v>0</v>
      </c>
      <c r="Z298" s="28">
        <f t="shared" si="26"/>
        <v>0</v>
      </c>
      <c r="AA298" s="4"/>
      <c r="AB298" s="4"/>
      <c r="AC298">
        <f t="shared" si="27"/>
        <v>2</v>
      </c>
    </row>
    <row r="299" spans="1:30" ht="46.8" x14ac:dyDescent="0.3">
      <c r="A299" s="7" t="s">
        <v>46</v>
      </c>
      <c r="B299" s="6">
        <v>286</v>
      </c>
      <c r="C299" s="7" t="s">
        <v>1077</v>
      </c>
      <c r="D299" s="7" t="s">
        <v>1161</v>
      </c>
      <c r="E299" s="7" t="s">
        <v>1163</v>
      </c>
      <c r="F299" s="40" t="s">
        <v>1162</v>
      </c>
      <c r="G299" s="7" t="s">
        <v>1164</v>
      </c>
      <c r="H299" s="7" t="s">
        <v>1165</v>
      </c>
      <c r="I299" s="5"/>
      <c r="J299" s="7" t="s">
        <v>1166</v>
      </c>
      <c r="K299" s="7" t="s">
        <v>24</v>
      </c>
      <c r="L299" s="7" t="s">
        <v>1167</v>
      </c>
      <c r="M299" s="109">
        <v>2353030170</v>
      </c>
      <c r="N299" s="109">
        <v>56355840</v>
      </c>
      <c r="O299" s="109">
        <v>15000000</v>
      </c>
      <c r="P299" s="112">
        <v>48000000</v>
      </c>
      <c r="Q299" s="109">
        <f t="shared" si="23"/>
        <v>2472386010</v>
      </c>
      <c r="R299" s="3">
        <v>2353030170</v>
      </c>
      <c r="S299" s="3">
        <v>56355840</v>
      </c>
      <c r="T299" s="30">
        <v>15000000</v>
      </c>
      <c r="U299" s="28">
        <v>48000000</v>
      </c>
      <c r="V299" s="5"/>
      <c r="W299" s="28"/>
      <c r="X299" s="28">
        <f t="shared" si="24"/>
        <v>0</v>
      </c>
      <c r="Y299" s="28">
        <f t="shared" si="25"/>
        <v>0</v>
      </c>
      <c r="Z299" s="28">
        <f t="shared" si="26"/>
        <v>0</v>
      </c>
      <c r="AA299" s="4"/>
      <c r="AB299" s="4"/>
      <c r="AC299">
        <f t="shared" si="27"/>
        <v>2</v>
      </c>
    </row>
    <row r="300" spans="1:30" ht="46.8" x14ac:dyDescent="0.3">
      <c r="A300" s="7" t="s">
        <v>46</v>
      </c>
      <c r="B300" s="6">
        <v>287</v>
      </c>
      <c r="C300" s="7" t="s">
        <v>1077</v>
      </c>
      <c r="D300" s="7" t="s">
        <v>1168</v>
      </c>
      <c r="E300" s="5"/>
      <c r="F300" s="4"/>
      <c r="G300" s="7" t="s">
        <v>1169</v>
      </c>
      <c r="H300" s="5"/>
      <c r="I300" s="5"/>
      <c r="J300" s="7" t="s">
        <v>1170</v>
      </c>
      <c r="K300" s="7" t="s">
        <v>24</v>
      </c>
      <c r="L300" s="7" t="s">
        <v>1171</v>
      </c>
      <c r="M300" s="109">
        <v>2858621000</v>
      </c>
      <c r="N300" s="111"/>
      <c r="O300" s="109">
        <v>15000000</v>
      </c>
      <c r="P300" s="110"/>
      <c r="Q300" s="109">
        <f t="shared" si="23"/>
        <v>2873621000</v>
      </c>
      <c r="R300" s="3">
        <v>2858621000</v>
      </c>
      <c r="S300" s="5"/>
      <c r="T300" s="30">
        <v>15000000</v>
      </c>
      <c r="U300" s="5"/>
      <c r="V300" s="5"/>
      <c r="W300" s="28"/>
      <c r="X300" s="28">
        <f t="shared" si="24"/>
        <v>0</v>
      </c>
      <c r="Y300" s="28">
        <f t="shared" si="25"/>
        <v>0</v>
      </c>
      <c r="Z300" s="28">
        <f t="shared" si="26"/>
        <v>0</v>
      </c>
      <c r="AA300" s="4"/>
      <c r="AB300" s="4"/>
      <c r="AC300">
        <f t="shared" si="27"/>
        <v>2</v>
      </c>
    </row>
    <row r="301" spans="1:30" ht="31.2" x14ac:dyDescent="0.3">
      <c r="A301" s="7" t="s">
        <v>53</v>
      </c>
      <c r="B301" s="6">
        <v>288</v>
      </c>
      <c r="C301" s="7" t="s">
        <v>1077</v>
      </c>
      <c r="D301" s="7" t="s">
        <v>1172</v>
      </c>
      <c r="E301" s="7"/>
      <c r="F301" s="4"/>
      <c r="G301" s="7" t="s">
        <v>1173</v>
      </c>
      <c r="H301" s="7"/>
      <c r="I301" s="7"/>
      <c r="J301" s="7" t="s">
        <v>1174</v>
      </c>
      <c r="K301" s="7" t="s">
        <v>24</v>
      </c>
      <c r="L301" s="7" t="s">
        <v>1175</v>
      </c>
      <c r="M301" s="109">
        <v>1613980644</v>
      </c>
      <c r="N301" s="111"/>
      <c r="O301" s="109">
        <v>7500000</v>
      </c>
      <c r="P301" s="110"/>
      <c r="Q301" s="109">
        <f t="shared" si="23"/>
        <v>1621480644</v>
      </c>
      <c r="R301" s="3">
        <v>1613980644</v>
      </c>
      <c r="S301" s="5"/>
      <c r="T301" s="72"/>
      <c r="U301" s="5"/>
      <c r="V301" s="5"/>
      <c r="W301" s="28"/>
      <c r="X301" s="28">
        <f t="shared" si="24"/>
        <v>0</v>
      </c>
      <c r="Y301" s="36">
        <f t="shared" si="25"/>
        <v>7500000</v>
      </c>
      <c r="Z301" s="28">
        <f t="shared" si="26"/>
        <v>0</v>
      </c>
      <c r="AA301" s="4"/>
      <c r="AB301" s="40"/>
      <c r="AC301" s="121">
        <f t="shared" si="27"/>
        <v>2</v>
      </c>
      <c r="AD301" s="121"/>
    </row>
    <row r="302" spans="1:30" ht="46.8" x14ac:dyDescent="0.3">
      <c r="A302" s="7" t="s">
        <v>18</v>
      </c>
      <c r="B302" s="6">
        <v>289</v>
      </c>
      <c r="C302" s="7" t="s">
        <v>1077</v>
      </c>
      <c r="D302" s="7" t="s">
        <v>1176</v>
      </c>
      <c r="E302" s="7"/>
      <c r="F302" s="40" t="s">
        <v>1177</v>
      </c>
      <c r="G302" s="7" t="s">
        <v>1178</v>
      </c>
      <c r="H302" s="7"/>
      <c r="I302" s="7"/>
      <c r="J302" s="7" t="s">
        <v>1179</v>
      </c>
      <c r="K302" s="7" t="s">
        <v>24</v>
      </c>
      <c r="L302" s="7" t="s">
        <v>1180</v>
      </c>
      <c r="M302" s="109">
        <v>20692684800</v>
      </c>
      <c r="N302" s="111"/>
      <c r="O302" s="109">
        <v>15000000</v>
      </c>
      <c r="P302" s="112">
        <v>24000000</v>
      </c>
      <c r="Q302" s="109">
        <f t="shared" si="23"/>
        <v>20731684800</v>
      </c>
      <c r="R302" s="3">
        <v>20692684800</v>
      </c>
      <c r="S302" s="5"/>
      <c r="T302" s="72"/>
      <c r="U302" s="5"/>
      <c r="V302" s="5"/>
      <c r="W302" s="28"/>
      <c r="X302" s="28">
        <f t="shared" si="24"/>
        <v>0</v>
      </c>
      <c r="Y302" s="36">
        <f t="shared" si="25"/>
        <v>15000000</v>
      </c>
      <c r="Z302" s="28">
        <f t="shared" si="26"/>
        <v>24000000</v>
      </c>
      <c r="AA302" s="4"/>
      <c r="AB302" s="40"/>
      <c r="AC302" s="121">
        <f t="shared" si="27"/>
        <v>2</v>
      </c>
      <c r="AD302" s="121"/>
    </row>
    <row r="303" spans="1:30" ht="31.2" x14ac:dyDescent="0.3">
      <c r="A303" s="7" t="s">
        <v>53</v>
      </c>
      <c r="B303" s="6">
        <v>290</v>
      </c>
      <c r="C303" s="7" t="s">
        <v>1077</v>
      </c>
      <c r="D303" s="7" t="s">
        <v>1181</v>
      </c>
      <c r="E303" s="7"/>
      <c r="F303" s="4"/>
      <c r="G303" s="7" t="s">
        <v>1182</v>
      </c>
      <c r="H303" s="7"/>
      <c r="I303" s="7"/>
      <c r="J303" s="7" t="s">
        <v>1183</v>
      </c>
      <c r="K303" s="7" t="s">
        <v>24</v>
      </c>
      <c r="L303" s="7" t="s">
        <v>1184</v>
      </c>
      <c r="M303" s="109">
        <v>7632590744</v>
      </c>
      <c r="N303" s="111"/>
      <c r="O303" s="109">
        <v>15000000</v>
      </c>
      <c r="P303" s="110"/>
      <c r="Q303" s="109">
        <f t="shared" si="23"/>
        <v>7647590744</v>
      </c>
      <c r="R303" s="3">
        <v>7632590744</v>
      </c>
      <c r="S303" s="5"/>
      <c r="T303" s="72"/>
      <c r="U303" s="5"/>
      <c r="V303" s="5"/>
      <c r="W303" s="28"/>
      <c r="X303" s="28">
        <f t="shared" si="24"/>
        <v>0</v>
      </c>
      <c r="Y303" s="36">
        <f t="shared" si="25"/>
        <v>15000000</v>
      </c>
      <c r="Z303" s="28">
        <f t="shared" si="26"/>
        <v>0</v>
      </c>
      <c r="AA303" s="4"/>
      <c r="AB303" s="40"/>
      <c r="AC303" s="121">
        <f t="shared" si="27"/>
        <v>2</v>
      </c>
      <c r="AD303" s="121"/>
    </row>
    <row r="304" spans="1:30" ht="46.8" x14ac:dyDescent="0.3">
      <c r="A304" s="7" t="s">
        <v>18</v>
      </c>
      <c r="B304" s="6">
        <v>291</v>
      </c>
      <c r="C304" s="7" t="s">
        <v>1077</v>
      </c>
      <c r="D304" s="7" t="s">
        <v>1185</v>
      </c>
      <c r="E304" s="7" t="s">
        <v>914</v>
      </c>
      <c r="F304" s="4"/>
      <c r="G304" s="7" t="s">
        <v>1186</v>
      </c>
      <c r="H304" s="5"/>
      <c r="I304" s="5"/>
      <c r="J304" s="7" t="s">
        <v>1187</v>
      </c>
      <c r="K304" s="7" t="s">
        <v>24</v>
      </c>
      <c r="L304" s="7" t="s">
        <v>1188</v>
      </c>
      <c r="M304" s="109">
        <v>1875268327</v>
      </c>
      <c r="N304" s="109">
        <v>352224000</v>
      </c>
      <c r="O304" s="109">
        <v>15000000</v>
      </c>
      <c r="P304" s="110"/>
      <c r="Q304" s="109">
        <f t="shared" si="23"/>
        <v>2242492327</v>
      </c>
      <c r="R304" s="3">
        <v>1875268327</v>
      </c>
      <c r="S304" s="3">
        <v>352224000</v>
      </c>
      <c r="T304" s="30">
        <v>15000000</v>
      </c>
      <c r="U304" s="5"/>
      <c r="V304" s="5"/>
      <c r="W304" s="28"/>
      <c r="X304" s="28">
        <f t="shared" si="24"/>
        <v>0</v>
      </c>
      <c r="Y304" s="28">
        <f t="shared" si="25"/>
        <v>0</v>
      </c>
      <c r="Z304" s="28">
        <f t="shared" si="26"/>
        <v>0</v>
      </c>
      <c r="AA304" s="4"/>
      <c r="AB304" s="4"/>
      <c r="AC304">
        <f t="shared" si="27"/>
        <v>2</v>
      </c>
    </row>
    <row r="305" spans="1:30" ht="46.8" x14ac:dyDescent="0.3">
      <c r="A305" s="7" t="s">
        <v>18</v>
      </c>
      <c r="B305" s="6">
        <v>292</v>
      </c>
      <c r="C305" s="7" t="s">
        <v>1077</v>
      </c>
      <c r="D305" s="7" t="s">
        <v>1189</v>
      </c>
      <c r="E305" s="7" t="s">
        <v>764</v>
      </c>
      <c r="F305" s="4"/>
      <c r="G305" s="7" t="s">
        <v>1190</v>
      </c>
      <c r="H305" s="7" t="s">
        <v>1191</v>
      </c>
      <c r="I305" s="5"/>
      <c r="J305" s="7" t="s">
        <v>1192</v>
      </c>
      <c r="K305" s="7" t="s">
        <v>24</v>
      </c>
      <c r="L305" s="7" t="s">
        <v>1193</v>
      </c>
      <c r="M305" s="109">
        <v>1054607500</v>
      </c>
      <c r="N305" s="109">
        <v>395612000</v>
      </c>
      <c r="O305" s="109">
        <v>7500000</v>
      </c>
      <c r="P305" s="110"/>
      <c r="Q305" s="109">
        <f t="shared" si="23"/>
        <v>1457719500</v>
      </c>
      <c r="R305" s="3">
        <v>1054607500</v>
      </c>
      <c r="S305" s="3">
        <v>395612000</v>
      </c>
      <c r="T305" s="30">
        <v>7500000</v>
      </c>
      <c r="U305" s="5"/>
      <c r="V305" s="5"/>
      <c r="W305" s="28"/>
      <c r="X305" s="28">
        <f t="shared" si="24"/>
        <v>0</v>
      </c>
      <c r="Y305" s="28">
        <f t="shared" si="25"/>
        <v>0</v>
      </c>
      <c r="Z305" s="28">
        <f t="shared" si="26"/>
        <v>0</v>
      </c>
      <c r="AA305" s="4"/>
      <c r="AB305" s="4"/>
      <c r="AC305">
        <f t="shared" si="27"/>
        <v>2</v>
      </c>
    </row>
    <row r="306" spans="1:30" ht="31.2" x14ac:dyDescent="0.3">
      <c r="A306" s="7" t="s">
        <v>62</v>
      </c>
      <c r="B306" s="6">
        <v>293</v>
      </c>
      <c r="C306" s="7" t="s">
        <v>1077</v>
      </c>
      <c r="D306" s="7" t="s">
        <v>1194</v>
      </c>
      <c r="E306" s="5"/>
      <c r="F306" s="4"/>
      <c r="G306" s="7" t="s">
        <v>1195</v>
      </c>
      <c r="H306" s="5"/>
      <c r="I306" s="5"/>
      <c r="J306" s="7" t="s">
        <v>1196</v>
      </c>
      <c r="K306" s="7" t="s">
        <v>24</v>
      </c>
      <c r="L306" s="7" t="s">
        <v>1197</v>
      </c>
      <c r="M306" s="109">
        <v>4707710338</v>
      </c>
      <c r="N306" s="111"/>
      <c r="O306" s="109">
        <v>15000000</v>
      </c>
      <c r="P306" s="110"/>
      <c r="Q306" s="109">
        <f t="shared" si="23"/>
        <v>4722710338</v>
      </c>
      <c r="R306" s="3">
        <v>4707710338</v>
      </c>
      <c r="S306" s="5"/>
      <c r="T306" s="30">
        <v>15000000</v>
      </c>
      <c r="U306" s="5"/>
      <c r="V306" s="5"/>
      <c r="W306" s="28"/>
      <c r="X306" s="28">
        <f t="shared" si="24"/>
        <v>0</v>
      </c>
      <c r="Y306" s="28">
        <f t="shared" si="25"/>
        <v>0</v>
      </c>
      <c r="Z306" s="28">
        <f t="shared" si="26"/>
        <v>0</v>
      </c>
      <c r="AA306" s="4"/>
      <c r="AB306" s="4"/>
      <c r="AC306">
        <f t="shared" si="27"/>
        <v>2</v>
      </c>
    </row>
    <row r="307" spans="1:30" ht="31.2" x14ac:dyDescent="0.3">
      <c r="A307" s="7" t="s">
        <v>18</v>
      </c>
      <c r="B307" s="6">
        <v>294</v>
      </c>
      <c r="C307" s="7" t="s">
        <v>1077</v>
      </c>
      <c r="D307" s="7" t="s">
        <v>1198</v>
      </c>
      <c r="E307" s="5"/>
      <c r="F307" s="4"/>
      <c r="G307" s="7" t="s">
        <v>1199</v>
      </c>
      <c r="H307" s="5"/>
      <c r="I307" s="5"/>
      <c r="J307" s="7" t="s">
        <v>1200</v>
      </c>
      <c r="K307" s="7" t="s">
        <v>24</v>
      </c>
      <c r="L307" s="7" t="s">
        <v>1201</v>
      </c>
      <c r="M307" s="109">
        <v>11923902764</v>
      </c>
      <c r="N307" s="111"/>
      <c r="O307" s="109">
        <v>15000000</v>
      </c>
      <c r="P307" s="110"/>
      <c r="Q307" s="109">
        <f t="shared" si="23"/>
        <v>11938902764</v>
      </c>
      <c r="R307" s="3">
        <v>11923902764</v>
      </c>
      <c r="S307" s="5"/>
      <c r="T307" s="30">
        <v>15000000</v>
      </c>
      <c r="U307" s="5"/>
      <c r="V307" s="5"/>
      <c r="W307" s="28"/>
      <c r="X307" s="28">
        <f t="shared" si="24"/>
        <v>0</v>
      </c>
      <c r="Y307" s="28">
        <f t="shared" si="25"/>
        <v>0</v>
      </c>
      <c r="Z307" s="28">
        <f t="shared" si="26"/>
        <v>0</v>
      </c>
      <c r="AA307" s="4"/>
      <c r="AB307" s="4"/>
      <c r="AC307">
        <f t="shared" si="27"/>
        <v>2</v>
      </c>
    </row>
    <row r="308" spans="1:30" ht="78" customHeight="1" x14ac:dyDescent="0.3">
      <c r="A308" s="7" t="s">
        <v>18</v>
      </c>
      <c r="B308" s="6">
        <v>295</v>
      </c>
      <c r="C308" s="7" t="s">
        <v>1077</v>
      </c>
      <c r="D308" s="7" t="s">
        <v>1202</v>
      </c>
      <c r="E308" s="5"/>
      <c r="F308" s="40" t="s">
        <v>1203</v>
      </c>
      <c r="G308" s="7" t="s">
        <v>1204</v>
      </c>
      <c r="H308" s="5"/>
      <c r="I308" s="5"/>
      <c r="J308" s="7" t="s">
        <v>1205</v>
      </c>
      <c r="K308" s="7" t="s">
        <v>24</v>
      </c>
      <c r="L308" s="7" t="s">
        <v>1206</v>
      </c>
      <c r="M308" s="109">
        <v>10000000</v>
      </c>
      <c r="N308" s="111"/>
      <c r="O308" s="109">
        <v>15000000</v>
      </c>
      <c r="P308" s="112">
        <v>90000000</v>
      </c>
      <c r="Q308" s="109">
        <f t="shared" si="23"/>
        <v>115000000</v>
      </c>
      <c r="R308" s="3">
        <v>10000000</v>
      </c>
      <c r="S308" s="5"/>
      <c r="T308" s="30">
        <v>15000000</v>
      </c>
      <c r="U308" s="3">
        <v>90000000</v>
      </c>
      <c r="V308" s="5"/>
      <c r="W308" s="28"/>
      <c r="X308" s="28">
        <f t="shared" si="24"/>
        <v>0</v>
      </c>
      <c r="Y308" s="28">
        <f t="shared" si="25"/>
        <v>0</v>
      </c>
      <c r="Z308" s="28">
        <f t="shared" si="26"/>
        <v>0</v>
      </c>
      <c r="AA308" s="4"/>
      <c r="AB308" s="4"/>
      <c r="AC308">
        <f t="shared" si="27"/>
        <v>2</v>
      </c>
    </row>
    <row r="309" spans="1:30" ht="46.8" x14ac:dyDescent="0.3">
      <c r="A309" s="7" t="s">
        <v>62</v>
      </c>
      <c r="B309" s="6">
        <v>296</v>
      </c>
      <c r="C309" s="7" t="s">
        <v>1077</v>
      </c>
      <c r="D309" s="7" t="s">
        <v>1207</v>
      </c>
      <c r="E309" s="7" t="s">
        <v>1209</v>
      </c>
      <c r="F309" s="40" t="s">
        <v>1208</v>
      </c>
      <c r="G309" s="7" t="s">
        <v>1210</v>
      </c>
      <c r="H309" s="7" t="s">
        <v>1211</v>
      </c>
      <c r="I309" s="5"/>
      <c r="J309" s="7" t="s">
        <v>1212</v>
      </c>
      <c r="K309" s="7" t="s">
        <v>24</v>
      </c>
      <c r="L309" s="7" t="s">
        <v>1213</v>
      </c>
      <c r="M309" s="109">
        <v>980624620</v>
      </c>
      <c r="N309" s="109">
        <v>7988680</v>
      </c>
      <c r="O309" s="109">
        <v>15000000</v>
      </c>
      <c r="P309" s="112">
        <v>24000000</v>
      </c>
      <c r="Q309" s="109">
        <f t="shared" si="23"/>
        <v>1027613300</v>
      </c>
      <c r="R309" s="3">
        <v>980624620</v>
      </c>
      <c r="S309" s="3">
        <v>7988680</v>
      </c>
      <c r="T309" s="30">
        <v>15000000</v>
      </c>
      <c r="U309" s="3">
        <v>24000000</v>
      </c>
      <c r="V309" s="5"/>
      <c r="W309" s="28"/>
      <c r="X309" s="28">
        <f t="shared" si="24"/>
        <v>0</v>
      </c>
      <c r="Y309" s="28">
        <f t="shared" si="25"/>
        <v>0</v>
      </c>
      <c r="Z309" s="28">
        <f t="shared" si="26"/>
        <v>0</v>
      </c>
      <c r="AA309" s="4"/>
      <c r="AB309" s="4"/>
      <c r="AC309">
        <f t="shared" si="27"/>
        <v>2</v>
      </c>
    </row>
    <row r="310" spans="1:30" ht="46.8" x14ac:dyDescent="0.3">
      <c r="A310" s="7" t="s">
        <v>46</v>
      </c>
      <c r="B310" s="6">
        <v>297</v>
      </c>
      <c r="C310" s="7" t="s">
        <v>1077</v>
      </c>
      <c r="D310" s="7" t="s">
        <v>1214</v>
      </c>
      <c r="E310" s="7"/>
      <c r="F310" s="4"/>
      <c r="G310" s="7" t="s">
        <v>1215</v>
      </c>
      <c r="H310" s="7"/>
      <c r="I310" s="7"/>
      <c r="J310" s="7" t="s">
        <v>1216</v>
      </c>
      <c r="K310" s="7" t="s">
        <v>24</v>
      </c>
      <c r="L310" s="7" t="s">
        <v>1217</v>
      </c>
      <c r="M310" s="109">
        <v>0</v>
      </c>
      <c r="N310" s="111"/>
      <c r="O310" s="109">
        <v>7500000</v>
      </c>
      <c r="P310" s="110"/>
      <c r="Q310" s="109">
        <f t="shared" si="23"/>
        <v>7500000</v>
      </c>
      <c r="R310" s="6">
        <v>0</v>
      </c>
      <c r="S310" s="5"/>
      <c r="T310" s="72"/>
      <c r="U310" s="5"/>
      <c r="V310" s="5"/>
      <c r="W310" s="28"/>
      <c r="X310" s="28">
        <f t="shared" si="24"/>
        <v>0</v>
      </c>
      <c r="Y310" s="36">
        <f t="shared" si="25"/>
        <v>7500000</v>
      </c>
      <c r="Z310" s="28">
        <f t="shared" si="26"/>
        <v>0</v>
      </c>
      <c r="AA310" s="4"/>
      <c r="AB310" s="40"/>
      <c r="AC310" s="121">
        <f t="shared" si="27"/>
        <v>2</v>
      </c>
      <c r="AD310" s="121"/>
    </row>
    <row r="311" spans="1:30" ht="62.4" x14ac:dyDescent="0.3">
      <c r="A311" s="7" t="s">
        <v>46</v>
      </c>
      <c r="B311" s="6">
        <v>298</v>
      </c>
      <c r="C311" s="7" t="s">
        <v>1077</v>
      </c>
      <c r="D311" s="7" t="s">
        <v>1218</v>
      </c>
      <c r="E311" s="7" t="s">
        <v>1219</v>
      </c>
      <c r="F311" s="4"/>
      <c r="G311" s="7" t="s">
        <v>1220</v>
      </c>
      <c r="H311" s="7" t="s">
        <v>1221</v>
      </c>
      <c r="I311" s="5"/>
      <c r="J311" s="7" t="s">
        <v>1222</v>
      </c>
      <c r="K311" s="7" t="s">
        <v>24</v>
      </c>
      <c r="L311" s="7" t="s">
        <v>1223</v>
      </c>
      <c r="M311" s="109">
        <v>2444325600</v>
      </c>
      <c r="N311" s="109">
        <v>117744973</v>
      </c>
      <c r="O311" s="109">
        <v>7500000</v>
      </c>
      <c r="P311" s="110"/>
      <c r="Q311" s="109">
        <f t="shared" si="23"/>
        <v>2569570573</v>
      </c>
      <c r="R311" s="3">
        <v>2444325600</v>
      </c>
      <c r="S311" s="3">
        <v>117744973</v>
      </c>
      <c r="T311" s="30">
        <v>7500000</v>
      </c>
      <c r="U311" s="5"/>
      <c r="V311" s="5"/>
      <c r="W311" s="28"/>
      <c r="X311" s="28">
        <f t="shared" si="24"/>
        <v>0</v>
      </c>
      <c r="Y311" s="28">
        <f t="shared" si="25"/>
        <v>0</v>
      </c>
      <c r="Z311" s="28">
        <f t="shared" si="26"/>
        <v>0</v>
      </c>
      <c r="AA311" s="4"/>
      <c r="AB311" s="4"/>
      <c r="AC311">
        <f t="shared" si="27"/>
        <v>2</v>
      </c>
    </row>
    <row r="312" spans="1:30" ht="46.8" x14ac:dyDescent="0.3">
      <c r="A312" s="7" t="s">
        <v>53</v>
      </c>
      <c r="B312" s="6">
        <v>299</v>
      </c>
      <c r="C312" s="7" t="s">
        <v>1077</v>
      </c>
      <c r="D312" s="7" t="s">
        <v>1224</v>
      </c>
      <c r="E312" s="5"/>
      <c r="F312" s="4"/>
      <c r="G312" s="7" t="s">
        <v>1225</v>
      </c>
      <c r="H312" s="5"/>
      <c r="I312" s="5"/>
      <c r="J312" s="7" t="s">
        <v>1226</v>
      </c>
      <c r="K312" s="7" t="s">
        <v>24</v>
      </c>
      <c r="L312" s="7" t="s">
        <v>1227</v>
      </c>
      <c r="M312" s="109">
        <v>5876123796</v>
      </c>
      <c r="N312" s="111"/>
      <c r="O312" s="109">
        <v>7500000</v>
      </c>
      <c r="P312" s="110"/>
      <c r="Q312" s="109">
        <f t="shared" si="23"/>
        <v>5883623796</v>
      </c>
      <c r="R312" s="3">
        <v>5876123796</v>
      </c>
      <c r="S312" s="5"/>
      <c r="T312" s="30">
        <v>7500000</v>
      </c>
      <c r="U312" s="5"/>
      <c r="V312" s="5"/>
      <c r="W312" s="28"/>
      <c r="X312" s="28">
        <f t="shared" si="24"/>
        <v>0</v>
      </c>
      <c r="Y312" s="28">
        <f t="shared" si="25"/>
        <v>0</v>
      </c>
      <c r="Z312" s="28">
        <f t="shared" si="26"/>
        <v>0</v>
      </c>
      <c r="AA312" s="4"/>
      <c r="AB312" s="4"/>
      <c r="AC312">
        <f t="shared" si="27"/>
        <v>2</v>
      </c>
    </row>
    <row r="313" spans="1:30" ht="46.8" x14ac:dyDescent="0.3">
      <c r="A313" s="7" t="s">
        <v>53</v>
      </c>
      <c r="B313" s="6">
        <v>300</v>
      </c>
      <c r="C313" s="7" t="s">
        <v>1077</v>
      </c>
      <c r="D313" s="7" t="s">
        <v>1228</v>
      </c>
      <c r="E313" s="5"/>
      <c r="F313" s="4"/>
      <c r="G313" s="7" t="s">
        <v>1229</v>
      </c>
      <c r="H313" s="5"/>
      <c r="I313" s="5"/>
      <c r="J313" s="7" t="s">
        <v>1230</v>
      </c>
      <c r="K313" s="7" t="s">
        <v>24</v>
      </c>
      <c r="L313" s="7" t="s">
        <v>1231</v>
      </c>
      <c r="M313" s="109">
        <v>2259157980</v>
      </c>
      <c r="N313" s="111"/>
      <c r="O313" s="109">
        <v>15000000</v>
      </c>
      <c r="P313" s="110"/>
      <c r="Q313" s="109">
        <f t="shared" si="23"/>
        <v>2274157980</v>
      </c>
      <c r="R313" s="3">
        <v>2259157980</v>
      </c>
      <c r="S313" s="5"/>
      <c r="T313" s="30">
        <v>15000000</v>
      </c>
      <c r="U313" s="5"/>
      <c r="V313" s="5"/>
      <c r="W313" s="28"/>
      <c r="X313" s="28">
        <f t="shared" si="24"/>
        <v>0</v>
      </c>
      <c r="Y313" s="28">
        <f t="shared" si="25"/>
        <v>0</v>
      </c>
      <c r="Z313" s="28">
        <f t="shared" si="26"/>
        <v>0</v>
      </c>
      <c r="AA313" s="4"/>
      <c r="AB313" s="4"/>
      <c r="AC313">
        <f t="shared" si="27"/>
        <v>2</v>
      </c>
    </row>
    <row r="314" spans="1:30" ht="62.4" x14ac:dyDescent="0.3">
      <c r="A314" s="7" t="s">
        <v>62</v>
      </c>
      <c r="B314" s="6">
        <v>301</v>
      </c>
      <c r="C314" s="7" t="s">
        <v>1077</v>
      </c>
      <c r="D314" s="7" t="s">
        <v>1232</v>
      </c>
      <c r="E314" s="7" t="s">
        <v>1234</v>
      </c>
      <c r="F314" s="40" t="s">
        <v>1233</v>
      </c>
      <c r="G314" s="7" t="s">
        <v>1235</v>
      </c>
      <c r="H314" s="7" t="s">
        <v>1236</v>
      </c>
      <c r="I314" s="5"/>
      <c r="J314" s="7" t="s">
        <v>1237</v>
      </c>
      <c r="K314" s="7" t="s">
        <v>24</v>
      </c>
      <c r="L314" s="7" t="s">
        <v>1238</v>
      </c>
      <c r="M314" s="109">
        <v>3088919040</v>
      </c>
      <c r="N314" s="109">
        <v>465246720</v>
      </c>
      <c r="O314" s="109">
        <v>15000000</v>
      </c>
      <c r="P314" s="112">
        <v>36000000</v>
      </c>
      <c r="Q314" s="109">
        <f t="shared" si="23"/>
        <v>3605165760</v>
      </c>
      <c r="R314" s="3">
        <v>3088919040</v>
      </c>
      <c r="S314" s="3">
        <v>465246720</v>
      </c>
      <c r="T314" s="30">
        <v>15000000</v>
      </c>
      <c r="U314" s="3">
        <v>36000000</v>
      </c>
      <c r="V314" s="5"/>
      <c r="W314" s="28"/>
      <c r="X314" s="36">
        <f t="shared" si="24"/>
        <v>0</v>
      </c>
      <c r="Y314" s="28">
        <f t="shared" si="25"/>
        <v>0</v>
      </c>
      <c r="Z314" s="28">
        <f t="shared" si="26"/>
        <v>0</v>
      </c>
      <c r="AA314" s="40"/>
      <c r="AB314" s="40"/>
      <c r="AC314" s="61">
        <f t="shared" si="27"/>
        <v>2</v>
      </c>
      <c r="AD314" s="61"/>
    </row>
    <row r="315" spans="1:30" ht="46.8" x14ac:dyDescent="0.3">
      <c r="A315" s="7" t="s">
        <v>46</v>
      </c>
      <c r="B315" s="6">
        <v>302</v>
      </c>
      <c r="C315" s="7" t="s">
        <v>1077</v>
      </c>
      <c r="D315" s="7" t="s">
        <v>1239</v>
      </c>
      <c r="E315" s="5"/>
      <c r="F315" s="4"/>
      <c r="G315" s="7" t="s">
        <v>1240</v>
      </c>
      <c r="H315" s="5"/>
      <c r="I315" s="5"/>
      <c r="J315" s="7" t="s">
        <v>1241</v>
      </c>
      <c r="K315" s="7" t="s">
        <v>24</v>
      </c>
      <c r="L315" s="7" t="s">
        <v>1242</v>
      </c>
      <c r="M315" s="109">
        <v>3566485286</v>
      </c>
      <c r="N315" s="111"/>
      <c r="O315" s="109">
        <v>15000000</v>
      </c>
      <c r="P315" s="110"/>
      <c r="Q315" s="109">
        <f t="shared" si="23"/>
        <v>3581485286</v>
      </c>
      <c r="R315" s="3">
        <v>3566485286</v>
      </c>
      <c r="S315" s="5"/>
      <c r="T315" s="30">
        <v>15000000</v>
      </c>
      <c r="U315" s="5"/>
      <c r="V315" s="5"/>
      <c r="W315" s="28"/>
      <c r="X315" s="28">
        <f t="shared" si="24"/>
        <v>0</v>
      </c>
      <c r="Y315" s="28">
        <f t="shared" si="25"/>
        <v>0</v>
      </c>
      <c r="Z315" s="28">
        <f t="shared" si="26"/>
        <v>0</v>
      </c>
      <c r="AA315" s="4"/>
      <c r="AB315" s="4"/>
      <c r="AC315">
        <f t="shared" si="27"/>
        <v>2</v>
      </c>
    </row>
    <row r="316" spans="1:30" ht="46.8" x14ac:dyDescent="0.3">
      <c r="A316" s="7" t="s">
        <v>62</v>
      </c>
      <c r="B316" s="6">
        <v>303</v>
      </c>
      <c r="C316" s="7" t="s">
        <v>1077</v>
      </c>
      <c r="D316" s="7" t="s">
        <v>1243</v>
      </c>
      <c r="E316" s="5"/>
      <c r="F316" s="4"/>
      <c r="G316" s="7" t="s">
        <v>1244</v>
      </c>
      <c r="H316" s="5"/>
      <c r="I316" s="5"/>
      <c r="J316" s="7" t="s">
        <v>1245</v>
      </c>
      <c r="K316" s="7" t="s">
        <v>24</v>
      </c>
      <c r="L316" s="7" t="s">
        <v>1246</v>
      </c>
      <c r="M316" s="109">
        <v>861548648</v>
      </c>
      <c r="N316" s="111"/>
      <c r="O316" s="109">
        <v>7500000</v>
      </c>
      <c r="P316" s="110"/>
      <c r="Q316" s="109">
        <f t="shared" si="23"/>
        <v>869048648</v>
      </c>
      <c r="R316" s="3">
        <v>861548648</v>
      </c>
      <c r="S316" s="5"/>
      <c r="T316" s="30">
        <v>7500000</v>
      </c>
      <c r="U316" s="5"/>
      <c r="V316" s="5"/>
      <c r="W316" s="28"/>
      <c r="X316" s="28">
        <f t="shared" si="24"/>
        <v>0</v>
      </c>
      <c r="Y316" s="28">
        <f t="shared" si="25"/>
        <v>0</v>
      </c>
      <c r="Z316" s="28">
        <f t="shared" si="26"/>
        <v>0</v>
      </c>
      <c r="AA316" s="4"/>
      <c r="AB316" s="4"/>
      <c r="AC316">
        <f t="shared" si="27"/>
        <v>2</v>
      </c>
    </row>
    <row r="317" spans="1:30" ht="31.2" x14ac:dyDescent="0.3">
      <c r="A317" s="7" t="s">
        <v>62</v>
      </c>
      <c r="B317" s="6">
        <v>304</v>
      </c>
      <c r="C317" s="7" t="s">
        <v>1077</v>
      </c>
      <c r="D317" s="7" t="s">
        <v>1247</v>
      </c>
      <c r="E317" s="7" t="s">
        <v>373</v>
      </c>
      <c r="F317" s="40" t="s">
        <v>1248</v>
      </c>
      <c r="G317" s="7" t="s">
        <v>1249</v>
      </c>
      <c r="H317" s="7" t="s">
        <v>667</v>
      </c>
      <c r="I317" s="5"/>
      <c r="J317" s="7" t="s">
        <v>1250</v>
      </c>
      <c r="K317" s="7" t="s">
        <v>24</v>
      </c>
      <c r="L317" s="7" t="s">
        <v>1251</v>
      </c>
      <c r="M317" s="109">
        <v>5592906642</v>
      </c>
      <c r="N317" s="109">
        <v>713725056</v>
      </c>
      <c r="O317" s="109">
        <v>15000000</v>
      </c>
      <c r="P317" s="112">
        <v>24000000</v>
      </c>
      <c r="Q317" s="109">
        <f t="shared" si="23"/>
        <v>6345631698</v>
      </c>
      <c r="R317" s="3">
        <v>5592906642</v>
      </c>
      <c r="S317" s="3">
        <v>713725056</v>
      </c>
      <c r="T317" s="30">
        <v>15000000</v>
      </c>
      <c r="U317" s="3">
        <v>24000000</v>
      </c>
      <c r="V317" s="5"/>
      <c r="W317" s="28"/>
      <c r="X317" s="28">
        <f t="shared" si="24"/>
        <v>0</v>
      </c>
      <c r="Y317" s="28">
        <f t="shared" si="25"/>
        <v>0</v>
      </c>
      <c r="Z317" s="28">
        <f t="shared" si="26"/>
        <v>0</v>
      </c>
      <c r="AA317" s="4"/>
      <c r="AB317" s="4"/>
      <c r="AC317">
        <f t="shared" si="27"/>
        <v>2</v>
      </c>
    </row>
    <row r="318" spans="1:30" ht="46.8" x14ac:dyDescent="0.3">
      <c r="A318" s="7" t="s">
        <v>62</v>
      </c>
      <c r="B318" s="6">
        <v>305</v>
      </c>
      <c r="C318" s="7" t="s">
        <v>1077</v>
      </c>
      <c r="D318" s="7" t="s">
        <v>1252</v>
      </c>
      <c r="E318" s="5"/>
      <c r="F318" s="4"/>
      <c r="G318" s="7" t="s">
        <v>1253</v>
      </c>
      <c r="H318" s="5"/>
      <c r="I318" s="5"/>
      <c r="J318" s="7" t="s">
        <v>1254</v>
      </c>
      <c r="K318" s="7" t="s">
        <v>24</v>
      </c>
      <c r="L318" s="7" t="s">
        <v>1255</v>
      </c>
      <c r="M318" s="109">
        <v>454606610</v>
      </c>
      <c r="N318" s="111"/>
      <c r="O318" s="109">
        <v>15000000</v>
      </c>
      <c r="P318" s="110"/>
      <c r="Q318" s="109">
        <f t="shared" si="23"/>
        <v>469606610</v>
      </c>
      <c r="R318" s="3">
        <v>454606610</v>
      </c>
      <c r="S318" s="5"/>
      <c r="T318" s="30">
        <v>15000000</v>
      </c>
      <c r="U318" s="5"/>
      <c r="V318" s="5"/>
      <c r="W318" s="28"/>
      <c r="X318" s="28">
        <f t="shared" si="24"/>
        <v>0</v>
      </c>
      <c r="Y318" s="28">
        <f t="shared" si="25"/>
        <v>0</v>
      </c>
      <c r="Z318" s="28">
        <f t="shared" si="26"/>
        <v>0</v>
      </c>
      <c r="AA318" s="4"/>
      <c r="AB318" s="4"/>
      <c r="AC318">
        <f t="shared" si="27"/>
        <v>2</v>
      </c>
    </row>
    <row r="319" spans="1:30" ht="46.8" x14ac:dyDescent="0.3">
      <c r="A319" s="7" t="s">
        <v>46</v>
      </c>
      <c r="B319" s="6">
        <v>306</v>
      </c>
      <c r="C319" s="7" t="s">
        <v>1077</v>
      </c>
      <c r="D319" s="7" t="s">
        <v>1256</v>
      </c>
      <c r="E319" s="5"/>
      <c r="F319" s="4"/>
      <c r="G319" s="7" t="s">
        <v>1257</v>
      </c>
      <c r="H319" s="5"/>
      <c r="I319" s="5"/>
      <c r="J319" s="7" t="s">
        <v>1109</v>
      </c>
      <c r="K319" s="7" t="s">
        <v>24</v>
      </c>
      <c r="L319" s="7" t="s">
        <v>1258</v>
      </c>
      <c r="M319" s="109">
        <v>2354986700</v>
      </c>
      <c r="N319" s="111"/>
      <c r="O319" s="109">
        <v>15000000</v>
      </c>
      <c r="P319" s="110"/>
      <c r="Q319" s="109">
        <f t="shared" si="23"/>
        <v>2369986700</v>
      </c>
      <c r="R319" s="3">
        <v>2354986700</v>
      </c>
      <c r="S319" s="5"/>
      <c r="T319" s="30">
        <v>15000000</v>
      </c>
      <c r="U319" s="5"/>
      <c r="V319" s="5"/>
      <c r="W319" s="28"/>
      <c r="X319" s="28">
        <f t="shared" si="24"/>
        <v>0</v>
      </c>
      <c r="Y319" s="28">
        <f t="shared" si="25"/>
        <v>0</v>
      </c>
      <c r="Z319" s="28">
        <f t="shared" si="26"/>
        <v>0</v>
      </c>
      <c r="AA319" s="4"/>
      <c r="AB319" s="4"/>
      <c r="AC319">
        <f t="shared" si="27"/>
        <v>2</v>
      </c>
    </row>
    <row r="320" spans="1:30" ht="46.8" x14ac:dyDescent="0.3">
      <c r="A320" s="7" t="s">
        <v>62</v>
      </c>
      <c r="B320" s="6">
        <v>307</v>
      </c>
      <c r="C320" s="7" t="s">
        <v>1077</v>
      </c>
      <c r="D320" s="7" t="s">
        <v>1259</v>
      </c>
      <c r="E320" s="7" t="s">
        <v>177</v>
      </c>
      <c r="F320" s="4"/>
      <c r="G320" s="7" t="s">
        <v>1260</v>
      </c>
      <c r="H320" s="7" t="s">
        <v>1261</v>
      </c>
      <c r="I320" s="5"/>
      <c r="J320" s="7" t="s">
        <v>1262</v>
      </c>
      <c r="K320" s="7" t="s">
        <v>24</v>
      </c>
      <c r="L320" s="7" t="s">
        <v>1263</v>
      </c>
      <c r="M320" s="109">
        <v>3187632080</v>
      </c>
      <c r="N320" s="109">
        <v>304242048</v>
      </c>
      <c r="O320" s="109">
        <v>7500000</v>
      </c>
      <c r="P320" s="110"/>
      <c r="Q320" s="109">
        <f t="shared" si="23"/>
        <v>3499374128</v>
      </c>
      <c r="R320" s="3">
        <v>3187632080</v>
      </c>
      <c r="S320" s="3">
        <v>304242048</v>
      </c>
      <c r="T320" s="30">
        <v>7500000</v>
      </c>
      <c r="U320" s="5"/>
      <c r="V320" s="5"/>
      <c r="W320" s="28"/>
      <c r="X320" s="28">
        <f t="shared" si="24"/>
        <v>0</v>
      </c>
      <c r="Y320" s="28">
        <f t="shared" si="25"/>
        <v>0</v>
      </c>
      <c r="Z320" s="28">
        <f t="shared" si="26"/>
        <v>0</v>
      </c>
      <c r="AA320" s="4"/>
      <c r="AB320" s="4"/>
      <c r="AC320">
        <f t="shared" si="27"/>
        <v>2</v>
      </c>
    </row>
    <row r="321" spans="1:30" ht="46.8" x14ac:dyDescent="0.3">
      <c r="A321" s="7" t="s">
        <v>53</v>
      </c>
      <c r="B321" s="6">
        <v>308</v>
      </c>
      <c r="C321" s="7" t="s">
        <v>1077</v>
      </c>
      <c r="D321" s="7" t="s">
        <v>1264</v>
      </c>
      <c r="E321" s="5"/>
      <c r="F321" s="4"/>
      <c r="G321" s="7" t="s">
        <v>1265</v>
      </c>
      <c r="H321" s="5"/>
      <c r="I321" s="5"/>
      <c r="J321" s="7" t="s">
        <v>1266</v>
      </c>
      <c r="K321" s="7" t="s">
        <v>24</v>
      </c>
      <c r="L321" s="7" t="s">
        <v>1267</v>
      </c>
      <c r="M321" s="109">
        <v>1759567324</v>
      </c>
      <c r="N321" s="111"/>
      <c r="O321" s="109">
        <v>7500000</v>
      </c>
      <c r="P321" s="110"/>
      <c r="Q321" s="109">
        <f t="shared" si="23"/>
        <v>1767067324</v>
      </c>
      <c r="R321" s="3">
        <v>1759567324</v>
      </c>
      <c r="S321" s="5"/>
      <c r="T321" s="30">
        <v>7500000</v>
      </c>
      <c r="U321" s="5"/>
      <c r="V321" s="5"/>
      <c r="W321" s="28"/>
      <c r="X321" s="28">
        <f t="shared" si="24"/>
        <v>0</v>
      </c>
      <c r="Y321" s="28">
        <f t="shared" si="25"/>
        <v>0</v>
      </c>
      <c r="Z321" s="28">
        <f t="shared" si="26"/>
        <v>0</v>
      </c>
      <c r="AA321" s="4"/>
      <c r="AB321" s="4"/>
      <c r="AC321">
        <f t="shared" si="27"/>
        <v>2</v>
      </c>
    </row>
    <row r="322" spans="1:30" ht="46.8" x14ac:dyDescent="0.3">
      <c r="A322" s="7" t="s">
        <v>53</v>
      </c>
      <c r="B322" s="6">
        <v>309</v>
      </c>
      <c r="C322" s="7" t="s">
        <v>1077</v>
      </c>
      <c r="D322" s="7" t="s">
        <v>1268</v>
      </c>
      <c r="E322" s="7" t="s">
        <v>1270</v>
      </c>
      <c r="F322" s="40" t="s">
        <v>1269</v>
      </c>
      <c r="G322" s="7" t="s">
        <v>1271</v>
      </c>
      <c r="H322" s="5"/>
      <c r="I322" s="5"/>
      <c r="J322" s="7" t="s">
        <v>1272</v>
      </c>
      <c r="K322" s="7" t="s">
        <v>24</v>
      </c>
      <c r="L322" s="7" t="s">
        <v>1273</v>
      </c>
      <c r="M322" s="109">
        <v>1344327673</v>
      </c>
      <c r="N322" s="109">
        <v>262193501</v>
      </c>
      <c r="O322" s="109">
        <v>15000000</v>
      </c>
      <c r="P322" s="112">
        <v>16000000</v>
      </c>
      <c r="Q322" s="109">
        <f t="shared" si="23"/>
        <v>1637521174</v>
      </c>
      <c r="R322" s="3">
        <v>1344327673</v>
      </c>
      <c r="S322" s="3">
        <v>262193501</v>
      </c>
      <c r="T322" s="30">
        <v>15000000</v>
      </c>
      <c r="U322" s="3">
        <v>16000000</v>
      </c>
      <c r="V322" s="5"/>
      <c r="W322" s="28"/>
      <c r="X322" s="28">
        <f t="shared" si="24"/>
        <v>0</v>
      </c>
      <c r="Y322" s="28">
        <f t="shared" si="25"/>
        <v>0</v>
      </c>
      <c r="Z322" s="28">
        <f t="shared" si="26"/>
        <v>0</v>
      </c>
      <c r="AA322" s="4"/>
      <c r="AB322" s="4"/>
      <c r="AC322">
        <f t="shared" si="27"/>
        <v>2</v>
      </c>
    </row>
    <row r="323" spans="1:30" ht="31.2" x14ac:dyDescent="0.3">
      <c r="A323" s="7" t="s">
        <v>62</v>
      </c>
      <c r="B323" s="6">
        <v>310</v>
      </c>
      <c r="C323" s="7" t="s">
        <v>1077</v>
      </c>
      <c r="D323" s="7" t="s">
        <v>1274</v>
      </c>
      <c r="E323" s="7" t="s">
        <v>1275</v>
      </c>
      <c r="F323" s="4"/>
      <c r="G323" s="7" t="s">
        <v>1276</v>
      </c>
      <c r="H323" s="7" t="s">
        <v>1277</v>
      </c>
      <c r="I323" s="5"/>
      <c r="J323" s="7" t="s">
        <v>1278</v>
      </c>
      <c r="K323" s="7" t="s">
        <v>24</v>
      </c>
      <c r="L323" s="7" t="s">
        <v>1279</v>
      </c>
      <c r="M323" s="109">
        <v>4651993608</v>
      </c>
      <c r="N323" s="109">
        <v>1194625056</v>
      </c>
      <c r="O323" s="109">
        <v>15000000</v>
      </c>
      <c r="P323" s="110"/>
      <c r="Q323" s="109">
        <f t="shared" si="23"/>
        <v>5861618664</v>
      </c>
      <c r="R323" s="3">
        <v>4651993608</v>
      </c>
      <c r="S323" s="3">
        <v>1194625056</v>
      </c>
      <c r="T323" s="31">
        <v>15000000</v>
      </c>
      <c r="U323" s="5"/>
      <c r="V323" s="5"/>
      <c r="W323" s="28"/>
      <c r="X323" s="28">
        <f t="shared" si="24"/>
        <v>0</v>
      </c>
      <c r="Y323" s="28">
        <f t="shared" si="25"/>
        <v>0</v>
      </c>
      <c r="Z323" s="28">
        <f t="shared" si="26"/>
        <v>0</v>
      </c>
      <c r="AA323" s="4"/>
      <c r="AB323" s="4"/>
      <c r="AC323">
        <f t="shared" si="27"/>
        <v>2</v>
      </c>
    </row>
    <row r="324" spans="1:30" ht="93.6" x14ac:dyDescent="0.3">
      <c r="A324" s="7" t="s">
        <v>18</v>
      </c>
      <c r="B324" s="6">
        <v>311</v>
      </c>
      <c r="C324" s="7" t="s">
        <v>1077</v>
      </c>
      <c r="D324" s="7" t="s">
        <v>1280</v>
      </c>
      <c r="E324" s="7"/>
      <c r="F324" s="4"/>
      <c r="G324" s="7" t="s">
        <v>1281</v>
      </c>
      <c r="H324" s="7" t="s">
        <v>1282</v>
      </c>
      <c r="I324" s="7"/>
      <c r="J324" s="7" t="s">
        <v>1283</v>
      </c>
      <c r="K324" s="7" t="s">
        <v>24</v>
      </c>
      <c r="L324" s="7" t="s">
        <v>1284</v>
      </c>
      <c r="M324" s="109">
        <v>7228048500</v>
      </c>
      <c r="N324" s="111"/>
      <c r="O324" s="109">
        <v>7500000</v>
      </c>
      <c r="P324" s="110"/>
      <c r="Q324" s="109">
        <f t="shared" si="23"/>
        <v>7235548500</v>
      </c>
      <c r="R324" s="5"/>
      <c r="S324" s="5"/>
      <c r="T324" s="72"/>
      <c r="U324" s="5"/>
      <c r="V324" s="5"/>
      <c r="W324" s="28">
        <v>7228048500</v>
      </c>
      <c r="X324" s="28">
        <f t="shared" si="24"/>
        <v>0</v>
      </c>
      <c r="Y324" s="36">
        <f t="shared" si="25"/>
        <v>7500000</v>
      </c>
      <c r="Z324" s="28">
        <f t="shared" si="26"/>
        <v>0</v>
      </c>
      <c r="AA324" s="10">
        <v>7228048500</v>
      </c>
      <c r="AB324" s="40"/>
      <c r="AC324" s="121">
        <f t="shared" si="27"/>
        <v>2</v>
      </c>
      <c r="AD324" s="121"/>
    </row>
    <row r="325" spans="1:30" ht="46.8" x14ac:dyDescent="0.3">
      <c r="A325" s="7" t="s">
        <v>18</v>
      </c>
      <c r="B325" s="6">
        <v>312</v>
      </c>
      <c r="C325" s="7" t="s">
        <v>1077</v>
      </c>
      <c r="D325" s="7" t="s">
        <v>1285</v>
      </c>
      <c r="E325" s="7"/>
      <c r="F325" s="4"/>
      <c r="G325" s="7" t="s">
        <v>1286</v>
      </c>
      <c r="H325" s="7"/>
      <c r="I325" s="7"/>
      <c r="J325" s="7" t="s">
        <v>1287</v>
      </c>
      <c r="K325" s="7" t="s">
        <v>24</v>
      </c>
      <c r="L325" s="7" t="s">
        <v>1288</v>
      </c>
      <c r="M325" s="109">
        <v>0</v>
      </c>
      <c r="N325" s="111"/>
      <c r="O325" s="109">
        <v>7500000</v>
      </c>
      <c r="P325" s="110"/>
      <c r="Q325" s="109">
        <f t="shared" si="23"/>
        <v>7500000</v>
      </c>
      <c r="R325" s="6">
        <v>0</v>
      </c>
      <c r="S325" s="5"/>
      <c r="T325" s="72"/>
      <c r="U325" s="5"/>
      <c r="V325" s="5"/>
      <c r="W325" s="28"/>
      <c r="X325" s="28">
        <f t="shared" si="24"/>
        <v>0</v>
      </c>
      <c r="Y325" s="36">
        <f t="shared" si="25"/>
        <v>7500000</v>
      </c>
      <c r="Z325" s="28">
        <f t="shared" si="26"/>
        <v>0</v>
      </c>
      <c r="AA325" s="4"/>
      <c r="AB325" s="40"/>
      <c r="AC325" s="121">
        <f t="shared" si="27"/>
        <v>2</v>
      </c>
      <c r="AD325" s="121"/>
    </row>
    <row r="326" spans="1:30" ht="46.8" x14ac:dyDescent="0.3">
      <c r="A326" s="7" t="s">
        <v>62</v>
      </c>
      <c r="B326" s="6">
        <v>313</v>
      </c>
      <c r="C326" s="7" t="s">
        <v>1077</v>
      </c>
      <c r="D326" s="7" t="s">
        <v>1289</v>
      </c>
      <c r="E326" s="7" t="s">
        <v>259</v>
      </c>
      <c r="F326" s="4"/>
      <c r="G326" s="7" t="s">
        <v>1290</v>
      </c>
      <c r="H326" s="7" t="s">
        <v>718</v>
      </c>
      <c r="I326" s="7"/>
      <c r="J326" s="7" t="s">
        <v>1291</v>
      </c>
      <c r="K326" s="7" t="s">
        <v>24</v>
      </c>
      <c r="L326" s="7" t="s">
        <v>1292</v>
      </c>
      <c r="M326" s="109">
        <v>1181168502</v>
      </c>
      <c r="N326" s="109">
        <v>283193856</v>
      </c>
      <c r="O326" s="109">
        <v>7500000</v>
      </c>
      <c r="P326" s="110"/>
      <c r="Q326" s="109">
        <f t="shared" si="23"/>
        <v>1471862358</v>
      </c>
      <c r="R326" s="3">
        <v>1181168502</v>
      </c>
      <c r="S326" s="3">
        <v>283193856</v>
      </c>
      <c r="T326" s="72"/>
      <c r="U326" s="5"/>
      <c r="V326" s="5"/>
      <c r="W326" s="28"/>
      <c r="X326" s="28">
        <f t="shared" si="24"/>
        <v>0</v>
      </c>
      <c r="Y326" s="36">
        <f t="shared" si="25"/>
        <v>7500000</v>
      </c>
      <c r="Z326" s="28">
        <f t="shared" si="26"/>
        <v>0</v>
      </c>
      <c r="AA326" s="4"/>
      <c r="AB326" s="40"/>
      <c r="AC326" s="121">
        <f t="shared" si="27"/>
        <v>2</v>
      </c>
      <c r="AD326" s="121"/>
    </row>
    <row r="327" spans="1:30" ht="31.2" x14ac:dyDescent="0.3">
      <c r="A327" s="7" t="s">
        <v>62</v>
      </c>
      <c r="B327" s="6">
        <v>314</v>
      </c>
      <c r="C327" s="7" t="s">
        <v>1077</v>
      </c>
      <c r="D327" s="7" t="s">
        <v>1293</v>
      </c>
      <c r="E327" s="5"/>
      <c r="F327" s="4"/>
      <c r="G327" s="7" t="s">
        <v>1294</v>
      </c>
      <c r="H327" s="5"/>
      <c r="I327" s="5"/>
      <c r="J327" s="7" t="s">
        <v>1295</v>
      </c>
      <c r="K327" s="7" t="s">
        <v>24</v>
      </c>
      <c r="L327" s="7" t="s">
        <v>1296</v>
      </c>
      <c r="M327" s="109">
        <v>1634644894</v>
      </c>
      <c r="N327" s="111"/>
      <c r="O327" s="109">
        <v>7500000</v>
      </c>
      <c r="P327" s="110"/>
      <c r="Q327" s="109">
        <f t="shared" si="23"/>
        <v>1642144894</v>
      </c>
      <c r="R327" s="3">
        <v>1634644894</v>
      </c>
      <c r="S327" s="5"/>
      <c r="T327" s="30">
        <v>7500000</v>
      </c>
      <c r="U327" s="5"/>
      <c r="V327" s="5"/>
      <c r="W327" s="28"/>
      <c r="X327" s="28">
        <f t="shared" si="24"/>
        <v>0</v>
      </c>
      <c r="Y327" s="28">
        <f t="shared" si="25"/>
        <v>0</v>
      </c>
      <c r="Z327" s="28">
        <f t="shared" si="26"/>
        <v>0</v>
      </c>
      <c r="AA327" s="4"/>
      <c r="AB327" s="4"/>
      <c r="AC327">
        <f t="shared" si="27"/>
        <v>2</v>
      </c>
    </row>
    <row r="328" spans="1:30" ht="31.2" x14ac:dyDescent="0.3">
      <c r="A328" s="7" t="s">
        <v>18</v>
      </c>
      <c r="B328" s="6">
        <v>315</v>
      </c>
      <c r="C328" s="7" t="s">
        <v>1077</v>
      </c>
      <c r="D328" s="7" t="s">
        <v>1297</v>
      </c>
      <c r="E328" s="5"/>
      <c r="F328" s="4"/>
      <c r="G328" s="7" t="s">
        <v>1298</v>
      </c>
      <c r="H328" s="5"/>
      <c r="I328" s="5"/>
      <c r="J328" s="7" t="s">
        <v>1299</v>
      </c>
      <c r="K328" s="7" t="s">
        <v>24</v>
      </c>
      <c r="L328" s="7" t="s">
        <v>1300</v>
      </c>
      <c r="M328" s="109">
        <v>2916899139</v>
      </c>
      <c r="N328" s="111"/>
      <c r="O328" s="109">
        <v>7500000</v>
      </c>
      <c r="P328" s="110"/>
      <c r="Q328" s="109">
        <f t="shared" si="23"/>
        <v>2924399139</v>
      </c>
      <c r="R328" s="3">
        <v>2916899139</v>
      </c>
      <c r="S328" s="5"/>
      <c r="T328" s="30">
        <v>7500000</v>
      </c>
      <c r="U328" s="5"/>
      <c r="V328" s="5"/>
      <c r="W328" s="28"/>
      <c r="X328" s="28">
        <f t="shared" si="24"/>
        <v>0</v>
      </c>
      <c r="Y328" s="28">
        <f t="shared" si="25"/>
        <v>0</v>
      </c>
      <c r="Z328" s="28">
        <f t="shared" si="26"/>
        <v>0</v>
      </c>
      <c r="AA328" s="4"/>
      <c r="AB328" s="4"/>
      <c r="AC328">
        <f t="shared" si="27"/>
        <v>2</v>
      </c>
    </row>
    <row r="329" spans="1:30" ht="46.8" x14ac:dyDescent="0.3">
      <c r="A329" s="41" t="s">
        <v>46</v>
      </c>
      <c r="B329" s="6">
        <v>316</v>
      </c>
      <c r="C329" s="41" t="s">
        <v>1077</v>
      </c>
      <c r="D329" s="41" t="s">
        <v>1301</v>
      </c>
      <c r="E329" s="5"/>
      <c r="F329" s="4"/>
      <c r="G329" s="41" t="s">
        <v>1302</v>
      </c>
      <c r="H329" s="5"/>
      <c r="I329" s="5"/>
      <c r="J329" s="41" t="s">
        <v>1303</v>
      </c>
      <c r="K329" s="41" t="s">
        <v>24</v>
      </c>
      <c r="L329" s="7" t="s">
        <v>1304</v>
      </c>
      <c r="M329" s="113">
        <v>2045718784</v>
      </c>
      <c r="N329" s="111"/>
      <c r="O329" s="113">
        <v>15000000</v>
      </c>
      <c r="P329" s="110"/>
      <c r="Q329" s="109">
        <f t="shared" si="23"/>
        <v>2060718784</v>
      </c>
      <c r="R329" s="9">
        <v>2045718784</v>
      </c>
      <c r="S329" s="5"/>
      <c r="T329" s="32">
        <v>15000000</v>
      </c>
      <c r="U329" s="5"/>
      <c r="V329" s="5"/>
      <c r="W329" s="28"/>
      <c r="X329" s="28">
        <f t="shared" si="24"/>
        <v>0</v>
      </c>
      <c r="Y329" s="28">
        <f t="shared" si="25"/>
        <v>0</v>
      </c>
      <c r="Z329" s="28">
        <f t="shared" si="26"/>
        <v>0</v>
      </c>
      <c r="AA329" s="4"/>
      <c r="AB329" s="4"/>
      <c r="AC329">
        <f t="shared" si="27"/>
        <v>2</v>
      </c>
    </row>
    <row r="330" spans="1:30" ht="46.8" x14ac:dyDescent="0.3">
      <c r="A330" s="7" t="s">
        <v>46</v>
      </c>
      <c r="B330" s="6">
        <v>317</v>
      </c>
      <c r="C330" s="7" t="s">
        <v>1077</v>
      </c>
      <c r="D330" s="7" t="s">
        <v>1305</v>
      </c>
      <c r="E330" s="7" t="s">
        <v>158</v>
      </c>
      <c r="F330" s="40" t="s">
        <v>858</v>
      </c>
      <c r="G330" s="7" t="s">
        <v>1306</v>
      </c>
      <c r="H330" s="7" t="s">
        <v>1307</v>
      </c>
      <c r="I330" s="5"/>
      <c r="J330" s="7" t="s">
        <v>1308</v>
      </c>
      <c r="K330" s="7" t="s">
        <v>24</v>
      </c>
      <c r="L330" s="7" t="s">
        <v>1309</v>
      </c>
      <c r="M330" s="109">
        <v>2002133194</v>
      </c>
      <c r="N330" s="109">
        <v>247965696</v>
      </c>
      <c r="O330" s="109">
        <v>15000000</v>
      </c>
      <c r="P330" s="112">
        <v>30000000</v>
      </c>
      <c r="Q330" s="109">
        <f t="shared" si="23"/>
        <v>2295098890</v>
      </c>
      <c r="R330" s="3">
        <v>2002133194</v>
      </c>
      <c r="S330" s="7"/>
      <c r="T330" s="30">
        <v>15000000</v>
      </c>
      <c r="U330" s="3">
        <v>30000000</v>
      </c>
      <c r="V330" s="5"/>
      <c r="W330" s="28"/>
      <c r="X330" s="36">
        <f t="shared" si="24"/>
        <v>247965696</v>
      </c>
      <c r="Y330" s="28">
        <f t="shared" si="25"/>
        <v>0</v>
      </c>
      <c r="Z330" s="28">
        <f t="shared" si="26"/>
        <v>0</v>
      </c>
      <c r="AA330" s="40"/>
      <c r="AB330" s="40"/>
      <c r="AC330" s="61">
        <f t="shared" si="27"/>
        <v>2</v>
      </c>
      <c r="AD330" s="61"/>
    </row>
    <row r="331" spans="1:30" ht="46.8" x14ac:dyDescent="0.3">
      <c r="A331" s="7" t="s">
        <v>18</v>
      </c>
      <c r="B331" s="6">
        <v>318</v>
      </c>
      <c r="C331" s="7" t="s">
        <v>1077</v>
      </c>
      <c r="D331" s="7" t="s">
        <v>1310</v>
      </c>
      <c r="E331" s="5"/>
      <c r="F331" s="4"/>
      <c r="G331" s="7" t="s">
        <v>1311</v>
      </c>
      <c r="H331" s="5"/>
      <c r="I331" s="5"/>
      <c r="J331" s="7" t="s">
        <v>1312</v>
      </c>
      <c r="K331" s="7" t="s">
        <v>24</v>
      </c>
      <c r="L331" s="7" t="s">
        <v>1313</v>
      </c>
      <c r="M331" s="109">
        <v>698692632</v>
      </c>
      <c r="N331" s="111"/>
      <c r="O331" s="109">
        <v>7500000</v>
      </c>
      <c r="P331" s="110"/>
      <c r="Q331" s="109">
        <f t="shared" si="23"/>
        <v>706192632</v>
      </c>
      <c r="R331" s="3">
        <v>698692632</v>
      </c>
      <c r="S331" s="5"/>
      <c r="T331" s="31">
        <v>7500000</v>
      </c>
      <c r="U331" s="5"/>
      <c r="V331" s="5"/>
      <c r="W331" s="28"/>
      <c r="X331" s="28">
        <f t="shared" si="24"/>
        <v>0</v>
      </c>
      <c r="Y331" s="28">
        <f t="shared" si="25"/>
        <v>0</v>
      </c>
      <c r="Z331" s="28">
        <f t="shared" si="26"/>
        <v>0</v>
      </c>
      <c r="AA331" s="4"/>
      <c r="AB331" s="4"/>
      <c r="AC331">
        <f t="shared" si="27"/>
        <v>2</v>
      </c>
    </row>
    <row r="332" spans="1:30" ht="62.4" customHeight="1" x14ac:dyDescent="0.3">
      <c r="A332" s="7" t="s">
        <v>46</v>
      </c>
      <c r="B332" s="6">
        <v>319</v>
      </c>
      <c r="C332" s="7" t="s">
        <v>1077</v>
      </c>
      <c r="D332" s="7" t="s">
        <v>1314</v>
      </c>
      <c r="E332" s="5"/>
      <c r="F332" s="40" t="s">
        <v>3870</v>
      </c>
      <c r="G332" s="7" t="s">
        <v>1316</v>
      </c>
      <c r="H332" s="5"/>
      <c r="I332" s="5"/>
      <c r="J332" s="7" t="s">
        <v>1317</v>
      </c>
      <c r="K332" s="7" t="s">
        <v>24</v>
      </c>
      <c r="L332" s="7" t="s">
        <v>1318</v>
      </c>
      <c r="M332" s="109">
        <v>10000000</v>
      </c>
      <c r="N332" s="111"/>
      <c r="O332" s="109">
        <v>15000000</v>
      </c>
      <c r="P332" s="112">
        <v>72000000</v>
      </c>
      <c r="Q332" s="109">
        <f t="shared" si="23"/>
        <v>97000000</v>
      </c>
      <c r="R332" s="3">
        <v>10000000</v>
      </c>
      <c r="S332" s="5"/>
      <c r="T332" s="30">
        <v>15000000</v>
      </c>
      <c r="U332" s="3">
        <v>24000000</v>
      </c>
      <c r="V332" s="5"/>
      <c r="W332" s="28"/>
      <c r="X332" s="28">
        <f t="shared" si="24"/>
        <v>0</v>
      </c>
      <c r="Y332" s="28">
        <f t="shared" si="25"/>
        <v>0</v>
      </c>
      <c r="Z332" s="28">
        <f t="shared" si="26"/>
        <v>48000000</v>
      </c>
      <c r="AA332" s="4"/>
      <c r="AB332" s="4"/>
      <c r="AC332">
        <f t="shared" si="27"/>
        <v>2</v>
      </c>
    </row>
    <row r="333" spans="1:30" ht="31.2" x14ac:dyDescent="0.3">
      <c r="A333" s="7" t="s">
        <v>62</v>
      </c>
      <c r="B333" s="6">
        <v>320</v>
      </c>
      <c r="C333" s="7" t="s">
        <v>1077</v>
      </c>
      <c r="D333" s="7" t="s">
        <v>1319</v>
      </c>
      <c r="E333" s="5"/>
      <c r="F333" s="4"/>
      <c r="G333" s="7" t="s">
        <v>1320</v>
      </c>
      <c r="H333" s="5"/>
      <c r="I333" s="5"/>
      <c r="J333" s="7" t="s">
        <v>1321</v>
      </c>
      <c r="K333" s="7" t="s">
        <v>24</v>
      </c>
      <c r="L333" s="7" t="s">
        <v>1322</v>
      </c>
      <c r="M333" s="109">
        <v>5629237075</v>
      </c>
      <c r="N333" s="111"/>
      <c r="O333" s="109">
        <v>15000000</v>
      </c>
      <c r="P333" s="110"/>
      <c r="Q333" s="109">
        <f t="shared" si="23"/>
        <v>5644237075</v>
      </c>
      <c r="R333" s="3">
        <v>5629237075</v>
      </c>
      <c r="S333" s="5"/>
      <c r="T333" s="30">
        <v>15000000</v>
      </c>
      <c r="U333" s="5"/>
      <c r="V333" s="5"/>
      <c r="W333" s="28"/>
      <c r="X333" s="28">
        <f t="shared" si="24"/>
        <v>0</v>
      </c>
      <c r="Y333" s="28">
        <f t="shared" si="25"/>
        <v>0</v>
      </c>
      <c r="Z333" s="28">
        <f t="shared" si="26"/>
        <v>0</v>
      </c>
      <c r="AA333" s="4"/>
      <c r="AB333" s="4"/>
      <c r="AC333">
        <f t="shared" si="27"/>
        <v>2</v>
      </c>
    </row>
    <row r="334" spans="1:30" ht="31.2" x14ac:dyDescent="0.3">
      <c r="A334" s="7" t="s">
        <v>18</v>
      </c>
      <c r="B334" s="6">
        <v>321</v>
      </c>
      <c r="C334" s="7" t="s">
        <v>1077</v>
      </c>
      <c r="D334" s="7" t="s">
        <v>1323</v>
      </c>
      <c r="E334" s="7"/>
      <c r="F334" s="4"/>
      <c r="G334" s="7" t="s">
        <v>1324</v>
      </c>
      <c r="H334" s="7"/>
      <c r="I334" s="7"/>
      <c r="J334" s="7" t="s">
        <v>1325</v>
      </c>
      <c r="K334" s="7" t="s">
        <v>24</v>
      </c>
      <c r="L334" s="7" t="s">
        <v>1326</v>
      </c>
      <c r="M334" s="109">
        <v>0</v>
      </c>
      <c r="N334" s="111"/>
      <c r="O334" s="109">
        <v>7500000</v>
      </c>
      <c r="P334" s="110"/>
      <c r="Q334" s="109">
        <f t="shared" si="23"/>
        <v>7500000</v>
      </c>
      <c r="R334" s="6">
        <v>0</v>
      </c>
      <c r="S334" s="5"/>
      <c r="T334" s="72"/>
      <c r="U334" s="5"/>
      <c r="V334" s="5"/>
      <c r="W334" s="28"/>
      <c r="X334" s="28">
        <f t="shared" si="24"/>
        <v>0</v>
      </c>
      <c r="Y334" s="36">
        <f t="shared" si="25"/>
        <v>7500000</v>
      </c>
      <c r="Z334" s="28">
        <f t="shared" si="26"/>
        <v>0</v>
      </c>
      <c r="AA334" s="4"/>
      <c r="AB334" s="40"/>
      <c r="AC334" s="121">
        <f t="shared" si="27"/>
        <v>2</v>
      </c>
      <c r="AD334" s="121"/>
    </row>
    <row r="335" spans="1:30" ht="46.8" x14ac:dyDescent="0.3">
      <c r="A335" s="7" t="s">
        <v>62</v>
      </c>
      <c r="B335" s="6">
        <v>322</v>
      </c>
      <c r="C335" s="7" t="s">
        <v>1077</v>
      </c>
      <c r="D335" s="7" t="s">
        <v>1327</v>
      </c>
      <c r="E335" s="5"/>
      <c r="F335" s="4"/>
      <c r="G335" s="7" t="s">
        <v>1328</v>
      </c>
      <c r="H335" s="5"/>
      <c r="I335" s="5"/>
      <c r="J335" s="7" t="s">
        <v>1329</v>
      </c>
      <c r="K335" s="7" t="s">
        <v>24</v>
      </c>
      <c r="L335" s="7" t="s">
        <v>1330</v>
      </c>
      <c r="M335" s="109">
        <v>1119302208</v>
      </c>
      <c r="N335" s="111"/>
      <c r="O335" s="109">
        <v>15000000</v>
      </c>
      <c r="P335" s="110"/>
      <c r="Q335" s="109">
        <f t="shared" ref="Q335:Q398" si="28">M335+N335+O335+P335</f>
        <v>1134302208</v>
      </c>
      <c r="R335" s="3">
        <v>1119302208</v>
      </c>
      <c r="S335" s="5"/>
      <c r="T335" s="30">
        <v>15000000</v>
      </c>
      <c r="U335" s="5"/>
      <c r="V335" s="5"/>
      <c r="W335" s="28"/>
      <c r="X335" s="28">
        <f t="shared" ref="X335:X398" si="29">N335-S335</f>
        <v>0</v>
      </c>
      <c r="Y335" s="28">
        <f t="shared" ref="Y335:Y398" si="30">O335-T335</f>
        <v>0</v>
      </c>
      <c r="Z335" s="28">
        <f t="shared" ref="Z335:Z398" si="31">P335-U335</f>
        <v>0</v>
      </c>
      <c r="AA335" s="4"/>
      <c r="AB335" s="4"/>
      <c r="AC335">
        <f t="shared" ref="AC335:AC398" si="32">IF(AB335=G335,1,2)</f>
        <v>2</v>
      </c>
    </row>
    <row r="336" spans="1:30" ht="31.2" x14ac:dyDescent="0.3">
      <c r="A336" s="7" t="s">
        <v>53</v>
      </c>
      <c r="B336" s="6">
        <v>323</v>
      </c>
      <c r="C336" s="7" t="s">
        <v>1077</v>
      </c>
      <c r="D336" s="7" t="s">
        <v>1331</v>
      </c>
      <c r="E336" s="7" t="s">
        <v>177</v>
      </c>
      <c r="F336" s="40" t="s">
        <v>182</v>
      </c>
      <c r="G336" s="7" t="s">
        <v>1332</v>
      </c>
      <c r="H336" s="7" t="s">
        <v>1333</v>
      </c>
      <c r="I336" s="5"/>
      <c r="J336" s="7" t="s">
        <v>1334</v>
      </c>
      <c r="K336" s="7" t="s">
        <v>24</v>
      </c>
      <c r="L336" s="7" t="s">
        <v>1335</v>
      </c>
      <c r="M336" s="109">
        <v>31787585620</v>
      </c>
      <c r="N336" s="109">
        <v>1149412000</v>
      </c>
      <c r="O336" s="109">
        <v>15000000</v>
      </c>
      <c r="P336" s="112">
        <v>60000000</v>
      </c>
      <c r="Q336" s="109">
        <f t="shared" si="28"/>
        <v>33011997620</v>
      </c>
      <c r="R336" s="3">
        <v>31787585620</v>
      </c>
      <c r="S336" s="3">
        <v>1149412000</v>
      </c>
      <c r="T336" s="30">
        <v>15000000</v>
      </c>
      <c r="U336" s="5"/>
      <c r="V336" s="5"/>
      <c r="W336" s="28"/>
      <c r="X336" s="28">
        <f t="shared" si="29"/>
        <v>0</v>
      </c>
      <c r="Y336" s="28">
        <f t="shared" si="30"/>
        <v>0</v>
      </c>
      <c r="Z336" s="28">
        <f t="shared" si="31"/>
        <v>60000000</v>
      </c>
      <c r="AA336" s="4"/>
      <c r="AB336" s="4"/>
      <c r="AC336">
        <f t="shared" si="32"/>
        <v>2</v>
      </c>
    </row>
    <row r="337" spans="1:30" ht="46.8" x14ac:dyDescent="0.3">
      <c r="A337" s="7" t="s">
        <v>46</v>
      </c>
      <c r="B337" s="6">
        <v>324</v>
      </c>
      <c r="C337" s="7" t="s">
        <v>1077</v>
      </c>
      <c r="D337" s="7" t="s">
        <v>1336</v>
      </c>
      <c r="E337" s="5"/>
      <c r="F337" s="4"/>
      <c r="G337" s="7" t="s">
        <v>1337</v>
      </c>
      <c r="H337" s="5"/>
      <c r="I337" s="5"/>
      <c r="J337" s="7" t="s">
        <v>1338</v>
      </c>
      <c r="K337" s="7" t="s">
        <v>24</v>
      </c>
      <c r="L337" s="7" t="s">
        <v>1339</v>
      </c>
      <c r="M337" s="109">
        <v>11003820410</v>
      </c>
      <c r="N337" s="111"/>
      <c r="O337" s="109">
        <v>15000000</v>
      </c>
      <c r="P337" s="110"/>
      <c r="Q337" s="109">
        <f t="shared" si="28"/>
        <v>11018820410</v>
      </c>
      <c r="R337" s="3">
        <v>11003820410</v>
      </c>
      <c r="S337" s="5"/>
      <c r="T337" s="30">
        <v>15000000</v>
      </c>
      <c r="U337" s="5"/>
      <c r="V337" s="5"/>
      <c r="W337" s="28"/>
      <c r="X337" s="28">
        <f t="shared" si="29"/>
        <v>0</v>
      </c>
      <c r="Y337" s="28">
        <f t="shared" si="30"/>
        <v>0</v>
      </c>
      <c r="Z337" s="28">
        <f t="shared" si="31"/>
        <v>0</v>
      </c>
      <c r="AA337" s="4"/>
      <c r="AB337" s="4"/>
      <c r="AC337">
        <f t="shared" si="32"/>
        <v>2</v>
      </c>
    </row>
    <row r="338" spans="1:30" ht="46.8" x14ac:dyDescent="0.3">
      <c r="A338" s="7" t="s">
        <v>18</v>
      </c>
      <c r="B338" s="6">
        <v>325</v>
      </c>
      <c r="C338" s="7" t="s">
        <v>1077</v>
      </c>
      <c r="D338" s="7" t="s">
        <v>1340</v>
      </c>
      <c r="E338" s="5"/>
      <c r="F338" s="40" t="s">
        <v>637</v>
      </c>
      <c r="G338" s="7" t="s">
        <v>1341</v>
      </c>
      <c r="H338" s="5"/>
      <c r="I338" s="5"/>
      <c r="J338" s="7" t="s">
        <v>1342</v>
      </c>
      <c r="K338" s="7" t="s">
        <v>24</v>
      </c>
      <c r="L338" s="7" t="s">
        <v>1343</v>
      </c>
      <c r="M338" s="109">
        <v>5365012540</v>
      </c>
      <c r="N338" s="111"/>
      <c r="O338" s="109">
        <v>15000000</v>
      </c>
      <c r="P338" s="112">
        <v>24000000</v>
      </c>
      <c r="Q338" s="109">
        <f t="shared" si="28"/>
        <v>5404012540</v>
      </c>
      <c r="R338" s="3">
        <v>5365012540</v>
      </c>
      <c r="S338" s="5"/>
      <c r="T338" s="30">
        <v>15000000</v>
      </c>
      <c r="U338" s="3">
        <v>24000000</v>
      </c>
      <c r="V338" s="5"/>
      <c r="W338" s="28"/>
      <c r="X338" s="28">
        <f t="shared" si="29"/>
        <v>0</v>
      </c>
      <c r="Y338" s="28">
        <f t="shared" si="30"/>
        <v>0</v>
      </c>
      <c r="Z338" s="28">
        <f t="shared" si="31"/>
        <v>0</v>
      </c>
      <c r="AA338" s="4"/>
      <c r="AB338" s="4"/>
      <c r="AC338">
        <f t="shared" si="32"/>
        <v>2</v>
      </c>
    </row>
    <row r="339" spans="1:30" ht="31.2" x14ac:dyDescent="0.3">
      <c r="A339" s="7" t="s">
        <v>18</v>
      </c>
      <c r="B339" s="6">
        <v>326</v>
      </c>
      <c r="C339" s="7" t="s">
        <v>1077</v>
      </c>
      <c r="D339" s="7" t="s">
        <v>1344</v>
      </c>
      <c r="E339" s="5"/>
      <c r="F339" s="4"/>
      <c r="G339" s="7" t="s">
        <v>1345</v>
      </c>
      <c r="H339" s="5"/>
      <c r="I339" s="5"/>
      <c r="J339" s="7" t="s">
        <v>1346</v>
      </c>
      <c r="K339" s="7" t="s">
        <v>24</v>
      </c>
      <c r="L339" s="7" t="s">
        <v>1347</v>
      </c>
      <c r="M339" s="109">
        <v>8078620056</v>
      </c>
      <c r="N339" s="111"/>
      <c r="O339" s="109">
        <v>15000000</v>
      </c>
      <c r="P339" s="110"/>
      <c r="Q339" s="109">
        <f t="shared" si="28"/>
        <v>8093620056</v>
      </c>
      <c r="R339" s="3">
        <v>8078620056</v>
      </c>
      <c r="S339" s="5"/>
      <c r="T339" s="30">
        <v>15000000</v>
      </c>
      <c r="U339" s="5"/>
      <c r="V339" s="5"/>
      <c r="W339" s="28"/>
      <c r="X339" s="28">
        <f t="shared" si="29"/>
        <v>0</v>
      </c>
      <c r="Y339" s="28">
        <f t="shared" si="30"/>
        <v>0</v>
      </c>
      <c r="Z339" s="28">
        <f t="shared" si="31"/>
        <v>0</v>
      </c>
      <c r="AA339" s="4"/>
      <c r="AB339" s="4"/>
      <c r="AC339">
        <f t="shared" si="32"/>
        <v>2</v>
      </c>
    </row>
    <row r="340" spans="1:30" ht="31.2" x14ac:dyDescent="0.3">
      <c r="A340" s="7" t="s">
        <v>18</v>
      </c>
      <c r="B340" s="6">
        <v>327</v>
      </c>
      <c r="C340" s="7" t="s">
        <v>1077</v>
      </c>
      <c r="D340" s="7" t="s">
        <v>1348</v>
      </c>
      <c r="E340" s="7" t="s">
        <v>1349</v>
      </c>
      <c r="F340" s="4"/>
      <c r="G340" s="7" t="s">
        <v>1350</v>
      </c>
      <c r="H340" s="7"/>
      <c r="I340" s="7"/>
      <c r="J340" s="7" t="s">
        <v>1351</v>
      </c>
      <c r="K340" s="7" t="s">
        <v>24</v>
      </c>
      <c r="L340" s="7" t="s">
        <v>1352</v>
      </c>
      <c r="M340" s="109">
        <v>2028942168</v>
      </c>
      <c r="N340" s="109">
        <v>396202200</v>
      </c>
      <c r="O340" s="109">
        <v>7500000</v>
      </c>
      <c r="P340" s="110"/>
      <c r="Q340" s="109">
        <f t="shared" si="28"/>
        <v>2432644368</v>
      </c>
      <c r="R340" s="3">
        <v>2028942168</v>
      </c>
      <c r="S340" s="3">
        <v>396202200</v>
      </c>
      <c r="T340" s="72"/>
      <c r="U340" s="5"/>
      <c r="V340" s="5"/>
      <c r="W340" s="28"/>
      <c r="X340" s="28">
        <f t="shared" si="29"/>
        <v>0</v>
      </c>
      <c r="Y340" s="36">
        <f t="shared" si="30"/>
        <v>7500000</v>
      </c>
      <c r="Z340" s="28">
        <f t="shared" si="31"/>
        <v>0</v>
      </c>
      <c r="AA340" s="4"/>
      <c r="AB340" s="40"/>
      <c r="AC340" s="121">
        <f t="shared" si="32"/>
        <v>2</v>
      </c>
      <c r="AD340" s="121"/>
    </row>
    <row r="341" spans="1:30" ht="46.8" x14ac:dyDescent="0.3">
      <c r="A341" s="7" t="s">
        <v>18</v>
      </c>
      <c r="B341" s="6">
        <v>328</v>
      </c>
      <c r="C341" s="7" t="s">
        <v>1077</v>
      </c>
      <c r="D341" s="7" t="s">
        <v>1353</v>
      </c>
      <c r="E341" s="5"/>
      <c r="F341" s="4"/>
      <c r="G341" s="7" t="s">
        <v>1354</v>
      </c>
      <c r="H341" s="5"/>
      <c r="I341" s="7" t="s">
        <v>1355</v>
      </c>
      <c r="J341" s="7" t="s">
        <v>1356</v>
      </c>
      <c r="K341" s="7" t="s">
        <v>24</v>
      </c>
      <c r="L341" s="7" t="s">
        <v>1357</v>
      </c>
      <c r="M341" s="109">
        <v>2166823187</v>
      </c>
      <c r="N341" s="111"/>
      <c r="O341" s="109">
        <v>15000000</v>
      </c>
      <c r="P341" s="110"/>
      <c r="Q341" s="109">
        <f t="shared" si="28"/>
        <v>2181823187</v>
      </c>
      <c r="R341" s="3">
        <v>2166823187</v>
      </c>
      <c r="S341" s="5"/>
      <c r="T341" s="30">
        <v>15000000</v>
      </c>
      <c r="U341" s="5"/>
      <c r="V341" s="5"/>
      <c r="W341" s="28"/>
      <c r="X341" s="28">
        <f t="shared" si="29"/>
        <v>0</v>
      </c>
      <c r="Y341" s="28">
        <f t="shared" si="30"/>
        <v>0</v>
      </c>
      <c r="Z341" s="28">
        <f t="shared" si="31"/>
        <v>0</v>
      </c>
      <c r="AA341" s="4"/>
      <c r="AB341" s="4"/>
      <c r="AC341">
        <f t="shared" si="32"/>
        <v>2</v>
      </c>
    </row>
    <row r="342" spans="1:30" ht="31.2" x14ac:dyDescent="0.3">
      <c r="A342" s="7" t="s">
        <v>53</v>
      </c>
      <c r="B342" s="6">
        <v>329</v>
      </c>
      <c r="C342" s="7" t="s">
        <v>1077</v>
      </c>
      <c r="D342" s="7" t="s">
        <v>1358</v>
      </c>
      <c r="E342" s="5"/>
      <c r="F342" s="4"/>
      <c r="G342" s="7" t="s">
        <v>1359</v>
      </c>
      <c r="H342" s="5"/>
      <c r="I342" s="5"/>
      <c r="J342" s="7" t="s">
        <v>1360</v>
      </c>
      <c r="K342" s="7" t="s">
        <v>24</v>
      </c>
      <c r="L342" s="7" t="s">
        <v>1361</v>
      </c>
      <c r="M342" s="109">
        <v>5427333000</v>
      </c>
      <c r="N342" s="111"/>
      <c r="O342" s="109">
        <v>7500000</v>
      </c>
      <c r="P342" s="110"/>
      <c r="Q342" s="109">
        <f t="shared" si="28"/>
        <v>5434833000</v>
      </c>
      <c r="R342" s="3">
        <v>5427333000</v>
      </c>
      <c r="S342" s="5"/>
      <c r="T342" s="30">
        <v>7500000</v>
      </c>
      <c r="U342" s="5"/>
      <c r="V342" s="5"/>
      <c r="W342" s="28"/>
      <c r="X342" s="28">
        <f t="shared" si="29"/>
        <v>0</v>
      </c>
      <c r="Y342" s="28">
        <f t="shared" si="30"/>
        <v>0</v>
      </c>
      <c r="Z342" s="28">
        <f t="shared" si="31"/>
        <v>0</v>
      </c>
      <c r="AA342" s="4"/>
      <c r="AB342" s="4"/>
      <c r="AC342">
        <f t="shared" si="32"/>
        <v>2</v>
      </c>
    </row>
    <row r="343" spans="1:30" ht="31.2" x14ac:dyDescent="0.3">
      <c r="A343" s="7" t="s">
        <v>53</v>
      </c>
      <c r="B343" s="6">
        <v>330</v>
      </c>
      <c r="C343" s="7" t="s">
        <v>1077</v>
      </c>
      <c r="D343" s="7" t="s">
        <v>1362</v>
      </c>
      <c r="E343" s="5"/>
      <c r="F343" s="4"/>
      <c r="G343" s="7" t="s">
        <v>1363</v>
      </c>
      <c r="H343" s="5"/>
      <c r="I343" s="5"/>
      <c r="J343" s="7" t="s">
        <v>1364</v>
      </c>
      <c r="K343" s="7" t="s">
        <v>24</v>
      </c>
      <c r="L343" s="7" t="s">
        <v>1365</v>
      </c>
      <c r="M343" s="109">
        <v>1292171692</v>
      </c>
      <c r="N343" s="111"/>
      <c r="O343" s="109">
        <v>7500000</v>
      </c>
      <c r="P343" s="110"/>
      <c r="Q343" s="109">
        <f t="shared" si="28"/>
        <v>1299671692</v>
      </c>
      <c r="R343" s="3">
        <v>1292171692</v>
      </c>
      <c r="S343" s="5"/>
      <c r="T343" s="30">
        <v>7500000</v>
      </c>
      <c r="U343" s="5"/>
      <c r="V343" s="5"/>
      <c r="W343" s="28"/>
      <c r="X343" s="28">
        <f t="shared" si="29"/>
        <v>0</v>
      </c>
      <c r="Y343" s="28">
        <f t="shared" si="30"/>
        <v>0</v>
      </c>
      <c r="Z343" s="28">
        <f t="shared" si="31"/>
        <v>0</v>
      </c>
      <c r="AA343" s="4"/>
      <c r="AB343" s="4"/>
      <c r="AC343">
        <f t="shared" si="32"/>
        <v>2</v>
      </c>
    </row>
    <row r="344" spans="1:30" ht="31.2" x14ac:dyDescent="0.3">
      <c r="A344" s="7" t="s">
        <v>53</v>
      </c>
      <c r="B344" s="6">
        <v>331</v>
      </c>
      <c r="C344" s="7" t="s">
        <v>1077</v>
      </c>
      <c r="D344" s="7" t="s">
        <v>1366</v>
      </c>
      <c r="E344" s="7" t="s">
        <v>914</v>
      </c>
      <c r="F344" s="4"/>
      <c r="G344" s="7" t="s">
        <v>1367</v>
      </c>
      <c r="H344" s="5"/>
      <c r="I344" s="5"/>
      <c r="J344" s="7" t="s">
        <v>1368</v>
      </c>
      <c r="K344" s="7" t="s">
        <v>24</v>
      </c>
      <c r="L344" s="7" t="s">
        <v>1369</v>
      </c>
      <c r="M344" s="109">
        <v>6687219200</v>
      </c>
      <c r="N344" s="109">
        <v>415250000</v>
      </c>
      <c r="O344" s="109">
        <v>7500000</v>
      </c>
      <c r="P344" s="110"/>
      <c r="Q344" s="109">
        <f t="shared" si="28"/>
        <v>7109969200</v>
      </c>
      <c r="R344" s="3">
        <v>6687219200</v>
      </c>
      <c r="S344" s="3">
        <v>415250000</v>
      </c>
      <c r="T344" s="30">
        <v>7500000</v>
      </c>
      <c r="U344" s="5"/>
      <c r="V344" s="5"/>
      <c r="W344" s="28"/>
      <c r="X344" s="28">
        <f t="shared" si="29"/>
        <v>0</v>
      </c>
      <c r="Y344" s="28">
        <f t="shared" si="30"/>
        <v>0</v>
      </c>
      <c r="Z344" s="28">
        <f t="shared" si="31"/>
        <v>0</v>
      </c>
      <c r="AA344" s="4"/>
      <c r="AB344" s="4"/>
      <c r="AC344">
        <f t="shared" si="32"/>
        <v>2</v>
      </c>
    </row>
    <row r="345" spans="1:30" ht="46.8" x14ac:dyDescent="0.3">
      <c r="A345" s="7" t="s">
        <v>18</v>
      </c>
      <c r="B345" s="6">
        <v>332</v>
      </c>
      <c r="C345" s="7" t="s">
        <v>1077</v>
      </c>
      <c r="D345" s="7" t="s">
        <v>1370</v>
      </c>
      <c r="E345" s="5"/>
      <c r="F345" s="4"/>
      <c r="G345" s="7" t="s">
        <v>1371</v>
      </c>
      <c r="H345" s="5"/>
      <c r="I345" s="5"/>
      <c r="J345" s="7" t="s">
        <v>1372</v>
      </c>
      <c r="K345" s="7" t="s">
        <v>24</v>
      </c>
      <c r="L345" s="7" t="s">
        <v>1373</v>
      </c>
      <c r="M345" s="109">
        <v>1954058966</v>
      </c>
      <c r="N345" s="111"/>
      <c r="O345" s="109">
        <v>15000000</v>
      </c>
      <c r="P345" s="110"/>
      <c r="Q345" s="109">
        <f t="shared" si="28"/>
        <v>1969058966</v>
      </c>
      <c r="R345" s="3">
        <v>1954058966</v>
      </c>
      <c r="S345" s="5"/>
      <c r="T345" s="30">
        <v>15000000</v>
      </c>
      <c r="U345" s="5"/>
      <c r="V345" s="5"/>
      <c r="W345" s="28"/>
      <c r="X345" s="28">
        <f t="shared" si="29"/>
        <v>0</v>
      </c>
      <c r="Y345" s="28">
        <f t="shared" si="30"/>
        <v>0</v>
      </c>
      <c r="Z345" s="28">
        <f t="shared" si="31"/>
        <v>0</v>
      </c>
      <c r="AA345" s="4"/>
      <c r="AB345" s="4"/>
      <c r="AC345">
        <f t="shared" si="32"/>
        <v>2</v>
      </c>
    </row>
    <row r="346" spans="1:30" ht="46.8" x14ac:dyDescent="0.3">
      <c r="A346" s="7" t="s">
        <v>53</v>
      </c>
      <c r="B346" s="6">
        <v>333</v>
      </c>
      <c r="C346" s="7" t="s">
        <v>1077</v>
      </c>
      <c r="D346" s="7" t="s">
        <v>1374</v>
      </c>
      <c r="E346" s="5"/>
      <c r="F346" s="4"/>
      <c r="G346" s="7" t="s">
        <v>1375</v>
      </c>
      <c r="H346" s="5"/>
      <c r="I346" s="5"/>
      <c r="J346" s="7" t="s">
        <v>1376</v>
      </c>
      <c r="K346" s="7" t="s">
        <v>24</v>
      </c>
      <c r="L346" s="7" t="s">
        <v>1377</v>
      </c>
      <c r="M346" s="109">
        <v>2411362824</v>
      </c>
      <c r="N346" s="111"/>
      <c r="O346" s="109">
        <v>7500000</v>
      </c>
      <c r="P346" s="110"/>
      <c r="Q346" s="109">
        <f t="shared" si="28"/>
        <v>2418862824</v>
      </c>
      <c r="R346" s="3">
        <v>2411362824</v>
      </c>
      <c r="S346" s="5"/>
      <c r="T346" s="30">
        <v>7500000</v>
      </c>
      <c r="U346" s="5"/>
      <c r="V346" s="5"/>
      <c r="W346" s="28"/>
      <c r="X346" s="28">
        <f t="shared" si="29"/>
        <v>0</v>
      </c>
      <c r="Y346" s="28">
        <f t="shared" si="30"/>
        <v>0</v>
      </c>
      <c r="Z346" s="28">
        <f t="shared" si="31"/>
        <v>0</v>
      </c>
      <c r="AA346" s="4"/>
      <c r="AB346" s="4"/>
      <c r="AC346">
        <f t="shared" si="32"/>
        <v>2</v>
      </c>
    </row>
    <row r="347" spans="1:30" ht="46.8" x14ac:dyDescent="0.3">
      <c r="A347" s="7" t="s">
        <v>53</v>
      </c>
      <c r="B347" s="6">
        <v>334</v>
      </c>
      <c r="C347" s="7" t="s">
        <v>1077</v>
      </c>
      <c r="D347" s="7" t="s">
        <v>1378</v>
      </c>
      <c r="E347" s="5"/>
      <c r="F347" s="4"/>
      <c r="G347" s="7" t="s">
        <v>1379</v>
      </c>
      <c r="H347" s="5"/>
      <c r="I347" s="5"/>
      <c r="J347" s="7" t="s">
        <v>1380</v>
      </c>
      <c r="K347" s="7" t="s">
        <v>24</v>
      </c>
      <c r="L347" s="7" t="s">
        <v>1381</v>
      </c>
      <c r="M347" s="109">
        <v>1176308218</v>
      </c>
      <c r="N347" s="111"/>
      <c r="O347" s="109">
        <v>7500000</v>
      </c>
      <c r="P347" s="110"/>
      <c r="Q347" s="109">
        <f t="shared" si="28"/>
        <v>1183808218</v>
      </c>
      <c r="R347" s="3">
        <v>1176308218</v>
      </c>
      <c r="S347" s="5"/>
      <c r="T347" s="30">
        <v>7500000</v>
      </c>
      <c r="U347" s="5"/>
      <c r="V347" s="5"/>
      <c r="W347" s="28"/>
      <c r="X347" s="28">
        <f t="shared" si="29"/>
        <v>0</v>
      </c>
      <c r="Y347" s="28">
        <f t="shared" si="30"/>
        <v>0</v>
      </c>
      <c r="Z347" s="28">
        <f t="shared" si="31"/>
        <v>0</v>
      </c>
      <c r="AA347" s="4"/>
      <c r="AB347" s="4"/>
      <c r="AC347">
        <f t="shared" si="32"/>
        <v>2</v>
      </c>
    </row>
    <row r="348" spans="1:30" ht="31.2" x14ac:dyDescent="0.3">
      <c r="A348" s="7" t="s">
        <v>46</v>
      </c>
      <c r="B348" s="6">
        <v>335</v>
      </c>
      <c r="C348" s="7" t="s">
        <v>1077</v>
      </c>
      <c r="D348" s="7" t="s">
        <v>1382</v>
      </c>
      <c r="E348" s="41" t="s">
        <v>1383</v>
      </c>
      <c r="F348" s="4"/>
      <c r="G348" s="7" t="s">
        <v>1384</v>
      </c>
      <c r="H348" s="41" t="s">
        <v>1385</v>
      </c>
      <c r="I348" s="5"/>
      <c r="J348" s="7" t="s">
        <v>1386</v>
      </c>
      <c r="K348" s="41" t="s">
        <v>24</v>
      </c>
      <c r="L348" s="7" t="s">
        <v>1387</v>
      </c>
      <c r="M348" s="109">
        <v>768083200</v>
      </c>
      <c r="N348" s="109">
        <v>1230901182</v>
      </c>
      <c r="O348" s="109">
        <v>15000000</v>
      </c>
      <c r="P348" s="110"/>
      <c r="Q348" s="109">
        <f t="shared" si="28"/>
        <v>2013984382</v>
      </c>
      <c r="R348" s="3">
        <v>768083200</v>
      </c>
      <c r="S348" s="3">
        <v>1230901182</v>
      </c>
      <c r="T348" s="30">
        <v>15000000</v>
      </c>
      <c r="U348" s="5"/>
      <c r="V348" s="5"/>
      <c r="W348" s="28"/>
      <c r="X348" s="28">
        <f t="shared" si="29"/>
        <v>0</v>
      </c>
      <c r="Y348" s="28">
        <f t="shared" si="30"/>
        <v>0</v>
      </c>
      <c r="Z348" s="28">
        <f t="shared" si="31"/>
        <v>0</v>
      </c>
      <c r="AA348" s="4"/>
      <c r="AB348" s="4"/>
      <c r="AC348">
        <f t="shared" si="32"/>
        <v>2</v>
      </c>
    </row>
    <row r="349" spans="1:30" ht="31.2" x14ac:dyDescent="0.3">
      <c r="A349" s="7" t="s">
        <v>62</v>
      </c>
      <c r="B349" s="6">
        <v>336</v>
      </c>
      <c r="C349" s="7" t="s">
        <v>1077</v>
      </c>
      <c r="D349" s="7" t="s">
        <v>1388</v>
      </c>
      <c r="E349" s="5"/>
      <c r="F349" s="4"/>
      <c r="G349" s="7" t="s">
        <v>1389</v>
      </c>
      <c r="H349" s="5"/>
      <c r="I349" s="5"/>
      <c r="J349" s="7" t="s">
        <v>1390</v>
      </c>
      <c r="K349" s="7" t="s">
        <v>24</v>
      </c>
      <c r="L349" s="7" t="s">
        <v>1391</v>
      </c>
      <c r="M349" s="109">
        <v>0</v>
      </c>
      <c r="N349" s="111"/>
      <c r="O349" s="109">
        <v>7500000</v>
      </c>
      <c r="P349" s="110"/>
      <c r="Q349" s="109">
        <f t="shared" si="28"/>
        <v>7500000</v>
      </c>
      <c r="R349" s="6">
        <v>0</v>
      </c>
      <c r="S349" s="5"/>
      <c r="T349" s="30">
        <v>7500000</v>
      </c>
      <c r="U349" s="5"/>
      <c r="V349" s="5"/>
      <c r="W349" s="28"/>
      <c r="X349" s="28">
        <f t="shared" si="29"/>
        <v>0</v>
      </c>
      <c r="Y349" s="28">
        <f t="shared" si="30"/>
        <v>0</v>
      </c>
      <c r="Z349" s="28">
        <f t="shared" si="31"/>
        <v>0</v>
      </c>
      <c r="AA349" s="4"/>
      <c r="AB349" s="4"/>
      <c r="AC349">
        <f t="shared" si="32"/>
        <v>2</v>
      </c>
    </row>
    <row r="350" spans="1:30" ht="31.2" x14ac:dyDescent="0.3">
      <c r="A350" s="7" t="s">
        <v>46</v>
      </c>
      <c r="B350" s="6">
        <v>337</v>
      </c>
      <c r="C350" s="7" t="s">
        <v>1077</v>
      </c>
      <c r="D350" s="7" t="s">
        <v>1392</v>
      </c>
      <c r="E350" s="5"/>
      <c r="F350" s="4"/>
      <c r="G350" s="7" t="s">
        <v>1393</v>
      </c>
      <c r="H350" s="5"/>
      <c r="I350" s="5"/>
      <c r="J350" s="7" t="s">
        <v>1394</v>
      </c>
      <c r="K350" s="7" t="s">
        <v>24</v>
      </c>
      <c r="L350" s="7" t="s">
        <v>1395</v>
      </c>
      <c r="M350" s="109">
        <v>486048836</v>
      </c>
      <c r="N350" s="111"/>
      <c r="O350" s="109">
        <v>7500000</v>
      </c>
      <c r="P350" s="110"/>
      <c r="Q350" s="109">
        <f t="shared" si="28"/>
        <v>493548836</v>
      </c>
      <c r="R350" s="3">
        <v>486048836</v>
      </c>
      <c r="S350" s="5"/>
      <c r="T350" s="30">
        <v>7500000</v>
      </c>
      <c r="U350" s="5"/>
      <c r="V350" s="5"/>
      <c r="W350" s="28"/>
      <c r="X350" s="28">
        <f t="shared" si="29"/>
        <v>0</v>
      </c>
      <c r="Y350" s="28">
        <f t="shared" si="30"/>
        <v>0</v>
      </c>
      <c r="Z350" s="28">
        <f t="shared" si="31"/>
        <v>0</v>
      </c>
      <c r="AA350" s="4"/>
      <c r="AB350" s="4"/>
      <c r="AC350">
        <f t="shared" si="32"/>
        <v>2</v>
      </c>
    </row>
    <row r="351" spans="1:30" ht="62.4" x14ac:dyDescent="0.3">
      <c r="A351" s="7" t="s">
        <v>18</v>
      </c>
      <c r="B351" s="6">
        <v>338</v>
      </c>
      <c r="C351" s="7" t="s">
        <v>1077</v>
      </c>
      <c r="D351" s="7" t="s">
        <v>1396</v>
      </c>
      <c r="E351" s="7" t="s">
        <v>1398</v>
      </c>
      <c r="F351" s="40" t="s">
        <v>1397</v>
      </c>
      <c r="G351" s="7" t="s">
        <v>1399</v>
      </c>
      <c r="H351" s="7" t="s">
        <v>1400</v>
      </c>
      <c r="I351" s="7"/>
      <c r="J351" s="7" t="s">
        <v>1401</v>
      </c>
      <c r="K351" s="7" t="s">
        <v>24</v>
      </c>
      <c r="L351" s="7" t="s">
        <v>1402</v>
      </c>
      <c r="M351" s="109">
        <v>6891800904</v>
      </c>
      <c r="N351" s="109">
        <v>390746990</v>
      </c>
      <c r="O351" s="109">
        <v>15000000</v>
      </c>
      <c r="P351" s="112">
        <v>48000000</v>
      </c>
      <c r="Q351" s="109">
        <f t="shared" si="28"/>
        <v>7345547894</v>
      </c>
      <c r="R351" s="3">
        <v>6891800904</v>
      </c>
      <c r="S351" s="3">
        <v>390746990</v>
      </c>
      <c r="T351" s="72"/>
      <c r="U351" s="28">
        <v>48000000</v>
      </c>
      <c r="V351" s="5"/>
      <c r="W351" s="28"/>
      <c r="X351" s="28">
        <f t="shared" si="29"/>
        <v>0</v>
      </c>
      <c r="Y351" s="36">
        <f t="shared" si="30"/>
        <v>15000000</v>
      </c>
      <c r="Z351" s="28">
        <f t="shared" si="31"/>
        <v>0</v>
      </c>
      <c r="AA351" s="4"/>
      <c r="AB351" s="40"/>
      <c r="AC351" s="121">
        <f t="shared" si="32"/>
        <v>2</v>
      </c>
      <c r="AD351" s="121"/>
    </row>
    <row r="352" spans="1:30" ht="31.2" x14ac:dyDescent="0.3">
      <c r="A352" s="7" t="s">
        <v>46</v>
      </c>
      <c r="B352" s="6">
        <v>339</v>
      </c>
      <c r="C352" s="7" t="s">
        <v>1077</v>
      </c>
      <c r="D352" s="7" t="s">
        <v>1403</v>
      </c>
      <c r="E352" s="5"/>
      <c r="F352" s="4"/>
      <c r="G352" s="7" t="s">
        <v>1404</v>
      </c>
      <c r="H352" s="5"/>
      <c r="I352" s="5"/>
      <c r="J352" s="7" t="s">
        <v>1405</v>
      </c>
      <c r="K352" s="7" t="s">
        <v>24</v>
      </c>
      <c r="L352" s="7" t="s">
        <v>1406</v>
      </c>
      <c r="M352" s="109">
        <v>1514795152</v>
      </c>
      <c r="N352" s="111"/>
      <c r="O352" s="109">
        <v>15000000</v>
      </c>
      <c r="P352" s="110"/>
      <c r="Q352" s="109">
        <f t="shared" si="28"/>
        <v>1529795152</v>
      </c>
      <c r="R352" s="3">
        <v>1514795152</v>
      </c>
      <c r="S352" s="5"/>
      <c r="T352" s="30">
        <v>15000000</v>
      </c>
      <c r="U352" s="5"/>
      <c r="V352" s="5"/>
      <c r="W352" s="28"/>
      <c r="X352" s="28">
        <f t="shared" si="29"/>
        <v>0</v>
      </c>
      <c r="Y352" s="28">
        <f t="shared" si="30"/>
        <v>0</v>
      </c>
      <c r="Z352" s="28">
        <f t="shared" si="31"/>
        <v>0</v>
      </c>
      <c r="AA352" s="4"/>
      <c r="AB352" s="4"/>
      <c r="AC352">
        <f t="shared" si="32"/>
        <v>2</v>
      </c>
    </row>
    <row r="353" spans="1:30" ht="31.2" x14ac:dyDescent="0.3">
      <c r="A353" s="7" t="s">
        <v>53</v>
      </c>
      <c r="B353" s="6">
        <v>340</v>
      </c>
      <c r="C353" s="7" t="s">
        <v>1077</v>
      </c>
      <c r="D353" s="7" t="s">
        <v>1407</v>
      </c>
      <c r="E353" s="7"/>
      <c r="F353" s="4"/>
      <c r="G353" s="7" t="s">
        <v>1408</v>
      </c>
      <c r="H353" s="7"/>
      <c r="I353" s="7"/>
      <c r="J353" s="7" t="s">
        <v>1409</v>
      </c>
      <c r="K353" s="7" t="s">
        <v>24</v>
      </c>
      <c r="L353" s="7" t="s">
        <v>1410</v>
      </c>
      <c r="M353" s="109">
        <v>0</v>
      </c>
      <c r="N353" s="111"/>
      <c r="O353" s="109">
        <v>7500000</v>
      </c>
      <c r="P353" s="110"/>
      <c r="Q353" s="109">
        <f t="shared" si="28"/>
        <v>7500000</v>
      </c>
      <c r="R353" s="6">
        <v>0</v>
      </c>
      <c r="S353" s="5"/>
      <c r="T353" s="72"/>
      <c r="U353" s="5"/>
      <c r="V353" s="5"/>
      <c r="W353" s="28"/>
      <c r="X353" s="28">
        <f t="shared" si="29"/>
        <v>0</v>
      </c>
      <c r="Y353" s="36">
        <f t="shared" si="30"/>
        <v>7500000</v>
      </c>
      <c r="Z353" s="28">
        <f t="shared" si="31"/>
        <v>0</v>
      </c>
      <c r="AA353" s="4"/>
      <c r="AB353" s="40"/>
      <c r="AC353" s="121">
        <f t="shared" si="32"/>
        <v>2</v>
      </c>
      <c r="AD353" s="121"/>
    </row>
    <row r="354" spans="1:30" ht="31.2" x14ac:dyDescent="0.3">
      <c r="A354" s="7" t="s">
        <v>62</v>
      </c>
      <c r="B354" s="6">
        <v>341</v>
      </c>
      <c r="C354" s="7" t="s">
        <v>1077</v>
      </c>
      <c r="D354" s="7" t="s">
        <v>1411</v>
      </c>
      <c r="E354" s="5"/>
      <c r="F354" s="40" t="s">
        <v>1412</v>
      </c>
      <c r="G354" s="7" t="s">
        <v>1413</v>
      </c>
      <c r="H354" s="5"/>
      <c r="I354" s="5"/>
      <c r="J354" s="7" t="s">
        <v>1414</v>
      </c>
      <c r="K354" s="7" t="s">
        <v>24</v>
      </c>
      <c r="L354" s="7" t="s">
        <v>1415</v>
      </c>
      <c r="M354" s="109">
        <v>15179235900</v>
      </c>
      <c r="N354" s="111"/>
      <c r="O354" s="109">
        <v>15000000</v>
      </c>
      <c r="P354" s="112">
        <v>96000000</v>
      </c>
      <c r="Q354" s="109">
        <f t="shared" si="28"/>
        <v>15290235900</v>
      </c>
      <c r="R354" s="3">
        <v>15179235900</v>
      </c>
      <c r="S354" s="5"/>
      <c r="T354" s="30">
        <v>15000000</v>
      </c>
      <c r="U354" s="3">
        <v>96000000</v>
      </c>
      <c r="V354" s="5"/>
      <c r="W354" s="28"/>
      <c r="X354" s="28">
        <f t="shared" si="29"/>
        <v>0</v>
      </c>
      <c r="Y354" s="28">
        <f t="shared" si="30"/>
        <v>0</v>
      </c>
      <c r="Z354" s="28">
        <f t="shared" si="31"/>
        <v>0</v>
      </c>
      <c r="AA354" s="4"/>
      <c r="AB354" s="4"/>
      <c r="AC354">
        <f t="shared" si="32"/>
        <v>2</v>
      </c>
    </row>
    <row r="355" spans="1:30" ht="46.8" x14ac:dyDescent="0.3">
      <c r="A355" s="7" t="s">
        <v>53</v>
      </c>
      <c r="B355" s="6">
        <v>342</v>
      </c>
      <c r="C355" s="7" t="s">
        <v>1077</v>
      </c>
      <c r="D355" s="7" t="s">
        <v>1416</v>
      </c>
      <c r="E355" s="5"/>
      <c r="F355" s="4"/>
      <c r="G355" s="7" t="s">
        <v>1417</v>
      </c>
      <c r="H355" s="5"/>
      <c r="I355" s="5"/>
      <c r="J355" s="7" t="s">
        <v>1418</v>
      </c>
      <c r="K355" s="7" t="s">
        <v>24</v>
      </c>
      <c r="L355" s="7" t="s">
        <v>1419</v>
      </c>
      <c r="M355" s="109">
        <v>938372032</v>
      </c>
      <c r="N355" s="111"/>
      <c r="O355" s="109">
        <v>15000000</v>
      </c>
      <c r="P355" s="110"/>
      <c r="Q355" s="109">
        <f t="shared" si="28"/>
        <v>953372032</v>
      </c>
      <c r="R355" s="3">
        <v>938372032</v>
      </c>
      <c r="S355" s="5"/>
      <c r="T355" s="30">
        <v>15000000</v>
      </c>
      <c r="U355" s="5"/>
      <c r="V355" s="5"/>
      <c r="W355" s="28"/>
      <c r="X355" s="28">
        <f t="shared" si="29"/>
        <v>0</v>
      </c>
      <c r="Y355" s="28">
        <f t="shared" si="30"/>
        <v>0</v>
      </c>
      <c r="Z355" s="28">
        <f t="shared" si="31"/>
        <v>0</v>
      </c>
      <c r="AA355" s="4"/>
      <c r="AB355" s="4"/>
      <c r="AC355">
        <f t="shared" si="32"/>
        <v>2</v>
      </c>
    </row>
    <row r="356" spans="1:30" ht="31.2" x14ac:dyDescent="0.3">
      <c r="A356" s="7" t="s">
        <v>46</v>
      </c>
      <c r="B356" s="6">
        <v>343</v>
      </c>
      <c r="C356" s="7" t="s">
        <v>1077</v>
      </c>
      <c r="D356" s="7" t="s">
        <v>1420</v>
      </c>
      <c r="E356" s="5"/>
      <c r="F356" s="4"/>
      <c r="G356" s="7" t="s">
        <v>1421</v>
      </c>
      <c r="H356" s="5"/>
      <c r="I356" s="5"/>
      <c r="J356" s="7" t="s">
        <v>1422</v>
      </c>
      <c r="K356" s="7" t="s">
        <v>24</v>
      </c>
      <c r="L356" s="7" t="s">
        <v>1423</v>
      </c>
      <c r="M356" s="109">
        <v>296069312</v>
      </c>
      <c r="N356" s="111"/>
      <c r="O356" s="109">
        <v>7500000</v>
      </c>
      <c r="P356" s="110"/>
      <c r="Q356" s="109">
        <f t="shared" si="28"/>
        <v>303569312</v>
      </c>
      <c r="R356" s="3">
        <v>296069312</v>
      </c>
      <c r="S356" s="5"/>
      <c r="T356" s="30">
        <v>7500000</v>
      </c>
      <c r="U356" s="5"/>
      <c r="V356" s="5"/>
      <c r="W356" s="28"/>
      <c r="X356" s="28">
        <f t="shared" si="29"/>
        <v>0</v>
      </c>
      <c r="Y356" s="28">
        <f t="shared" si="30"/>
        <v>0</v>
      </c>
      <c r="Z356" s="28">
        <f t="shared" si="31"/>
        <v>0</v>
      </c>
      <c r="AA356" s="4"/>
      <c r="AB356" s="4"/>
      <c r="AC356">
        <f t="shared" si="32"/>
        <v>2</v>
      </c>
    </row>
    <row r="357" spans="1:30" ht="46.8" x14ac:dyDescent="0.3">
      <c r="A357" s="7" t="s">
        <v>53</v>
      </c>
      <c r="B357" s="6">
        <v>344</v>
      </c>
      <c r="C357" s="7" t="s">
        <v>1077</v>
      </c>
      <c r="D357" s="7" t="s">
        <v>1424</v>
      </c>
      <c r="E357" s="5"/>
      <c r="F357" s="40" t="s">
        <v>1425</v>
      </c>
      <c r="G357" s="7" t="s">
        <v>1426</v>
      </c>
      <c r="H357" s="5"/>
      <c r="I357" s="5"/>
      <c r="J357" s="7" t="s">
        <v>1427</v>
      </c>
      <c r="K357" s="7" t="s">
        <v>24</v>
      </c>
      <c r="L357" s="7" t="s">
        <v>1428</v>
      </c>
      <c r="M357" s="109">
        <v>1585255168</v>
      </c>
      <c r="N357" s="111"/>
      <c r="O357" s="109">
        <v>15000000</v>
      </c>
      <c r="P357" s="112">
        <v>48000000</v>
      </c>
      <c r="Q357" s="109">
        <f t="shared" si="28"/>
        <v>1648255168</v>
      </c>
      <c r="R357" s="3">
        <v>1585255168</v>
      </c>
      <c r="S357" s="5"/>
      <c r="T357" s="30">
        <v>15000000</v>
      </c>
      <c r="U357" s="28">
        <v>48000000</v>
      </c>
      <c r="V357" s="5"/>
      <c r="W357" s="28"/>
      <c r="X357" s="28">
        <f t="shared" si="29"/>
        <v>0</v>
      </c>
      <c r="Y357" s="28">
        <f t="shared" si="30"/>
        <v>0</v>
      </c>
      <c r="Z357" s="28">
        <f t="shared" si="31"/>
        <v>0</v>
      </c>
      <c r="AA357" s="4"/>
      <c r="AB357" s="4"/>
      <c r="AC357">
        <f t="shared" si="32"/>
        <v>2</v>
      </c>
    </row>
    <row r="358" spans="1:30" ht="46.8" x14ac:dyDescent="0.3">
      <c r="A358" s="7" t="s">
        <v>18</v>
      </c>
      <c r="B358" s="6">
        <v>345</v>
      </c>
      <c r="C358" s="7" t="s">
        <v>1077</v>
      </c>
      <c r="D358" s="7" t="s">
        <v>1429</v>
      </c>
      <c r="E358" s="7"/>
      <c r="F358" s="4"/>
      <c r="G358" s="7" t="s">
        <v>1430</v>
      </c>
      <c r="H358" s="7"/>
      <c r="I358" s="7"/>
      <c r="J358" s="7" t="s">
        <v>1431</v>
      </c>
      <c r="K358" s="7" t="s">
        <v>24</v>
      </c>
      <c r="L358" s="7" t="s">
        <v>1432</v>
      </c>
      <c r="M358" s="109">
        <v>10000000</v>
      </c>
      <c r="N358" s="111"/>
      <c r="O358" s="109">
        <v>15000000</v>
      </c>
      <c r="P358" s="110"/>
      <c r="Q358" s="109">
        <f t="shared" si="28"/>
        <v>25000000</v>
      </c>
      <c r="R358" s="5"/>
      <c r="S358" s="5"/>
      <c r="T358" s="72"/>
      <c r="U358" s="5"/>
      <c r="V358" s="5"/>
      <c r="W358" s="28">
        <v>10000000</v>
      </c>
      <c r="X358" s="28">
        <f t="shared" si="29"/>
        <v>0</v>
      </c>
      <c r="Y358" s="36">
        <f t="shared" si="30"/>
        <v>15000000</v>
      </c>
      <c r="Z358" s="28">
        <f t="shared" si="31"/>
        <v>0</v>
      </c>
      <c r="AA358" s="10">
        <v>10000000</v>
      </c>
      <c r="AB358" s="40"/>
      <c r="AC358" s="121">
        <f t="shared" si="32"/>
        <v>2</v>
      </c>
      <c r="AD358" s="121"/>
    </row>
    <row r="359" spans="1:30" ht="31.2" x14ac:dyDescent="0.3">
      <c r="A359" s="7" t="s">
        <v>46</v>
      </c>
      <c r="B359" s="6">
        <v>346</v>
      </c>
      <c r="C359" s="7" t="s">
        <v>1077</v>
      </c>
      <c r="D359" s="7" t="s">
        <v>1433</v>
      </c>
      <c r="E359" s="7" t="s">
        <v>373</v>
      </c>
      <c r="F359" s="4"/>
      <c r="G359" s="7" t="s">
        <v>1434</v>
      </c>
      <c r="H359" s="7" t="s">
        <v>1435</v>
      </c>
      <c r="I359" s="5"/>
      <c r="J359" s="7" t="s">
        <v>1436</v>
      </c>
      <c r="K359" s="7" t="s">
        <v>24</v>
      </c>
      <c r="L359" s="7" t="s">
        <v>1437</v>
      </c>
      <c r="M359" s="109">
        <v>11061492360</v>
      </c>
      <c r="N359" s="109">
        <v>127192000</v>
      </c>
      <c r="O359" s="109">
        <v>15000000</v>
      </c>
      <c r="P359" s="110"/>
      <c r="Q359" s="109">
        <f t="shared" si="28"/>
        <v>11203684360</v>
      </c>
      <c r="R359" s="3">
        <v>11061492360</v>
      </c>
      <c r="S359" s="3">
        <v>127192000</v>
      </c>
      <c r="T359" s="30">
        <v>15000000</v>
      </c>
      <c r="U359" s="5"/>
      <c r="V359" s="5"/>
      <c r="W359" s="28"/>
      <c r="X359" s="28">
        <f t="shared" si="29"/>
        <v>0</v>
      </c>
      <c r="Y359" s="28">
        <f t="shared" si="30"/>
        <v>0</v>
      </c>
      <c r="Z359" s="28">
        <f t="shared" si="31"/>
        <v>0</v>
      </c>
      <c r="AA359" s="4"/>
      <c r="AB359" s="4"/>
      <c r="AC359">
        <f t="shared" si="32"/>
        <v>2</v>
      </c>
    </row>
    <row r="360" spans="1:30" ht="46.8" x14ac:dyDescent="0.3">
      <c r="A360" s="7" t="s">
        <v>18</v>
      </c>
      <c r="B360" s="6">
        <v>347</v>
      </c>
      <c r="C360" s="7" t="s">
        <v>1077</v>
      </c>
      <c r="D360" s="7" t="s">
        <v>1438</v>
      </c>
      <c r="E360" s="5"/>
      <c r="F360" s="4"/>
      <c r="G360" s="7" t="s">
        <v>1439</v>
      </c>
      <c r="H360" s="5"/>
      <c r="I360" s="5"/>
      <c r="J360" s="7" t="s">
        <v>1440</v>
      </c>
      <c r="K360" s="7" t="s">
        <v>24</v>
      </c>
      <c r="L360" s="7" t="s">
        <v>1441</v>
      </c>
      <c r="M360" s="109">
        <v>551324800</v>
      </c>
      <c r="N360" s="111"/>
      <c r="O360" s="109">
        <v>15000000</v>
      </c>
      <c r="P360" s="110"/>
      <c r="Q360" s="109">
        <f t="shared" si="28"/>
        <v>566324800</v>
      </c>
      <c r="R360" s="3">
        <v>551324800</v>
      </c>
      <c r="S360" s="5"/>
      <c r="T360" s="30">
        <v>15000000</v>
      </c>
      <c r="U360" s="5"/>
      <c r="V360" s="5"/>
      <c r="W360" s="28"/>
      <c r="X360" s="28">
        <f t="shared" si="29"/>
        <v>0</v>
      </c>
      <c r="Y360" s="28">
        <f t="shared" si="30"/>
        <v>0</v>
      </c>
      <c r="Z360" s="28">
        <f t="shared" si="31"/>
        <v>0</v>
      </c>
      <c r="AA360" s="4"/>
      <c r="AB360" s="4"/>
      <c r="AC360">
        <f t="shared" si="32"/>
        <v>2</v>
      </c>
    </row>
    <row r="361" spans="1:30" ht="31.2" x14ac:dyDescent="0.3">
      <c r="A361" s="7" t="s">
        <v>62</v>
      </c>
      <c r="B361" s="6">
        <v>348</v>
      </c>
      <c r="C361" s="7" t="s">
        <v>1077</v>
      </c>
      <c r="D361" s="7" t="s">
        <v>1442</v>
      </c>
      <c r="E361" s="5"/>
      <c r="F361" s="4"/>
      <c r="G361" s="7" t="s">
        <v>1443</v>
      </c>
      <c r="H361" s="5"/>
      <c r="I361" s="5"/>
      <c r="J361" s="7" t="s">
        <v>1444</v>
      </c>
      <c r="K361" s="7" t="s">
        <v>24</v>
      </c>
      <c r="L361" s="7" t="s">
        <v>1445</v>
      </c>
      <c r="M361" s="109">
        <v>4341330000</v>
      </c>
      <c r="N361" s="111"/>
      <c r="O361" s="109">
        <v>7500000</v>
      </c>
      <c r="P361" s="110"/>
      <c r="Q361" s="109">
        <f t="shared" si="28"/>
        <v>4348830000</v>
      </c>
      <c r="R361" s="3">
        <v>4341330000</v>
      </c>
      <c r="S361" s="5"/>
      <c r="T361" s="30">
        <v>7500000</v>
      </c>
      <c r="U361" s="5"/>
      <c r="V361" s="5"/>
      <c r="W361" s="28"/>
      <c r="X361" s="28">
        <f t="shared" si="29"/>
        <v>0</v>
      </c>
      <c r="Y361" s="28">
        <f t="shared" si="30"/>
        <v>0</v>
      </c>
      <c r="Z361" s="28">
        <f t="shared" si="31"/>
        <v>0</v>
      </c>
      <c r="AA361" s="4"/>
      <c r="AB361" s="4"/>
      <c r="AC361">
        <f t="shared" si="32"/>
        <v>2</v>
      </c>
    </row>
    <row r="362" spans="1:30" ht="46.8" x14ac:dyDescent="0.3">
      <c r="A362" s="7" t="s">
        <v>53</v>
      </c>
      <c r="B362" s="6">
        <v>349</v>
      </c>
      <c r="C362" s="7" t="s">
        <v>1077</v>
      </c>
      <c r="D362" s="7" t="s">
        <v>1446</v>
      </c>
      <c r="E362" s="5"/>
      <c r="F362" s="4"/>
      <c r="G362" s="7" t="s">
        <v>1447</v>
      </c>
      <c r="H362" s="5"/>
      <c r="I362" s="5"/>
      <c r="J362" s="7" t="s">
        <v>1448</v>
      </c>
      <c r="K362" s="7" t="s">
        <v>24</v>
      </c>
      <c r="L362" s="7" t="s">
        <v>1449</v>
      </c>
      <c r="M362" s="109">
        <v>674476192</v>
      </c>
      <c r="N362" s="111"/>
      <c r="O362" s="109">
        <v>15000000</v>
      </c>
      <c r="P362" s="110"/>
      <c r="Q362" s="109">
        <f t="shared" si="28"/>
        <v>689476192</v>
      </c>
      <c r="R362" s="3">
        <v>674476192</v>
      </c>
      <c r="S362" s="5"/>
      <c r="T362" s="30">
        <v>15000000</v>
      </c>
      <c r="U362" s="5"/>
      <c r="V362" s="5"/>
      <c r="W362" s="28"/>
      <c r="X362" s="28">
        <f t="shared" si="29"/>
        <v>0</v>
      </c>
      <c r="Y362" s="28">
        <f t="shared" si="30"/>
        <v>0</v>
      </c>
      <c r="Z362" s="28">
        <f t="shared" si="31"/>
        <v>0</v>
      </c>
      <c r="AA362" s="4"/>
      <c r="AB362" s="4"/>
      <c r="AC362">
        <f t="shared" si="32"/>
        <v>2</v>
      </c>
    </row>
    <row r="363" spans="1:30" ht="46.8" x14ac:dyDescent="0.3">
      <c r="A363" s="7" t="s">
        <v>18</v>
      </c>
      <c r="B363" s="6">
        <v>350</v>
      </c>
      <c r="C363" s="7" t="s">
        <v>1077</v>
      </c>
      <c r="D363" s="7" t="s">
        <v>1450</v>
      </c>
      <c r="E363" s="5"/>
      <c r="F363" s="4"/>
      <c r="G363" s="7" t="s">
        <v>1451</v>
      </c>
      <c r="H363" s="5"/>
      <c r="I363" s="5"/>
      <c r="J363" s="7" t="s">
        <v>1452</v>
      </c>
      <c r="K363" s="7" t="s">
        <v>24</v>
      </c>
      <c r="L363" s="7" t="s">
        <v>1453</v>
      </c>
      <c r="M363" s="109">
        <v>65141933</v>
      </c>
      <c r="N363" s="111"/>
      <c r="O363" s="109">
        <v>7500000</v>
      </c>
      <c r="P363" s="110"/>
      <c r="Q363" s="109">
        <f t="shared" si="28"/>
        <v>72641933</v>
      </c>
      <c r="R363" s="3">
        <v>65141933</v>
      </c>
      <c r="S363" s="5"/>
      <c r="T363" s="30">
        <v>7500000</v>
      </c>
      <c r="U363" s="5"/>
      <c r="V363" s="5"/>
      <c r="W363" s="28"/>
      <c r="X363" s="28">
        <f t="shared" si="29"/>
        <v>0</v>
      </c>
      <c r="Y363" s="28">
        <f t="shared" si="30"/>
        <v>0</v>
      </c>
      <c r="Z363" s="28">
        <f t="shared" si="31"/>
        <v>0</v>
      </c>
      <c r="AA363" s="4"/>
      <c r="AB363" s="4"/>
      <c r="AC363">
        <f t="shared" si="32"/>
        <v>2</v>
      </c>
    </row>
    <row r="364" spans="1:30" ht="46.8" x14ac:dyDescent="0.3">
      <c r="A364" s="7" t="s">
        <v>53</v>
      </c>
      <c r="B364" s="6">
        <v>351</v>
      </c>
      <c r="C364" s="7" t="s">
        <v>1077</v>
      </c>
      <c r="D364" s="7" t="s">
        <v>1454</v>
      </c>
      <c r="E364" s="5"/>
      <c r="F364" s="4"/>
      <c r="G364" s="7" t="s">
        <v>1455</v>
      </c>
      <c r="H364" s="5"/>
      <c r="I364" s="5"/>
      <c r="J364" s="7" t="s">
        <v>1456</v>
      </c>
      <c r="K364" s="7" t="s">
        <v>24</v>
      </c>
      <c r="L364" s="7" t="s">
        <v>1457</v>
      </c>
      <c r="M364" s="109">
        <v>2508309760</v>
      </c>
      <c r="N364" s="111"/>
      <c r="O364" s="109">
        <v>15000000</v>
      </c>
      <c r="P364" s="110"/>
      <c r="Q364" s="109">
        <f t="shared" si="28"/>
        <v>2523309760</v>
      </c>
      <c r="R364" s="3">
        <v>2508309760</v>
      </c>
      <c r="S364" s="5"/>
      <c r="T364" s="30">
        <v>15000000</v>
      </c>
      <c r="U364" s="5"/>
      <c r="V364" s="5"/>
      <c r="W364" s="28"/>
      <c r="X364" s="28">
        <f t="shared" si="29"/>
        <v>0</v>
      </c>
      <c r="Y364" s="28">
        <f t="shared" si="30"/>
        <v>0</v>
      </c>
      <c r="Z364" s="28">
        <f t="shared" si="31"/>
        <v>0</v>
      </c>
      <c r="AA364" s="4"/>
      <c r="AB364" s="4"/>
      <c r="AC364">
        <f t="shared" si="32"/>
        <v>2</v>
      </c>
    </row>
    <row r="365" spans="1:30" ht="46.8" x14ac:dyDescent="0.3">
      <c r="A365" s="7" t="s">
        <v>46</v>
      </c>
      <c r="B365" s="6">
        <v>352</v>
      </c>
      <c r="C365" s="7" t="s">
        <v>1077</v>
      </c>
      <c r="D365" s="7" t="s">
        <v>1458</v>
      </c>
      <c r="E365" s="7"/>
      <c r="F365" s="4"/>
      <c r="G365" s="7" t="s">
        <v>1459</v>
      </c>
      <c r="H365" s="7"/>
      <c r="I365" s="7"/>
      <c r="J365" s="7" t="s">
        <v>1460</v>
      </c>
      <c r="K365" s="7" t="s">
        <v>24</v>
      </c>
      <c r="L365" s="7" t="s">
        <v>1461</v>
      </c>
      <c r="M365" s="109">
        <v>0</v>
      </c>
      <c r="N365" s="111"/>
      <c r="O365" s="109">
        <v>7500000</v>
      </c>
      <c r="P365" s="110"/>
      <c r="Q365" s="109">
        <f t="shared" si="28"/>
        <v>7500000</v>
      </c>
      <c r="R365" s="6">
        <v>0</v>
      </c>
      <c r="S365" s="5"/>
      <c r="T365" s="72"/>
      <c r="U365" s="5"/>
      <c r="V365" s="5"/>
      <c r="W365" s="28"/>
      <c r="X365" s="28">
        <f t="shared" si="29"/>
        <v>0</v>
      </c>
      <c r="Y365" s="36">
        <f t="shared" si="30"/>
        <v>7500000</v>
      </c>
      <c r="Z365" s="28">
        <f t="shared" si="31"/>
        <v>0</v>
      </c>
      <c r="AA365" s="4"/>
      <c r="AB365" s="40"/>
      <c r="AC365" s="121">
        <f t="shared" si="32"/>
        <v>2</v>
      </c>
      <c r="AD365" s="121"/>
    </row>
    <row r="366" spans="1:30" ht="31.2" x14ac:dyDescent="0.3">
      <c r="A366" s="7" t="s">
        <v>46</v>
      </c>
      <c r="B366" s="6">
        <v>353</v>
      </c>
      <c r="C366" s="7" t="s">
        <v>1077</v>
      </c>
      <c r="D366" s="7" t="s">
        <v>1462</v>
      </c>
      <c r="E366" s="5"/>
      <c r="F366" s="4"/>
      <c r="G366" s="7" t="s">
        <v>1463</v>
      </c>
      <c r="H366" s="5"/>
      <c r="I366" s="5"/>
      <c r="J366" s="7" t="s">
        <v>1464</v>
      </c>
      <c r="K366" s="7" t="s">
        <v>24</v>
      </c>
      <c r="L366" s="7" t="s">
        <v>1465</v>
      </c>
      <c r="M366" s="109">
        <v>3137001240</v>
      </c>
      <c r="N366" s="111"/>
      <c r="O366" s="109">
        <v>15000000</v>
      </c>
      <c r="P366" s="110"/>
      <c r="Q366" s="109">
        <f t="shared" si="28"/>
        <v>3152001240</v>
      </c>
      <c r="R366" s="3">
        <v>3137001240</v>
      </c>
      <c r="S366" s="5"/>
      <c r="T366" s="30">
        <v>15000000</v>
      </c>
      <c r="U366" s="5"/>
      <c r="V366" s="5"/>
      <c r="W366" s="28"/>
      <c r="X366" s="28">
        <f t="shared" si="29"/>
        <v>0</v>
      </c>
      <c r="Y366" s="28">
        <f t="shared" si="30"/>
        <v>0</v>
      </c>
      <c r="Z366" s="28">
        <f t="shared" si="31"/>
        <v>0</v>
      </c>
      <c r="AA366" s="4"/>
      <c r="AB366" s="4"/>
      <c r="AC366">
        <f t="shared" si="32"/>
        <v>2</v>
      </c>
    </row>
    <row r="367" spans="1:30" ht="31.2" x14ac:dyDescent="0.3">
      <c r="A367" s="7" t="s">
        <v>46</v>
      </c>
      <c r="B367" s="6">
        <v>354</v>
      </c>
      <c r="C367" s="7" t="s">
        <v>1077</v>
      </c>
      <c r="D367" s="7" t="s">
        <v>1466</v>
      </c>
      <c r="E367" s="5"/>
      <c r="F367" s="4"/>
      <c r="G367" s="7" t="s">
        <v>1467</v>
      </c>
      <c r="H367" s="5"/>
      <c r="I367" s="5"/>
      <c r="J367" s="7" t="s">
        <v>1468</v>
      </c>
      <c r="K367" s="7" t="s">
        <v>24</v>
      </c>
      <c r="L367" s="7" t="s">
        <v>1469</v>
      </c>
      <c r="M367" s="109">
        <v>2986318488</v>
      </c>
      <c r="N367" s="111"/>
      <c r="O367" s="109">
        <v>15000000</v>
      </c>
      <c r="P367" s="110"/>
      <c r="Q367" s="109">
        <f t="shared" si="28"/>
        <v>3001318488</v>
      </c>
      <c r="R367" s="3">
        <v>2986318488</v>
      </c>
      <c r="S367" s="5"/>
      <c r="T367" s="30">
        <v>15000000</v>
      </c>
      <c r="U367" s="5"/>
      <c r="V367" s="5"/>
      <c r="W367" s="28"/>
      <c r="X367" s="28">
        <f t="shared" si="29"/>
        <v>0</v>
      </c>
      <c r="Y367" s="28">
        <f t="shared" si="30"/>
        <v>0</v>
      </c>
      <c r="Z367" s="28">
        <f t="shared" si="31"/>
        <v>0</v>
      </c>
      <c r="AA367" s="4"/>
      <c r="AB367" s="4"/>
      <c r="AC367">
        <f t="shared" si="32"/>
        <v>2</v>
      </c>
    </row>
    <row r="368" spans="1:30" ht="46.8" x14ac:dyDescent="0.3">
      <c r="A368" s="7" t="s">
        <v>62</v>
      </c>
      <c r="B368" s="6">
        <v>355</v>
      </c>
      <c r="C368" s="7" t="s">
        <v>1077</v>
      </c>
      <c r="D368" s="7" t="s">
        <v>1470</v>
      </c>
      <c r="E368" s="5"/>
      <c r="F368" s="4"/>
      <c r="G368" s="7" t="s">
        <v>1471</v>
      </c>
      <c r="H368" s="5"/>
      <c r="I368" s="5"/>
      <c r="J368" s="7" t="s">
        <v>1472</v>
      </c>
      <c r="K368" s="7" t="s">
        <v>24</v>
      </c>
      <c r="L368" s="7" t="s">
        <v>1473</v>
      </c>
      <c r="M368" s="109">
        <v>124614064</v>
      </c>
      <c r="N368" s="111"/>
      <c r="O368" s="109">
        <v>7500000</v>
      </c>
      <c r="P368" s="110"/>
      <c r="Q368" s="109">
        <f t="shared" si="28"/>
        <v>132114064</v>
      </c>
      <c r="R368" s="3">
        <v>124614064</v>
      </c>
      <c r="S368" s="5"/>
      <c r="T368" s="30">
        <v>7500000</v>
      </c>
      <c r="U368" s="5"/>
      <c r="V368" s="5"/>
      <c r="W368" s="28"/>
      <c r="X368" s="28">
        <f t="shared" si="29"/>
        <v>0</v>
      </c>
      <c r="Y368" s="28">
        <f t="shared" si="30"/>
        <v>0</v>
      </c>
      <c r="Z368" s="28">
        <f t="shared" si="31"/>
        <v>0</v>
      </c>
      <c r="AA368" s="4"/>
      <c r="AB368" s="4"/>
      <c r="AC368">
        <f t="shared" si="32"/>
        <v>2</v>
      </c>
    </row>
    <row r="369" spans="1:30" ht="31.2" x14ac:dyDescent="0.3">
      <c r="A369" s="7" t="s">
        <v>18</v>
      </c>
      <c r="B369" s="6">
        <v>356</v>
      </c>
      <c r="C369" s="7" t="s">
        <v>1077</v>
      </c>
      <c r="D369" s="7" t="s">
        <v>1474</v>
      </c>
      <c r="E369" s="5"/>
      <c r="F369" s="4"/>
      <c r="G369" s="7" t="s">
        <v>1475</v>
      </c>
      <c r="H369" s="5"/>
      <c r="I369" s="5"/>
      <c r="J369" s="7" t="s">
        <v>1476</v>
      </c>
      <c r="K369" s="7" t="s">
        <v>24</v>
      </c>
      <c r="L369" s="7" t="s">
        <v>1477</v>
      </c>
      <c r="M369" s="109">
        <v>2246345440</v>
      </c>
      <c r="N369" s="111"/>
      <c r="O369" s="109">
        <v>15000000</v>
      </c>
      <c r="P369" s="110"/>
      <c r="Q369" s="109">
        <f t="shared" si="28"/>
        <v>2261345440</v>
      </c>
      <c r="R369" s="3">
        <v>2246345440</v>
      </c>
      <c r="S369" s="5"/>
      <c r="T369" s="30">
        <v>15000000</v>
      </c>
      <c r="U369" s="5"/>
      <c r="V369" s="5"/>
      <c r="W369" s="28"/>
      <c r="X369" s="28">
        <f t="shared" si="29"/>
        <v>0</v>
      </c>
      <c r="Y369" s="28">
        <f t="shared" si="30"/>
        <v>0</v>
      </c>
      <c r="Z369" s="28">
        <f t="shared" si="31"/>
        <v>0</v>
      </c>
      <c r="AA369" s="4"/>
      <c r="AB369" s="4"/>
      <c r="AC369">
        <f t="shared" si="32"/>
        <v>2</v>
      </c>
    </row>
    <row r="370" spans="1:30" ht="31.2" x14ac:dyDescent="0.3">
      <c r="A370" s="7" t="s">
        <v>46</v>
      </c>
      <c r="B370" s="6">
        <v>357</v>
      </c>
      <c r="C370" s="7" t="s">
        <v>1077</v>
      </c>
      <c r="D370" s="7" t="s">
        <v>1478</v>
      </c>
      <c r="E370" s="5"/>
      <c r="F370" s="4"/>
      <c r="G370" s="7" t="s">
        <v>1479</v>
      </c>
      <c r="H370" s="5"/>
      <c r="I370" s="5"/>
      <c r="J370" s="7" t="s">
        <v>1480</v>
      </c>
      <c r="K370" s="7" t="s">
        <v>24</v>
      </c>
      <c r="L370" s="7" t="s">
        <v>1481</v>
      </c>
      <c r="M370" s="109">
        <v>693893100</v>
      </c>
      <c r="N370" s="111"/>
      <c r="O370" s="109">
        <v>15000000</v>
      </c>
      <c r="P370" s="110"/>
      <c r="Q370" s="109">
        <f t="shared" si="28"/>
        <v>708893100</v>
      </c>
      <c r="R370" s="3">
        <v>693893100</v>
      </c>
      <c r="S370" s="5"/>
      <c r="T370" s="30">
        <v>15000000</v>
      </c>
      <c r="U370" s="5"/>
      <c r="V370" s="5"/>
      <c r="W370" s="28"/>
      <c r="X370" s="28">
        <f t="shared" si="29"/>
        <v>0</v>
      </c>
      <c r="Y370" s="28">
        <f t="shared" si="30"/>
        <v>0</v>
      </c>
      <c r="Z370" s="28">
        <f t="shared" si="31"/>
        <v>0</v>
      </c>
      <c r="AA370" s="4"/>
      <c r="AB370" s="4"/>
      <c r="AC370">
        <f t="shared" si="32"/>
        <v>2</v>
      </c>
    </row>
    <row r="371" spans="1:30" ht="46.8" x14ac:dyDescent="0.3">
      <c r="A371" s="7" t="s">
        <v>18</v>
      </c>
      <c r="B371" s="6">
        <v>358</v>
      </c>
      <c r="C371" s="7" t="s">
        <v>1077</v>
      </c>
      <c r="D371" s="7" t="s">
        <v>1482</v>
      </c>
      <c r="E371" s="5"/>
      <c r="F371" s="40" t="s">
        <v>1483</v>
      </c>
      <c r="G371" s="7" t="s">
        <v>1484</v>
      </c>
      <c r="H371" s="5"/>
      <c r="I371" s="5"/>
      <c r="J371" s="7" t="s">
        <v>1485</v>
      </c>
      <c r="K371" s="7" t="s">
        <v>24</v>
      </c>
      <c r="L371" s="7" t="s">
        <v>1432</v>
      </c>
      <c r="M371" s="109">
        <v>10000000</v>
      </c>
      <c r="N371" s="111"/>
      <c r="O371" s="109">
        <v>15000000</v>
      </c>
      <c r="P371" s="112">
        <v>30000000</v>
      </c>
      <c r="Q371" s="109">
        <f t="shared" si="28"/>
        <v>55000000</v>
      </c>
      <c r="R371" s="3">
        <v>10000000</v>
      </c>
      <c r="S371" s="5"/>
      <c r="T371" s="30">
        <v>15000000</v>
      </c>
      <c r="U371" s="3">
        <v>30000000</v>
      </c>
      <c r="V371" s="5"/>
      <c r="W371" s="28"/>
      <c r="X371" s="28">
        <f t="shared" si="29"/>
        <v>0</v>
      </c>
      <c r="Y371" s="28">
        <f t="shared" si="30"/>
        <v>0</v>
      </c>
      <c r="Z371" s="28">
        <f t="shared" si="31"/>
        <v>0</v>
      </c>
      <c r="AA371" s="4"/>
      <c r="AB371" s="4"/>
      <c r="AC371">
        <f t="shared" si="32"/>
        <v>2</v>
      </c>
    </row>
    <row r="372" spans="1:30" ht="31.2" x14ac:dyDescent="0.3">
      <c r="A372" s="7" t="s">
        <v>18</v>
      </c>
      <c r="B372" s="6">
        <v>359</v>
      </c>
      <c r="C372" s="7" t="s">
        <v>1077</v>
      </c>
      <c r="D372" s="7" t="s">
        <v>1486</v>
      </c>
      <c r="E372" s="7"/>
      <c r="F372" s="4"/>
      <c r="G372" s="7" t="s">
        <v>1487</v>
      </c>
      <c r="H372" s="7"/>
      <c r="I372" s="7"/>
      <c r="J372" s="7" t="s">
        <v>1488</v>
      </c>
      <c r="K372" s="7" t="s">
        <v>24</v>
      </c>
      <c r="L372" s="7" t="s">
        <v>1489</v>
      </c>
      <c r="M372" s="109">
        <v>1333962300</v>
      </c>
      <c r="N372" s="111"/>
      <c r="O372" s="109">
        <v>7500000</v>
      </c>
      <c r="P372" s="110"/>
      <c r="Q372" s="109">
        <f t="shared" si="28"/>
        <v>1341462300</v>
      </c>
      <c r="R372" s="3">
        <v>1333962300</v>
      </c>
      <c r="S372" s="5"/>
      <c r="T372" s="72"/>
      <c r="U372" s="5"/>
      <c r="V372" s="5"/>
      <c r="W372" s="28"/>
      <c r="X372" s="28">
        <f t="shared" si="29"/>
        <v>0</v>
      </c>
      <c r="Y372" s="36">
        <f t="shared" si="30"/>
        <v>7500000</v>
      </c>
      <c r="Z372" s="28">
        <f t="shared" si="31"/>
        <v>0</v>
      </c>
      <c r="AA372" s="4"/>
      <c r="AB372" s="40"/>
      <c r="AC372" s="121">
        <f t="shared" si="32"/>
        <v>2</v>
      </c>
      <c r="AD372" s="121"/>
    </row>
    <row r="373" spans="1:30" ht="31.2" x14ac:dyDescent="0.3">
      <c r="A373" s="7" t="s">
        <v>18</v>
      </c>
      <c r="B373" s="6">
        <v>360</v>
      </c>
      <c r="C373" s="7" t="s">
        <v>1077</v>
      </c>
      <c r="D373" s="7" t="s">
        <v>1490</v>
      </c>
      <c r="E373" s="5"/>
      <c r="F373" s="4"/>
      <c r="G373" s="7" t="s">
        <v>1491</v>
      </c>
      <c r="H373" s="7" t="s">
        <v>1282</v>
      </c>
      <c r="I373" s="5"/>
      <c r="J373" s="7" t="s">
        <v>1492</v>
      </c>
      <c r="K373" s="7" t="s">
        <v>24</v>
      </c>
      <c r="L373" s="7" t="s">
        <v>1493</v>
      </c>
      <c r="M373" s="109">
        <v>1884646500</v>
      </c>
      <c r="N373" s="111"/>
      <c r="O373" s="109">
        <v>7500000</v>
      </c>
      <c r="P373" s="110"/>
      <c r="Q373" s="109">
        <f t="shared" si="28"/>
        <v>1892146500</v>
      </c>
      <c r="R373" s="3">
        <v>1884646500</v>
      </c>
      <c r="S373" s="5"/>
      <c r="T373" s="30">
        <v>7500000</v>
      </c>
      <c r="U373" s="5"/>
      <c r="V373" s="5"/>
      <c r="W373" s="28"/>
      <c r="X373" s="28">
        <f t="shared" si="29"/>
        <v>0</v>
      </c>
      <c r="Y373" s="28">
        <f t="shared" si="30"/>
        <v>0</v>
      </c>
      <c r="Z373" s="28">
        <f t="shared" si="31"/>
        <v>0</v>
      </c>
      <c r="AA373" s="4"/>
      <c r="AB373" s="4"/>
      <c r="AC373">
        <f t="shared" si="32"/>
        <v>2</v>
      </c>
    </row>
    <row r="374" spans="1:30" ht="46.8" x14ac:dyDescent="0.3">
      <c r="A374" s="7" t="s">
        <v>18</v>
      </c>
      <c r="B374" s="6">
        <v>361</v>
      </c>
      <c r="C374" s="7" t="s">
        <v>1077</v>
      </c>
      <c r="D374" s="7" t="s">
        <v>1494</v>
      </c>
      <c r="E374" s="5"/>
      <c r="F374" s="4"/>
      <c r="G374" s="7" t="s">
        <v>1495</v>
      </c>
      <c r="H374" s="5"/>
      <c r="I374" s="5"/>
      <c r="J374" s="7" t="s">
        <v>1496</v>
      </c>
      <c r="K374" s="7" t="s">
        <v>24</v>
      </c>
      <c r="L374" s="7" t="s">
        <v>1497</v>
      </c>
      <c r="M374" s="109">
        <v>827738776</v>
      </c>
      <c r="N374" s="111"/>
      <c r="O374" s="109">
        <v>15000000</v>
      </c>
      <c r="P374" s="110"/>
      <c r="Q374" s="109">
        <f t="shared" si="28"/>
        <v>842738776</v>
      </c>
      <c r="R374" s="3">
        <v>827738776</v>
      </c>
      <c r="S374" s="5"/>
      <c r="T374" s="30">
        <v>15000000</v>
      </c>
      <c r="U374" s="5"/>
      <c r="V374" s="5"/>
      <c r="W374" s="28"/>
      <c r="X374" s="28">
        <f t="shared" si="29"/>
        <v>0</v>
      </c>
      <c r="Y374" s="28">
        <f t="shared" si="30"/>
        <v>0</v>
      </c>
      <c r="Z374" s="28">
        <f t="shared" si="31"/>
        <v>0</v>
      </c>
      <c r="AA374" s="4"/>
      <c r="AB374" s="4"/>
      <c r="AC374">
        <f t="shared" si="32"/>
        <v>2</v>
      </c>
    </row>
    <row r="375" spans="1:30" ht="46.8" x14ac:dyDescent="0.3">
      <c r="A375" s="7" t="s">
        <v>53</v>
      </c>
      <c r="B375" s="6">
        <v>362</v>
      </c>
      <c r="C375" s="7" t="s">
        <v>1077</v>
      </c>
      <c r="D375" s="7" t="s">
        <v>1498</v>
      </c>
      <c r="E375" s="5"/>
      <c r="F375" s="4"/>
      <c r="G375" s="7" t="s">
        <v>1499</v>
      </c>
      <c r="H375" s="5"/>
      <c r="I375" s="5"/>
      <c r="J375" s="7" t="s">
        <v>1500</v>
      </c>
      <c r="K375" s="7" t="s">
        <v>24</v>
      </c>
      <c r="L375" s="7" t="s">
        <v>1501</v>
      </c>
      <c r="M375" s="109">
        <v>3291977680</v>
      </c>
      <c r="N375" s="111"/>
      <c r="O375" s="109">
        <v>15000000</v>
      </c>
      <c r="P375" s="110"/>
      <c r="Q375" s="109">
        <f t="shared" si="28"/>
        <v>3306977680</v>
      </c>
      <c r="R375" s="3">
        <v>3291977680</v>
      </c>
      <c r="S375" s="5"/>
      <c r="T375" s="31">
        <v>15000000</v>
      </c>
      <c r="U375" s="5"/>
      <c r="V375" s="5"/>
      <c r="W375" s="28"/>
      <c r="X375" s="28">
        <f t="shared" si="29"/>
        <v>0</v>
      </c>
      <c r="Y375" s="28">
        <f t="shared" si="30"/>
        <v>0</v>
      </c>
      <c r="Z375" s="28">
        <f t="shared" si="31"/>
        <v>0</v>
      </c>
      <c r="AA375" s="4"/>
      <c r="AB375" s="4"/>
      <c r="AC375">
        <f t="shared" si="32"/>
        <v>2</v>
      </c>
    </row>
    <row r="376" spans="1:30" ht="46.8" x14ac:dyDescent="0.3">
      <c r="A376" s="7" t="s">
        <v>53</v>
      </c>
      <c r="B376" s="6">
        <v>363</v>
      </c>
      <c r="C376" s="7" t="s">
        <v>1077</v>
      </c>
      <c r="D376" s="7" t="s">
        <v>1502</v>
      </c>
      <c r="E376" s="5"/>
      <c r="F376" s="4"/>
      <c r="G376" s="7" t="s">
        <v>1503</v>
      </c>
      <c r="H376" s="5"/>
      <c r="I376" s="5"/>
      <c r="J376" s="7" t="s">
        <v>1422</v>
      </c>
      <c r="K376" s="7" t="s">
        <v>24</v>
      </c>
      <c r="L376" s="7" t="s">
        <v>1504</v>
      </c>
      <c r="M376" s="109">
        <v>937421750</v>
      </c>
      <c r="N376" s="111"/>
      <c r="O376" s="109">
        <v>7500000</v>
      </c>
      <c r="P376" s="110"/>
      <c r="Q376" s="109">
        <f t="shared" si="28"/>
        <v>944921750</v>
      </c>
      <c r="R376" s="3">
        <v>937421750</v>
      </c>
      <c r="S376" s="5"/>
      <c r="T376" s="30">
        <v>7500000</v>
      </c>
      <c r="U376" s="5"/>
      <c r="V376" s="5"/>
      <c r="W376" s="28"/>
      <c r="X376" s="28">
        <f t="shared" si="29"/>
        <v>0</v>
      </c>
      <c r="Y376" s="28">
        <f t="shared" si="30"/>
        <v>0</v>
      </c>
      <c r="Z376" s="28">
        <f t="shared" si="31"/>
        <v>0</v>
      </c>
      <c r="AA376" s="4"/>
      <c r="AB376" s="4"/>
      <c r="AC376">
        <f t="shared" si="32"/>
        <v>2</v>
      </c>
    </row>
    <row r="377" spans="1:30" ht="46.8" x14ac:dyDescent="0.3">
      <c r="A377" s="7" t="s">
        <v>62</v>
      </c>
      <c r="B377" s="6">
        <v>364</v>
      </c>
      <c r="C377" s="7" t="s">
        <v>1077</v>
      </c>
      <c r="D377" s="7" t="s">
        <v>1505</v>
      </c>
      <c r="E377" s="7" t="s">
        <v>1506</v>
      </c>
      <c r="F377" s="4"/>
      <c r="G377" s="7" t="s">
        <v>1507</v>
      </c>
      <c r="H377" s="7" t="s">
        <v>1508</v>
      </c>
      <c r="I377" s="5"/>
      <c r="J377" s="7" t="s">
        <v>1509</v>
      </c>
      <c r="K377" s="7" t="s">
        <v>24</v>
      </c>
      <c r="L377" s="7" t="s">
        <v>1510</v>
      </c>
      <c r="M377" s="109">
        <v>10000000</v>
      </c>
      <c r="N377" s="109">
        <v>762996660</v>
      </c>
      <c r="O377" s="109">
        <v>15000000</v>
      </c>
      <c r="P377" s="110"/>
      <c r="Q377" s="109">
        <f t="shared" si="28"/>
        <v>787996660</v>
      </c>
      <c r="R377" s="3">
        <v>10000000</v>
      </c>
      <c r="S377" s="3">
        <v>762996660</v>
      </c>
      <c r="T377" s="30">
        <v>15000000</v>
      </c>
      <c r="U377" s="5"/>
      <c r="V377" s="5"/>
      <c r="W377" s="28"/>
      <c r="X377" s="28">
        <f t="shared" si="29"/>
        <v>0</v>
      </c>
      <c r="Y377" s="28">
        <f t="shared" si="30"/>
        <v>0</v>
      </c>
      <c r="Z377" s="28">
        <f t="shared" si="31"/>
        <v>0</v>
      </c>
      <c r="AA377" s="4"/>
      <c r="AB377" s="4"/>
      <c r="AC377">
        <f t="shared" si="32"/>
        <v>2</v>
      </c>
    </row>
    <row r="378" spans="1:30" ht="46.8" x14ac:dyDescent="0.3">
      <c r="A378" s="7" t="s">
        <v>46</v>
      </c>
      <c r="B378" s="6">
        <v>365</v>
      </c>
      <c r="C378" s="7" t="s">
        <v>1077</v>
      </c>
      <c r="D378" s="7" t="s">
        <v>1511</v>
      </c>
      <c r="E378" s="7" t="s">
        <v>1512</v>
      </c>
      <c r="F378" s="4"/>
      <c r="G378" s="7" t="s">
        <v>1513</v>
      </c>
      <c r="H378" s="7" t="s">
        <v>1514</v>
      </c>
      <c r="I378" s="5"/>
      <c r="J378" s="7" t="s">
        <v>197</v>
      </c>
      <c r="K378" s="7" t="s">
        <v>24</v>
      </c>
      <c r="L378" s="7" t="s">
        <v>1515</v>
      </c>
      <c r="M378" s="109">
        <v>1975869376</v>
      </c>
      <c r="N378" s="109">
        <v>579124224</v>
      </c>
      <c r="O378" s="109">
        <v>15000000</v>
      </c>
      <c r="P378" s="110"/>
      <c r="Q378" s="109">
        <f t="shared" si="28"/>
        <v>2569993600</v>
      </c>
      <c r="R378" s="3">
        <v>1975869376</v>
      </c>
      <c r="S378" s="3">
        <v>579124224</v>
      </c>
      <c r="T378" s="30">
        <v>15000000</v>
      </c>
      <c r="U378" s="5"/>
      <c r="V378" s="5"/>
      <c r="W378" s="28"/>
      <c r="X378" s="28">
        <f t="shared" si="29"/>
        <v>0</v>
      </c>
      <c r="Y378" s="28">
        <f t="shared" si="30"/>
        <v>0</v>
      </c>
      <c r="Z378" s="28">
        <f t="shared" si="31"/>
        <v>0</v>
      </c>
      <c r="AA378" s="4"/>
      <c r="AB378" s="4"/>
      <c r="AC378">
        <f t="shared" si="32"/>
        <v>2</v>
      </c>
    </row>
    <row r="379" spans="1:30" ht="46.8" x14ac:dyDescent="0.3">
      <c r="A379" s="7" t="s">
        <v>53</v>
      </c>
      <c r="B379" s="6">
        <v>366</v>
      </c>
      <c r="C379" s="7" t="s">
        <v>1077</v>
      </c>
      <c r="D379" s="7" t="s">
        <v>1516</v>
      </c>
      <c r="E379" s="7" t="s">
        <v>914</v>
      </c>
      <c r="F379" s="4"/>
      <c r="G379" s="7" t="s">
        <v>1517</v>
      </c>
      <c r="H379" s="5"/>
      <c r="I379" s="5"/>
      <c r="J379" s="7" t="s">
        <v>1518</v>
      </c>
      <c r="K379" s="7" t="s">
        <v>24</v>
      </c>
      <c r="L379" s="7" t="s">
        <v>1519</v>
      </c>
      <c r="M379" s="109">
        <v>1715172160</v>
      </c>
      <c r="N379" s="109">
        <v>196024320</v>
      </c>
      <c r="O379" s="109">
        <v>15000000</v>
      </c>
      <c r="P379" s="110"/>
      <c r="Q379" s="109">
        <f t="shared" si="28"/>
        <v>1926196480</v>
      </c>
      <c r="R379" s="3">
        <v>1715172160</v>
      </c>
      <c r="S379" s="3">
        <v>196024320</v>
      </c>
      <c r="T379" s="30">
        <v>15000000</v>
      </c>
      <c r="U379" s="5"/>
      <c r="V379" s="5"/>
      <c r="W379" s="28"/>
      <c r="X379" s="28">
        <f t="shared" si="29"/>
        <v>0</v>
      </c>
      <c r="Y379" s="28">
        <f t="shared" si="30"/>
        <v>0</v>
      </c>
      <c r="Z379" s="28">
        <f t="shared" si="31"/>
        <v>0</v>
      </c>
      <c r="AA379" s="4"/>
      <c r="AB379" s="4"/>
      <c r="AC379">
        <f t="shared" si="32"/>
        <v>2</v>
      </c>
    </row>
    <row r="380" spans="1:30" ht="31.2" x14ac:dyDescent="0.3">
      <c r="A380" s="7" t="s">
        <v>46</v>
      </c>
      <c r="B380" s="6">
        <v>367</v>
      </c>
      <c r="C380" s="7" t="s">
        <v>1077</v>
      </c>
      <c r="D380" s="7" t="s">
        <v>1520</v>
      </c>
      <c r="E380" s="5"/>
      <c r="F380" s="4"/>
      <c r="G380" s="7" t="s">
        <v>1521</v>
      </c>
      <c r="H380" s="5"/>
      <c r="I380" s="5"/>
      <c r="J380" s="7" t="s">
        <v>1522</v>
      </c>
      <c r="K380" s="7" t="s">
        <v>24</v>
      </c>
      <c r="L380" s="7" t="s">
        <v>1523</v>
      </c>
      <c r="M380" s="109">
        <v>1139494794</v>
      </c>
      <c r="N380" s="111"/>
      <c r="O380" s="109">
        <v>7500000</v>
      </c>
      <c r="P380" s="110"/>
      <c r="Q380" s="109">
        <f t="shared" si="28"/>
        <v>1146994794</v>
      </c>
      <c r="R380" s="3">
        <v>1139494794</v>
      </c>
      <c r="S380" s="5"/>
      <c r="T380" s="30">
        <v>7500000</v>
      </c>
      <c r="U380" s="5"/>
      <c r="V380" s="5"/>
      <c r="W380" s="28"/>
      <c r="X380" s="28">
        <f t="shared" si="29"/>
        <v>0</v>
      </c>
      <c r="Y380" s="28">
        <f t="shared" si="30"/>
        <v>0</v>
      </c>
      <c r="Z380" s="28">
        <f t="shared" si="31"/>
        <v>0</v>
      </c>
      <c r="AA380" s="4"/>
      <c r="AB380" s="4"/>
      <c r="AC380">
        <f t="shared" si="32"/>
        <v>2</v>
      </c>
    </row>
    <row r="381" spans="1:30" ht="46.8" x14ac:dyDescent="0.3">
      <c r="A381" s="7" t="s">
        <v>62</v>
      </c>
      <c r="B381" s="6">
        <v>368</v>
      </c>
      <c r="C381" s="7" t="s">
        <v>1077</v>
      </c>
      <c r="D381" s="7" t="s">
        <v>1524</v>
      </c>
      <c r="E381" s="5"/>
      <c r="F381" s="4"/>
      <c r="G381" s="7" t="s">
        <v>1525</v>
      </c>
      <c r="H381" s="5"/>
      <c r="I381" s="5"/>
      <c r="J381" s="7" t="s">
        <v>1526</v>
      </c>
      <c r="K381" s="7" t="s">
        <v>24</v>
      </c>
      <c r="L381" s="7" t="s">
        <v>1527</v>
      </c>
      <c r="M381" s="109">
        <v>3291977680</v>
      </c>
      <c r="N381" s="111"/>
      <c r="O381" s="109">
        <v>15000000</v>
      </c>
      <c r="P381" s="110"/>
      <c r="Q381" s="109">
        <f t="shared" si="28"/>
        <v>3306977680</v>
      </c>
      <c r="R381" s="3">
        <v>3291977680</v>
      </c>
      <c r="S381" s="5"/>
      <c r="T381" s="30">
        <v>15000000</v>
      </c>
      <c r="U381" s="5"/>
      <c r="V381" s="5"/>
      <c r="W381" s="28"/>
      <c r="X381" s="28">
        <f t="shared" si="29"/>
        <v>0</v>
      </c>
      <c r="Y381" s="28">
        <f t="shared" si="30"/>
        <v>0</v>
      </c>
      <c r="Z381" s="28">
        <f t="shared" si="31"/>
        <v>0</v>
      </c>
      <c r="AA381" s="4"/>
      <c r="AB381" s="4"/>
      <c r="AC381">
        <f t="shared" si="32"/>
        <v>2</v>
      </c>
    </row>
    <row r="382" spans="1:30" ht="46.8" x14ac:dyDescent="0.3">
      <c r="A382" s="7" t="s">
        <v>18</v>
      </c>
      <c r="B382" s="6">
        <v>369</v>
      </c>
      <c r="C382" s="7" t="s">
        <v>1077</v>
      </c>
      <c r="D382" s="7" t="s">
        <v>1528</v>
      </c>
      <c r="E382" s="5"/>
      <c r="F382" s="4"/>
      <c r="G382" s="7" t="s">
        <v>1529</v>
      </c>
      <c r="H382" s="5"/>
      <c r="I382" s="5"/>
      <c r="J382" s="7" t="s">
        <v>1530</v>
      </c>
      <c r="K382" s="7" t="s">
        <v>24</v>
      </c>
      <c r="L382" s="7" t="s">
        <v>1531</v>
      </c>
      <c r="M382" s="109">
        <v>923485600</v>
      </c>
      <c r="N382" s="111"/>
      <c r="O382" s="109">
        <v>15000000</v>
      </c>
      <c r="P382" s="110"/>
      <c r="Q382" s="109">
        <f t="shared" si="28"/>
        <v>938485600</v>
      </c>
      <c r="R382" s="3">
        <v>923485600</v>
      </c>
      <c r="S382" s="5"/>
      <c r="T382" s="30">
        <v>15000000</v>
      </c>
      <c r="U382" s="5"/>
      <c r="V382" s="5"/>
      <c r="W382" s="28"/>
      <c r="X382" s="28">
        <f t="shared" si="29"/>
        <v>0</v>
      </c>
      <c r="Y382" s="28">
        <f t="shared" si="30"/>
        <v>0</v>
      </c>
      <c r="Z382" s="28">
        <f t="shared" si="31"/>
        <v>0</v>
      </c>
      <c r="AA382" s="4"/>
      <c r="AB382" s="4"/>
      <c r="AC382">
        <f t="shared" si="32"/>
        <v>2</v>
      </c>
    </row>
    <row r="383" spans="1:30" ht="62.4" x14ac:dyDescent="0.3">
      <c r="A383" s="7" t="s">
        <v>46</v>
      </c>
      <c r="B383" s="6">
        <v>370</v>
      </c>
      <c r="C383" s="7" t="s">
        <v>1077</v>
      </c>
      <c r="D383" s="7" t="s">
        <v>1532</v>
      </c>
      <c r="E383" s="7" t="s">
        <v>3872</v>
      </c>
      <c r="F383" s="4"/>
      <c r="G383" s="7" t="s">
        <v>1534</v>
      </c>
      <c r="H383" s="7" t="s">
        <v>3900</v>
      </c>
      <c r="I383" s="5"/>
      <c r="J383" s="7" t="s">
        <v>1536</v>
      </c>
      <c r="K383" s="7" t="s">
        <v>24</v>
      </c>
      <c r="L383" s="7" t="s">
        <v>1537</v>
      </c>
      <c r="M383" s="109">
        <v>2060615056</v>
      </c>
      <c r="N383" s="109">
        <v>753654790</v>
      </c>
      <c r="O383" s="109">
        <v>15000000</v>
      </c>
      <c r="P383" s="110"/>
      <c r="Q383" s="109">
        <f t="shared" si="28"/>
        <v>2829269846</v>
      </c>
      <c r="R383" s="3">
        <v>2060615056</v>
      </c>
      <c r="S383" s="3">
        <v>753654790</v>
      </c>
      <c r="T383" s="30">
        <v>15000000</v>
      </c>
      <c r="U383" s="5"/>
      <c r="V383" s="5"/>
      <c r="W383" s="28"/>
      <c r="X383" s="28">
        <f t="shared" si="29"/>
        <v>0</v>
      </c>
      <c r="Y383" s="28">
        <f t="shared" si="30"/>
        <v>0</v>
      </c>
      <c r="Z383" s="28">
        <f t="shared" si="31"/>
        <v>0</v>
      </c>
      <c r="AA383" s="4"/>
      <c r="AB383" s="4"/>
      <c r="AC383">
        <f t="shared" si="32"/>
        <v>2</v>
      </c>
    </row>
    <row r="384" spans="1:30" ht="31.2" x14ac:dyDescent="0.3">
      <c r="A384" s="7" t="s">
        <v>46</v>
      </c>
      <c r="B384" s="6">
        <v>371</v>
      </c>
      <c r="C384" s="7" t="s">
        <v>1077</v>
      </c>
      <c r="D384" s="7" t="s">
        <v>1538</v>
      </c>
      <c r="E384" s="5"/>
      <c r="F384" s="4"/>
      <c r="G384" s="7" t="s">
        <v>1539</v>
      </c>
      <c r="H384" s="5"/>
      <c r="I384" s="5"/>
      <c r="J384" s="7" t="s">
        <v>1540</v>
      </c>
      <c r="K384" s="7" t="s">
        <v>24</v>
      </c>
      <c r="L384" s="7" t="s">
        <v>1541</v>
      </c>
      <c r="M384" s="109">
        <v>0</v>
      </c>
      <c r="N384" s="111"/>
      <c r="O384" s="109">
        <v>7500000</v>
      </c>
      <c r="P384" s="110"/>
      <c r="Q384" s="109">
        <f t="shared" si="28"/>
        <v>7500000</v>
      </c>
      <c r="R384" s="6">
        <v>0</v>
      </c>
      <c r="S384" s="5"/>
      <c r="T384" s="31">
        <v>7500000</v>
      </c>
      <c r="U384" s="5"/>
      <c r="V384" s="5"/>
      <c r="W384" s="28"/>
      <c r="X384" s="28">
        <f t="shared" si="29"/>
        <v>0</v>
      </c>
      <c r="Y384" s="28">
        <f t="shared" si="30"/>
        <v>0</v>
      </c>
      <c r="Z384" s="28">
        <f t="shared" si="31"/>
        <v>0</v>
      </c>
      <c r="AA384" s="4"/>
      <c r="AB384" s="4"/>
      <c r="AC384">
        <f t="shared" si="32"/>
        <v>2</v>
      </c>
    </row>
    <row r="385" spans="1:30" ht="46.8" x14ac:dyDescent="0.3">
      <c r="A385" s="7" t="s">
        <v>53</v>
      </c>
      <c r="B385" s="6">
        <v>372</v>
      </c>
      <c r="C385" s="7" t="s">
        <v>1077</v>
      </c>
      <c r="D385" s="7" t="s">
        <v>1542</v>
      </c>
      <c r="E385" s="5"/>
      <c r="F385" s="4"/>
      <c r="G385" s="7" t="s">
        <v>1543</v>
      </c>
      <c r="H385" s="5"/>
      <c r="I385" s="5"/>
      <c r="J385" s="7" t="s">
        <v>1422</v>
      </c>
      <c r="K385" s="7" t="s">
        <v>24</v>
      </c>
      <c r="L385" s="7" t="s">
        <v>1544</v>
      </c>
      <c r="M385" s="109">
        <v>921360322</v>
      </c>
      <c r="N385" s="111"/>
      <c r="O385" s="109">
        <v>7500000</v>
      </c>
      <c r="P385" s="110"/>
      <c r="Q385" s="109">
        <f t="shared" si="28"/>
        <v>928860322</v>
      </c>
      <c r="R385" s="3">
        <v>921360322</v>
      </c>
      <c r="S385" s="5"/>
      <c r="T385" s="30">
        <v>7500000</v>
      </c>
      <c r="U385" s="5"/>
      <c r="V385" s="5"/>
      <c r="W385" s="28"/>
      <c r="X385" s="28">
        <f t="shared" si="29"/>
        <v>0</v>
      </c>
      <c r="Y385" s="28">
        <f t="shared" si="30"/>
        <v>0</v>
      </c>
      <c r="Z385" s="28">
        <f t="shared" si="31"/>
        <v>0</v>
      </c>
      <c r="AA385" s="4"/>
      <c r="AB385" s="4"/>
      <c r="AC385">
        <f t="shared" si="32"/>
        <v>2</v>
      </c>
    </row>
    <row r="386" spans="1:30" ht="46.8" x14ac:dyDescent="0.3">
      <c r="A386" s="7" t="s">
        <v>18</v>
      </c>
      <c r="B386" s="6">
        <v>373</v>
      </c>
      <c r="C386" s="7" t="s">
        <v>1077</v>
      </c>
      <c r="D386" s="7" t="s">
        <v>1545</v>
      </c>
      <c r="E386" s="5"/>
      <c r="F386" s="40" t="s">
        <v>1546</v>
      </c>
      <c r="G386" s="7" t="s">
        <v>1547</v>
      </c>
      <c r="H386" s="5"/>
      <c r="I386" s="5"/>
      <c r="J386" s="7" t="s">
        <v>1548</v>
      </c>
      <c r="K386" s="7" t="s">
        <v>24</v>
      </c>
      <c r="L386" s="7" t="s">
        <v>1549</v>
      </c>
      <c r="M386" s="109">
        <v>3862052810</v>
      </c>
      <c r="N386" s="111"/>
      <c r="O386" s="109">
        <v>15000000</v>
      </c>
      <c r="P386" s="112">
        <v>56000000</v>
      </c>
      <c r="Q386" s="109">
        <f t="shared" si="28"/>
        <v>3933052810</v>
      </c>
      <c r="R386" s="3">
        <v>3862052810</v>
      </c>
      <c r="S386" s="5"/>
      <c r="T386" s="30">
        <v>15000000</v>
      </c>
      <c r="U386" s="5"/>
      <c r="V386" s="5"/>
      <c r="W386" s="28"/>
      <c r="X386" s="28">
        <f t="shared" si="29"/>
        <v>0</v>
      </c>
      <c r="Y386" s="28">
        <f t="shared" si="30"/>
        <v>0</v>
      </c>
      <c r="Z386" s="28">
        <f t="shared" si="31"/>
        <v>56000000</v>
      </c>
      <c r="AA386" s="4"/>
      <c r="AB386" s="4"/>
      <c r="AC386">
        <f t="shared" si="32"/>
        <v>2</v>
      </c>
    </row>
    <row r="387" spans="1:30" ht="31.2" x14ac:dyDescent="0.3">
      <c r="A387" s="7" t="s">
        <v>18</v>
      </c>
      <c r="B387" s="6">
        <v>374</v>
      </c>
      <c r="C387" s="7" t="s">
        <v>1077</v>
      </c>
      <c r="D387" s="7" t="s">
        <v>1550</v>
      </c>
      <c r="E387" s="7" t="s">
        <v>1383</v>
      </c>
      <c r="F387" s="4"/>
      <c r="G387" s="7" t="s">
        <v>1551</v>
      </c>
      <c r="H387" s="5"/>
      <c r="I387" s="5"/>
      <c r="J387" s="7" t="s">
        <v>1552</v>
      </c>
      <c r="K387" s="7" t="s">
        <v>24</v>
      </c>
      <c r="L387" s="7" t="s">
        <v>1553</v>
      </c>
      <c r="M387" s="109">
        <v>1332855184</v>
      </c>
      <c r="N387" s="109">
        <v>1083625992</v>
      </c>
      <c r="O387" s="109">
        <v>15000000</v>
      </c>
      <c r="P387" s="110"/>
      <c r="Q387" s="109">
        <f t="shared" si="28"/>
        <v>2431481176</v>
      </c>
      <c r="R387" s="3">
        <v>1332855184</v>
      </c>
      <c r="S387" s="3">
        <v>1083625992</v>
      </c>
      <c r="T387" s="30">
        <v>15000000</v>
      </c>
      <c r="U387" s="5"/>
      <c r="V387" s="5"/>
      <c r="W387" s="28"/>
      <c r="X387" s="28">
        <f t="shared" si="29"/>
        <v>0</v>
      </c>
      <c r="Y387" s="28">
        <f t="shared" si="30"/>
        <v>0</v>
      </c>
      <c r="Z387" s="28">
        <f t="shared" si="31"/>
        <v>0</v>
      </c>
      <c r="AA387" s="4"/>
      <c r="AB387" s="4"/>
      <c r="AC387">
        <f t="shared" si="32"/>
        <v>2</v>
      </c>
    </row>
    <row r="388" spans="1:30" ht="46.8" x14ac:dyDescent="0.3">
      <c r="A388" s="7" t="s">
        <v>62</v>
      </c>
      <c r="B388" s="6">
        <v>375</v>
      </c>
      <c r="C388" s="7" t="s">
        <v>1077</v>
      </c>
      <c r="D388" s="7" t="s">
        <v>1554</v>
      </c>
      <c r="E388" s="5"/>
      <c r="F388" s="4"/>
      <c r="G388" s="7" t="s">
        <v>1555</v>
      </c>
      <c r="H388" s="5"/>
      <c r="I388" s="5"/>
      <c r="J388" s="7" t="s">
        <v>1556</v>
      </c>
      <c r="K388" s="7" t="s">
        <v>24</v>
      </c>
      <c r="L388" s="7" t="s">
        <v>1557</v>
      </c>
      <c r="M388" s="109">
        <v>1438986832</v>
      </c>
      <c r="N388" s="111"/>
      <c r="O388" s="109">
        <v>15000000</v>
      </c>
      <c r="P388" s="110"/>
      <c r="Q388" s="109">
        <f t="shared" si="28"/>
        <v>1453986832</v>
      </c>
      <c r="R388" s="3">
        <v>1438986832</v>
      </c>
      <c r="S388" s="5"/>
      <c r="T388" s="30">
        <v>15000000</v>
      </c>
      <c r="U388" s="5"/>
      <c r="V388" s="5"/>
      <c r="W388" s="28"/>
      <c r="X388" s="28">
        <f t="shared" si="29"/>
        <v>0</v>
      </c>
      <c r="Y388" s="28">
        <f t="shared" si="30"/>
        <v>0</v>
      </c>
      <c r="Z388" s="28">
        <f t="shared" si="31"/>
        <v>0</v>
      </c>
      <c r="AA388" s="4"/>
      <c r="AB388" s="4"/>
      <c r="AC388">
        <f t="shared" si="32"/>
        <v>2</v>
      </c>
    </row>
    <row r="389" spans="1:30" ht="46.8" x14ac:dyDescent="0.3">
      <c r="A389" s="7" t="s">
        <v>46</v>
      </c>
      <c r="B389" s="6">
        <v>376</v>
      </c>
      <c r="C389" s="7" t="s">
        <v>1077</v>
      </c>
      <c r="D389" s="7" t="s">
        <v>1558</v>
      </c>
      <c r="E389" s="5"/>
      <c r="F389" s="40" t="s">
        <v>1559</v>
      </c>
      <c r="G389" s="7" t="s">
        <v>1560</v>
      </c>
      <c r="H389" s="5"/>
      <c r="I389" s="5"/>
      <c r="J389" s="7" t="s">
        <v>1561</v>
      </c>
      <c r="K389" s="7" t="s">
        <v>24</v>
      </c>
      <c r="L389" s="7" t="s">
        <v>1562</v>
      </c>
      <c r="M389" s="109">
        <v>544448656</v>
      </c>
      <c r="N389" s="111"/>
      <c r="O389" s="109">
        <v>15000000</v>
      </c>
      <c r="P389" s="112">
        <v>72000000</v>
      </c>
      <c r="Q389" s="109">
        <f t="shared" si="28"/>
        <v>631448656</v>
      </c>
      <c r="R389" s="3">
        <v>544448656</v>
      </c>
      <c r="S389" s="5"/>
      <c r="T389" s="30">
        <v>15000000</v>
      </c>
      <c r="U389" s="5"/>
      <c r="V389" s="5"/>
      <c r="W389" s="28"/>
      <c r="X389" s="28">
        <f t="shared" si="29"/>
        <v>0</v>
      </c>
      <c r="Y389" s="28">
        <f t="shared" si="30"/>
        <v>0</v>
      </c>
      <c r="Z389" s="28">
        <f t="shared" si="31"/>
        <v>72000000</v>
      </c>
      <c r="AA389" s="4"/>
      <c r="AB389" s="4"/>
      <c r="AC389">
        <f t="shared" si="32"/>
        <v>2</v>
      </c>
    </row>
    <row r="390" spans="1:30" ht="31.2" x14ac:dyDescent="0.3">
      <c r="A390" s="7" t="s">
        <v>62</v>
      </c>
      <c r="B390" s="6">
        <v>377</v>
      </c>
      <c r="C390" s="7" t="s">
        <v>1077</v>
      </c>
      <c r="D390" s="7" t="s">
        <v>1563</v>
      </c>
      <c r="E390" s="7" t="s">
        <v>1564</v>
      </c>
      <c r="F390" s="4"/>
      <c r="G390" s="7" t="s">
        <v>1565</v>
      </c>
      <c r="H390" s="7" t="s">
        <v>1566</v>
      </c>
      <c r="I390" s="5"/>
      <c r="J390" s="7" t="s">
        <v>1567</v>
      </c>
      <c r="K390" s="7" t="s">
        <v>24</v>
      </c>
      <c r="L390" s="7" t="s">
        <v>1406</v>
      </c>
      <c r="M390" s="109">
        <v>1565965768</v>
      </c>
      <c r="N390" s="109">
        <v>410266836</v>
      </c>
      <c r="O390" s="109">
        <v>15000000</v>
      </c>
      <c r="P390" s="110"/>
      <c r="Q390" s="109">
        <f t="shared" si="28"/>
        <v>1991232604</v>
      </c>
      <c r="R390" s="3">
        <v>1565965768</v>
      </c>
      <c r="S390" s="28">
        <v>410266836</v>
      </c>
      <c r="T390" s="30">
        <v>15000000</v>
      </c>
      <c r="U390" s="5"/>
      <c r="V390" s="5"/>
      <c r="W390" s="28"/>
      <c r="X390" s="28">
        <f t="shared" si="29"/>
        <v>0</v>
      </c>
      <c r="Y390" s="28">
        <f t="shared" si="30"/>
        <v>0</v>
      </c>
      <c r="Z390" s="28">
        <f t="shared" si="31"/>
        <v>0</v>
      </c>
      <c r="AA390" s="4"/>
      <c r="AB390" s="4"/>
      <c r="AC390">
        <f t="shared" si="32"/>
        <v>2</v>
      </c>
    </row>
    <row r="391" spans="1:30" ht="31.2" x14ac:dyDescent="0.3">
      <c r="A391" s="7" t="s">
        <v>62</v>
      </c>
      <c r="B391" s="6">
        <v>378</v>
      </c>
      <c r="C391" s="7" t="s">
        <v>1077</v>
      </c>
      <c r="D391" s="7" t="s">
        <v>1568</v>
      </c>
      <c r="E391" s="5"/>
      <c r="F391" s="4"/>
      <c r="G391" s="7" t="s">
        <v>1569</v>
      </c>
      <c r="H391" s="5"/>
      <c r="I391" s="5"/>
      <c r="J391" s="7" t="s">
        <v>1570</v>
      </c>
      <c r="K391" s="7" t="s">
        <v>24</v>
      </c>
      <c r="L391" s="7" t="s">
        <v>1571</v>
      </c>
      <c r="M391" s="109">
        <v>1173810916</v>
      </c>
      <c r="N391" s="111"/>
      <c r="O391" s="109">
        <v>15000000</v>
      </c>
      <c r="P391" s="110"/>
      <c r="Q391" s="109">
        <f t="shared" si="28"/>
        <v>1188810916</v>
      </c>
      <c r="R391" s="3">
        <v>1173810916</v>
      </c>
      <c r="S391" s="5"/>
      <c r="T391" s="30">
        <v>15000000</v>
      </c>
      <c r="U391" s="5"/>
      <c r="V391" s="5"/>
      <c r="W391" s="28"/>
      <c r="X391" s="28">
        <f t="shared" si="29"/>
        <v>0</v>
      </c>
      <c r="Y391" s="28">
        <f t="shared" si="30"/>
        <v>0</v>
      </c>
      <c r="Z391" s="28">
        <f t="shared" si="31"/>
        <v>0</v>
      </c>
      <c r="AA391" s="4"/>
      <c r="AB391" s="4"/>
      <c r="AC391">
        <f t="shared" si="32"/>
        <v>2</v>
      </c>
    </row>
    <row r="392" spans="1:30" ht="31.2" x14ac:dyDescent="0.3">
      <c r="A392" s="7" t="s">
        <v>62</v>
      </c>
      <c r="B392" s="6">
        <v>379</v>
      </c>
      <c r="C392" s="7" t="s">
        <v>1077</v>
      </c>
      <c r="D392" s="7" t="s">
        <v>1572</v>
      </c>
      <c r="E392" s="7"/>
      <c r="F392" s="4"/>
      <c r="G392" s="7" t="s">
        <v>1573</v>
      </c>
      <c r="H392" s="7"/>
      <c r="I392" s="7"/>
      <c r="J392" s="7" t="s">
        <v>1574</v>
      </c>
      <c r="K392" s="7" t="s">
        <v>24</v>
      </c>
      <c r="L392" s="7" t="s">
        <v>1575</v>
      </c>
      <c r="M392" s="109">
        <v>1932455460</v>
      </c>
      <c r="N392" s="111"/>
      <c r="O392" s="109">
        <v>7500000</v>
      </c>
      <c r="P392" s="110"/>
      <c r="Q392" s="109">
        <f t="shared" si="28"/>
        <v>1939955460</v>
      </c>
      <c r="R392" s="3">
        <v>1932455460</v>
      </c>
      <c r="S392" s="5"/>
      <c r="T392" s="72"/>
      <c r="U392" s="5"/>
      <c r="V392" s="5"/>
      <c r="W392" s="28"/>
      <c r="X392" s="28">
        <f t="shared" si="29"/>
        <v>0</v>
      </c>
      <c r="Y392" s="36">
        <f t="shared" si="30"/>
        <v>7500000</v>
      </c>
      <c r="Z392" s="28">
        <f t="shared" si="31"/>
        <v>0</v>
      </c>
      <c r="AA392" s="4"/>
      <c r="AB392" s="40"/>
      <c r="AC392" s="121">
        <f t="shared" si="32"/>
        <v>2</v>
      </c>
      <c r="AD392" s="121"/>
    </row>
    <row r="393" spans="1:30" ht="46.8" x14ac:dyDescent="0.3">
      <c r="A393" s="7" t="s">
        <v>18</v>
      </c>
      <c r="B393" s="6">
        <v>380</v>
      </c>
      <c r="C393" s="7" t="s">
        <v>1077</v>
      </c>
      <c r="D393" s="7" t="s">
        <v>1576</v>
      </c>
      <c r="E393" s="7" t="s">
        <v>1512</v>
      </c>
      <c r="F393" s="4"/>
      <c r="G393" s="7" t="s">
        <v>1577</v>
      </c>
      <c r="H393" s="7" t="s">
        <v>1578</v>
      </c>
      <c r="I393" s="5"/>
      <c r="J393" s="7" t="s">
        <v>1579</v>
      </c>
      <c r="K393" s="7" t="s">
        <v>24</v>
      </c>
      <c r="L393" s="7" t="s">
        <v>1580</v>
      </c>
      <c r="M393" s="109">
        <v>7987138183</v>
      </c>
      <c r="N393" s="109">
        <v>674307533</v>
      </c>
      <c r="O393" s="109">
        <v>15000000</v>
      </c>
      <c r="P393" s="110"/>
      <c r="Q393" s="109">
        <f t="shared" si="28"/>
        <v>8676445716</v>
      </c>
      <c r="R393" s="3">
        <v>7987138183</v>
      </c>
      <c r="S393" s="3">
        <v>674307533</v>
      </c>
      <c r="T393" s="30">
        <v>15000000</v>
      </c>
      <c r="U393" s="5"/>
      <c r="V393" s="5"/>
      <c r="W393" s="28"/>
      <c r="X393" s="28">
        <f t="shared" si="29"/>
        <v>0</v>
      </c>
      <c r="Y393" s="28">
        <f t="shared" si="30"/>
        <v>0</v>
      </c>
      <c r="Z393" s="28">
        <f t="shared" si="31"/>
        <v>0</v>
      </c>
      <c r="AA393" s="4"/>
      <c r="AB393" s="4"/>
      <c r="AC393">
        <f t="shared" si="32"/>
        <v>2</v>
      </c>
    </row>
    <row r="394" spans="1:30" ht="31.2" x14ac:dyDescent="0.3">
      <c r="A394" s="7" t="s">
        <v>18</v>
      </c>
      <c r="B394" s="6">
        <v>381</v>
      </c>
      <c r="C394" s="7" t="s">
        <v>1077</v>
      </c>
      <c r="D394" s="7" t="s">
        <v>1581</v>
      </c>
      <c r="E394" s="7" t="s">
        <v>1582</v>
      </c>
      <c r="F394" s="4"/>
      <c r="G394" s="7" t="s">
        <v>1583</v>
      </c>
      <c r="H394" s="7" t="s">
        <v>1584</v>
      </c>
      <c r="I394" s="5"/>
      <c r="J394" s="7" t="s">
        <v>1585</v>
      </c>
      <c r="K394" s="7" t="s">
        <v>24</v>
      </c>
      <c r="L394" s="7" t="s">
        <v>1586</v>
      </c>
      <c r="M394" s="109">
        <v>3114350704</v>
      </c>
      <c r="N394" s="109">
        <v>818534808</v>
      </c>
      <c r="O394" s="109">
        <v>15000000</v>
      </c>
      <c r="P394" s="110"/>
      <c r="Q394" s="109">
        <f t="shared" si="28"/>
        <v>3947885512</v>
      </c>
      <c r="R394" s="3">
        <v>3114350704</v>
      </c>
      <c r="S394" s="3">
        <v>818534808</v>
      </c>
      <c r="T394" s="30">
        <v>15000000</v>
      </c>
      <c r="U394" s="5"/>
      <c r="V394" s="5"/>
      <c r="W394" s="28"/>
      <c r="X394" s="28">
        <f t="shared" si="29"/>
        <v>0</v>
      </c>
      <c r="Y394" s="28">
        <f t="shared" si="30"/>
        <v>0</v>
      </c>
      <c r="Z394" s="28">
        <f t="shared" si="31"/>
        <v>0</v>
      </c>
      <c r="AA394" s="4"/>
      <c r="AB394" s="4"/>
      <c r="AC394">
        <f t="shared" si="32"/>
        <v>2</v>
      </c>
    </row>
    <row r="395" spans="1:30" ht="46.8" x14ac:dyDescent="0.3">
      <c r="A395" s="7" t="s">
        <v>62</v>
      </c>
      <c r="B395" s="6">
        <v>382</v>
      </c>
      <c r="C395" s="7" t="s">
        <v>1077</v>
      </c>
      <c r="D395" s="7" t="s">
        <v>1587</v>
      </c>
      <c r="E395" s="5"/>
      <c r="F395" s="4"/>
      <c r="G395" s="7" t="s">
        <v>1588</v>
      </c>
      <c r="H395" s="5"/>
      <c r="I395" s="5"/>
      <c r="J395" s="7" t="s">
        <v>1589</v>
      </c>
      <c r="K395" s="7" t="s">
        <v>24</v>
      </c>
      <c r="L395" s="7" t="s">
        <v>1590</v>
      </c>
      <c r="M395" s="109">
        <v>1601529450</v>
      </c>
      <c r="N395" s="111"/>
      <c r="O395" s="109">
        <v>7500000</v>
      </c>
      <c r="P395" s="110"/>
      <c r="Q395" s="109">
        <f t="shared" si="28"/>
        <v>1609029450</v>
      </c>
      <c r="R395" s="3">
        <v>1601529450</v>
      </c>
      <c r="S395" s="5"/>
      <c r="T395" s="30">
        <v>7500000</v>
      </c>
      <c r="U395" s="5"/>
      <c r="V395" s="5"/>
      <c r="W395" s="28"/>
      <c r="X395" s="28">
        <f t="shared" si="29"/>
        <v>0</v>
      </c>
      <c r="Y395" s="28">
        <f t="shared" si="30"/>
        <v>0</v>
      </c>
      <c r="Z395" s="28">
        <f t="shared" si="31"/>
        <v>0</v>
      </c>
      <c r="AA395" s="4"/>
      <c r="AB395" s="4"/>
      <c r="AC395">
        <f t="shared" si="32"/>
        <v>2</v>
      </c>
    </row>
    <row r="396" spans="1:30" ht="46.8" x14ac:dyDescent="0.3">
      <c r="A396" s="7" t="s">
        <v>62</v>
      </c>
      <c r="B396" s="6">
        <v>383</v>
      </c>
      <c r="C396" s="7" t="s">
        <v>1591</v>
      </c>
      <c r="D396" s="7" t="s">
        <v>1592</v>
      </c>
      <c r="E396" s="5"/>
      <c r="F396" s="4"/>
      <c r="G396" s="7" t="s">
        <v>1593</v>
      </c>
      <c r="H396" s="5"/>
      <c r="I396" s="5"/>
      <c r="J396" s="7" t="s">
        <v>1594</v>
      </c>
      <c r="K396" s="7" t="s">
        <v>24</v>
      </c>
      <c r="L396" s="7" t="s">
        <v>1595</v>
      </c>
      <c r="M396" s="109">
        <v>11297433580</v>
      </c>
      <c r="N396" s="111"/>
      <c r="O396" s="109">
        <v>15000000</v>
      </c>
      <c r="P396" s="110"/>
      <c r="Q396" s="109">
        <f t="shared" si="28"/>
        <v>11312433580</v>
      </c>
      <c r="R396" s="3">
        <v>11297433580</v>
      </c>
      <c r="S396" s="5"/>
      <c r="T396" s="30">
        <v>15000000</v>
      </c>
      <c r="U396" s="5"/>
      <c r="V396" s="5"/>
      <c r="W396" s="28"/>
      <c r="X396" s="28">
        <f t="shared" si="29"/>
        <v>0</v>
      </c>
      <c r="Y396" s="28">
        <f t="shared" si="30"/>
        <v>0</v>
      </c>
      <c r="Z396" s="28">
        <f t="shared" si="31"/>
        <v>0</v>
      </c>
      <c r="AA396" s="4"/>
      <c r="AB396" s="4"/>
      <c r="AC396">
        <f t="shared" si="32"/>
        <v>2</v>
      </c>
    </row>
    <row r="397" spans="1:30" ht="62.4" customHeight="1" x14ac:dyDescent="0.3">
      <c r="A397" s="7" t="s">
        <v>46</v>
      </c>
      <c r="B397" s="6">
        <v>384</v>
      </c>
      <c r="C397" s="7" t="s">
        <v>1591</v>
      </c>
      <c r="D397" s="7" t="s">
        <v>1596</v>
      </c>
      <c r="E397" s="5"/>
      <c r="F397" s="40" t="s">
        <v>1597</v>
      </c>
      <c r="G397" s="7" t="s">
        <v>1598</v>
      </c>
      <c r="H397" s="5"/>
      <c r="I397" s="5"/>
      <c r="J397" s="7" t="s">
        <v>1599</v>
      </c>
      <c r="K397" s="7" t="s">
        <v>24</v>
      </c>
      <c r="L397" s="7" t="s">
        <v>1600</v>
      </c>
      <c r="M397" s="109">
        <v>3413351616</v>
      </c>
      <c r="N397" s="111"/>
      <c r="O397" s="109">
        <v>15000000</v>
      </c>
      <c r="P397" s="112">
        <v>126000000</v>
      </c>
      <c r="Q397" s="109">
        <f t="shared" si="28"/>
        <v>3554351616</v>
      </c>
      <c r="R397" s="3">
        <v>3413351616</v>
      </c>
      <c r="S397" s="5"/>
      <c r="T397" s="30">
        <v>15000000</v>
      </c>
      <c r="U397" s="3">
        <v>126000000</v>
      </c>
      <c r="V397" s="5"/>
      <c r="W397" s="28"/>
      <c r="X397" s="28">
        <f t="shared" si="29"/>
        <v>0</v>
      </c>
      <c r="Y397" s="28">
        <f t="shared" si="30"/>
        <v>0</v>
      </c>
      <c r="Z397" s="28">
        <f t="shared" si="31"/>
        <v>0</v>
      </c>
      <c r="AA397" s="4"/>
      <c r="AB397" s="4"/>
      <c r="AC397">
        <f t="shared" si="32"/>
        <v>2</v>
      </c>
    </row>
    <row r="398" spans="1:30" ht="78" x14ac:dyDescent="0.3">
      <c r="A398" s="7" t="s">
        <v>1601</v>
      </c>
      <c r="B398" s="6">
        <v>385</v>
      </c>
      <c r="C398" s="7" t="s">
        <v>1591</v>
      </c>
      <c r="D398" s="7" t="s">
        <v>1602</v>
      </c>
      <c r="E398" s="7" t="s">
        <v>1603</v>
      </c>
      <c r="F398" s="4"/>
      <c r="G398" s="7" t="s">
        <v>1604</v>
      </c>
      <c r="H398" s="7"/>
      <c r="I398" s="7" t="s">
        <v>1605</v>
      </c>
      <c r="J398" s="7" t="s">
        <v>1606</v>
      </c>
      <c r="K398" s="7" t="s">
        <v>24</v>
      </c>
      <c r="L398" s="7" t="s">
        <v>1607</v>
      </c>
      <c r="M398" s="109">
        <v>0</v>
      </c>
      <c r="N398" s="111"/>
      <c r="O398" s="109">
        <v>7500000</v>
      </c>
      <c r="P398" s="110"/>
      <c r="Q398" s="109">
        <f t="shared" si="28"/>
        <v>7500000</v>
      </c>
      <c r="R398" s="6">
        <v>0</v>
      </c>
      <c r="S398" s="5"/>
      <c r="T398" s="72"/>
      <c r="U398" s="5"/>
      <c r="V398" s="5"/>
      <c r="W398" s="28"/>
      <c r="X398" s="28">
        <f t="shared" si="29"/>
        <v>0</v>
      </c>
      <c r="Y398" s="36">
        <f t="shared" si="30"/>
        <v>7500000</v>
      </c>
      <c r="Z398" s="28">
        <f t="shared" si="31"/>
        <v>0</v>
      </c>
      <c r="AA398" s="4"/>
      <c r="AB398" s="40"/>
      <c r="AC398" s="121">
        <f t="shared" si="32"/>
        <v>2</v>
      </c>
      <c r="AD398" s="121"/>
    </row>
    <row r="399" spans="1:30" ht="46.8" x14ac:dyDescent="0.3">
      <c r="A399" s="7" t="s">
        <v>18</v>
      </c>
      <c r="B399" s="6">
        <v>386</v>
      </c>
      <c r="C399" s="7" t="s">
        <v>1591</v>
      </c>
      <c r="D399" s="7" t="s">
        <v>1608</v>
      </c>
      <c r="E399" s="7"/>
      <c r="F399" s="4"/>
      <c r="G399" s="7" t="s">
        <v>1609</v>
      </c>
      <c r="H399" s="7"/>
      <c r="I399" s="7"/>
      <c r="J399" s="7" t="s">
        <v>1610</v>
      </c>
      <c r="K399" s="7" t="s">
        <v>24</v>
      </c>
      <c r="L399" s="7" t="s">
        <v>1611</v>
      </c>
      <c r="M399" s="109">
        <v>10000000</v>
      </c>
      <c r="N399" s="111"/>
      <c r="O399" s="109">
        <v>15000000</v>
      </c>
      <c r="P399" s="110"/>
      <c r="Q399" s="109">
        <f t="shared" ref="Q399:Q462" si="33">M399+N399+O399+P399</f>
        <v>25000000</v>
      </c>
      <c r="R399" s="5"/>
      <c r="S399" s="5"/>
      <c r="T399" s="72"/>
      <c r="U399" s="5"/>
      <c r="V399" s="5"/>
      <c r="W399" s="28">
        <v>10000000</v>
      </c>
      <c r="X399" s="28">
        <f t="shared" ref="X399:X462" si="34">N399-S399</f>
        <v>0</v>
      </c>
      <c r="Y399" s="36">
        <f t="shared" ref="Y399:Y462" si="35">O399-T399</f>
        <v>15000000</v>
      </c>
      <c r="Z399" s="28">
        <f t="shared" ref="Z399:Z462" si="36">P399-U399</f>
        <v>0</v>
      </c>
      <c r="AA399" s="13">
        <v>10000000</v>
      </c>
      <c r="AB399" s="40"/>
      <c r="AC399" s="121">
        <f t="shared" ref="AC399:AC462" si="37">IF(AB399=G399,1,2)</f>
        <v>2</v>
      </c>
      <c r="AD399" s="121"/>
    </row>
    <row r="400" spans="1:30" ht="46.8" x14ac:dyDescent="0.3">
      <c r="A400" s="7" t="s">
        <v>18</v>
      </c>
      <c r="B400" s="6">
        <v>387</v>
      </c>
      <c r="C400" s="7" t="s">
        <v>1591</v>
      </c>
      <c r="D400" s="7" t="s">
        <v>1612</v>
      </c>
      <c r="E400" s="5"/>
      <c r="F400" s="4"/>
      <c r="G400" s="7" t="s">
        <v>1613</v>
      </c>
      <c r="H400" s="5"/>
      <c r="I400" s="5"/>
      <c r="J400" s="7" t="s">
        <v>1614</v>
      </c>
      <c r="K400" s="7" t="s">
        <v>24</v>
      </c>
      <c r="L400" s="7" t="s">
        <v>1615</v>
      </c>
      <c r="M400" s="109">
        <v>316671600</v>
      </c>
      <c r="N400" s="111"/>
      <c r="O400" s="109">
        <v>7500000</v>
      </c>
      <c r="P400" s="110"/>
      <c r="Q400" s="109">
        <f t="shared" si="33"/>
        <v>324171600</v>
      </c>
      <c r="R400" s="3">
        <v>316671600</v>
      </c>
      <c r="S400" s="5"/>
      <c r="T400" s="30">
        <v>7500000</v>
      </c>
      <c r="U400" s="5"/>
      <c r="V400" s="5"/>
      <c r="W400" s="28"/>
      <c r="X400" s="28">
        <f t="shared" si="34"/>
        <v>0</v>
      </c>
      <c r="Y400" s="28">
        <f t="shared" si="35"/>
        <v>0</v>
      </c>
      <c r="Z400" s="28">
        <f t="shared" si="36"/>
        <v>0</v>
      </c>
      <c r="AA400" s="4"/>
      <c r="AB400" s="4"/>
      <c r="AC400">
        <f t="shared" si="37"/>
        <v>2</v>
      </c>
    </row>
    <row r="401" spans="1:30" ht="46.8" x14ac:dyDescent="0.3">
      <c r="A401" s="7" t="s">
        <v>18</v>
      </c>
      <c r="B401" s="6">
        <v>388</v>
      </c>
      <c r="C401" s="7" t="s">
        <v>1591</v>
      </c>
      <c r="D401" s="7" t="s">
        <v>1616</v>
      </c>
      <c r="E401" s="5"/>
      <c r="F401" s="4"/>
      <c r="G401" s="7" t="s">
        <v>1617</v>
      </c>
      <c r="H401" s="5"/>
      <c r="I401" s="5"/>
      <c r="J401" s="7" t="s">
        <v>1618</v>
      </c>
      <c r="K401" s="7" t="s">
        <v>24</v>
      </c>
      <c r="L401" s="7" t="s">
        <v>1619</v>
      </c>
      <c r="M401" s="109">
        <v>467090610</v>
      </c>
      <c r="N401" s="111"/>
      <c r="O401" s="109">
        <v>7500000</v>
      </c>
      <c r="P401" s="110"/>
      <c r="Q401" s="109">
        <f t="shared" si="33"/>
        <v>474590610</v>
      </c>
      <c r="R401" s="9">
        <v>467090610</v>
      </c>
      <c r="S401" s="5"/>
      <c r="T401" s="30">
        <v>7500000</v>
      </c>
      <c r="U401" s="5"/>
      <c r="V401" s="5"/>
      <c r="W401" s="28"/>
      <c r="X401" s="28">
        <f t="shared" si="34"/>
        <v>0</v>
      </c>
      <c r="Y401" s="28">
        <f t="shared" si="35"/>
        <v>0</v>
      </c>
      <c r="Z401" s="28">
        <f t="shared" si="36"/>
        <v>0</v>
      </c>
      <c r="AA401" s="4"/>
      <c r="AB401" s="4"/>
      <c r="AC401">
        <f t="shared" si="37"/>
        <v>2</v>
      </c>
    </row>
    <row r="402" spans="1:30" ht="46.8" x14ac:dyDescent="0.3">
      <c r="A402" s="7" t="s">
        <v>18</v>
      </c>
      <c r="B402" s="6">
        <v>389</v>
      </c>
      <c r="C402" s="7" t="s">
        <v>1591</v>
      </c>
      <c r="D402" s="7" t="s">
        <v>1620</v>
      </c>
      <c r="E402" s="5"/>
      <c r="F402" s="4"/>
      <c r="G402" s="7" t="s">
        <v>1621</v>
      </c>
      <c r="H402" s="5"/>
      <c r="I402" s="5"/>
      <c r="J402" s="7" t="s">
        <v>1622</v>
      </c>
      <c r="K402" s="7" t="s">
        <v>24</v>
      </c>
      <c r="L402" s="7" t="s">
        <v>1623</v>
      </c>
      <c r="M402" s="109">
        <v>938372032</v>
      </c>
      <c r="N402" s="111"/>
      <c r="O402" s="109">
        <v>15000000</v>
      </c>
      <c r="P402" s="110"/>
      <c r="Q402" s="109">
        <f t="shared" si="33"/>
        <v>953372032</v>
      </c>
      <c r="R402" s="3">
        <v>938372032</v>
      </c>
      <c r="S402" s="5"/>
      <c r="T402" s="30">
        <v>15000000</v>
      </c>
      <c r="U402" s="5"/>
      <c r="V402" s="5"/>
      <c r="W402" s="28"/>
      <c r="X402" s="28">
        <f t="shared" si="34"/>
        <v>0</v>
      </c>
      <c r="Y402" s="28">
        <f t="shared" si="35"/>
        <v>0</v>
      </c>
      <c r="Z402" s="28">
        <f t="shared" si="36"/>
        <v>0</v>
      </c>
      <c r="AA402" s="4"/>
      <c r="AB402" s="4"/>
      <c r="AC402">
        <f t="shared" si="37"/>
        <v>2</v>
      </c>
    </row>
    <row r="403" spans="1:30" ht="46.8" x14ac:dyDescent="0.3">
      <c r="A403" s="7" t="s">
        <v>1601</v>
      </c>
      <c r="B403" s="6">
        <v>390</v>
      </c>
      <c r="C403" s="7" t="s">
        <v>1591</v>
      </c>
      <c r="D403" s="7" t="s">
        <v>1624</v>
      </c>
      <c r="E403" s="7"/>
      <c r="F403" s="4"/>
      <c r="G403" s="7" t="s">
        <v>1625</v>
      </c>
      <c r="H403" s="7"/>
      <c r="I403" s="7"/>
      <c r="J403" s="7" t="s">
        <v>1626</v>
      </c>
      <c r="K403" s="7" t="s">
        <v>24</v>
      </c>
      <c r="L403" s="7" t="s">
        <v>1627</v>
      </c>
      <c r="M403" s="109">
        <v>6416500</v>
      </c>
      <c r="N403" s="111"/>
      <c r="O403" s="109">
        <v>7500000</v>
      </c>
      <c r="P403" s="110"/>
      <c r="Q403" s="109">
        <f t="shared" si="33"/>
        <v>13916500</v>
      </c>
      <c r="R403" s="5"/>
      <c r="S403" s="5"/>
      <c r="T403" s="72"/>
      <c r="U403" s="5"/>
      <c r="V403" s="5"/>
      <c r="W403" s="28">
        <v>6416500</v>
      </c>
      <c r="X403" s="28">
        <f t="shared" si="34"/>
        <v>0</v>
      </c>
      <c r="Y403" s="36">
        <f t="shared" si="35"/>
        <v>7500000</v>
      </c>
      <c r="Z403" s="28">
        <f t="shared" si="36"/>
        <v>0</v>
      </c>
      <c r="AA403" s="8">
        <v>6416500</v>
      </c>
      <c r="AB403" s="40"/>
      <c r="AC403" s="121">
        <f t="shared" si="37"/>
        <v>2</v>
      </c>
      <c r="AD403" s="121"/>
    </row>
    <row r="404" spans="1:30" ht="46.8" x14ac:dyDescent="0.3">
      <c r="A404" s="7" t="s">
        <v>53</v>
      </c>
      <c r="B404" s="6">
        <v>391</v>
      </c>
      <c r="C404" s="7" t="s">
        <v>1591</v>
      </c>
      <c r="D404" s="7" t="s">
        <v>1628</v>
      </c>
      <c r="E404" s="5"/>
      <c r="F404" s="4"/>
      <c r="G404" s="7" t="s">
        <v>1629</v>
      </c>
      <c r="H404" s="5"/>
      <c r="I404" s="5"/>
      <c r="J404" s="7" t="s">
        <v>1630</v>
      </c>
      <c r="K404" s="7" t="s">
        <v>24</v>
      </c>
      <c r="L404" s="7" t="s">
        <v>1631</v>
      </c>
      <c r="M404" s="109">
        <v>1417969836</v>
      </c>
      <c r="N404" s="111"/>
      <c r="O404" s="109">
        <v>15000000</v>
      </c>
      <c r="P404" s="110"/>
      <c r="Q404" s="109">
        <f t="shared" si="33"/>
        <v>1432969836</v>
      </c>
      <c r="R404" s="3">
        <v>1417969836</v>
      </c>
      <c r="S404" s="5"/>
      <c r="T404" s="30">
        <v>15000000</v>
      </c>
      <c r="U404" s="5"/>
      <c r="V404" s="5"/>
      <c r="W404" s="28"/>
      <c r="X404" s="28">
        <f t="shared" si="34"/>
        <v>0</v>
      </c>
      <c r="Y404" s="28">
        <f t="shared" si="35"/>
        <v>0</v>
      </c>
      <c r="Z404" s="28">
        <f t="shared" si="36"/>
        <v>0</v>
      </c>
      <c r="AA404" s="4"/>
      <c r="AB404" s="4"/>
      <c r="AC404">
        <f t="shared" si="37"/>
        <v>2</v>
      </c>
    </row>
    <row r="405" spans="1:30" ht="46.8" x14ac:dyDescent="0.3">
      <c r="A405" s="7" t="s">
        <v>18</v>
      </c>
      <c r="B405" s="6">
        <v>392</v>
      </c>
      <c r="C405" s="7" t="s">
        <v>1591</v>
      </c>
      <c r="D405" s="7" t="s">
        <v>1632</v>
      </c>
      <c r="E405" s="5"/>
      <c r="F405" s="4"/>
      <c r="G405" s="7" t="s">
        <v>1633</v>
      </c>
      <c r="H405" s="5"/>
      <c r="I405" s="5"/>
      <c r="J405" s="7" t="s">
        <v>1634</v>
      </c>
      <c r="K405" s="7" t="s">
        <v>24</v>
      </c>
      <c r="L405" s="7" t="s">
        <v>1635</v>
      </c>
      <c r="M405" s="109">
        <v>593759250</v>
      </c>
      <c r="N405" s="111"/>
      <c r="O405" s="109">
        <v>7500000</v>
      </c>
      <c r="P405" s="110"/>
      <c r="Q405" s="109">
        <f t="shared" si="33"/>
        <v>601259250</v>
      </c>
      <c r="R405" s="3">
        <v>593759250</v>
      </c>
      <c r="S405" s="5"/>
      <c r="T405" s="30">
        <v>7500000</v>
      </c>
      <c r="U405" s="5"/>
      <c r="V405" s="5"/>
      <c r="W405" s="28"/>
      <c r="X405" s="28">
        <f t="shared" si="34"/>
        <v>0</v>
      </c>
      <c r="Y405" s="28">
        <f t="shared" si="35"/>
        <v>0</v>
      </c>
      <c r="Z405" s="28">
        <f t="shared" si="36"/>
        <v>0</v>
      </c>
      <c r="AA405" s="4"/>
      <c r="AB405" s="4"/>
      <c r="AC405">
        <f t="shared" si="37"/>
        <v>2</v>
      </c>
    </row>
    <row r="406" spans="1:30" ht="46.8" x14ac:dyDescent="0.3">
      <c r="A406" s="7" t="s">
        <v>46</v>
      </c>
      <c r="B406" s="6">
        <v>393</v>
      </c>
      <c r="C406" s="7" t="s">
        <v>1591</v>
      </c>
      <c r="D406" s="7" t="s">
        <v>1636</v>
      </c>
      <c r="E406" s="5"/>
      <c r="F406" s="4"/>
      <c r="G406" s="7" t="s">
        <v>1637</v>
      </c>
      <c r="H406" s="5"/>
      <c r="I406" s="5"/>
      <c r="J406" s="7" t="s">
        <v>1638</v>
      </c>
      <c r="K406" s="7" t="s">
        <v>24</v>
      </c>
      <c r="L406" s="7" t="s">
        <v>1639</v>
      </c>
      <c r="M406" s="109">
        <v>0</v>
      </c>
      <c r="N406" s="111"/>
      <c r="O406" s="109">
        <v>7500000</v>
      </c>
      <c r="P406" s="110"/>
      <c r="Q406" s="109">
        <f t="shared" si="33"/>
        <v>7500000</v>
      </c>
      <c r="R406" s="6">
        <v>0</v>
      </c>
      <c r="S406" s="5"/>
      <c r="T406" s="30">
        <v>7500000</v>
      </c>
      <c r="U406" s="5"/>
      <c r="V406" s="5"/>
      <c r="W406" s="28"/>
      <c r="X406" s="28">
        <f t="shared" si="34"/>
        <v>0</v>
      </c>
      <c r="Y406" s="28">
        <f t="shared" si="35"/>
        <v>0</v>
      </c>
      <c r="Z406" s="28">
        <f t="shared" si="36"/>
        <v>0</v>
      </c>
      <c r="AA406" s="4"/>
      <c r="AB406" s="4"/>
      <c r="AC406">
        <f t="shared" si="37"/>
        <v>2</v>
      </c>
    </row>
    <row r="407" spans="1:30" ht="46.8" x14ac:dyDescent="0.3">
      <c r="A407" s="7" t="s">
        <v>1601</v>
      </c>
      <c r="B407" s="6">
        <v>394</v>
      </c>
      <c r="C407" s="7" t="s">
        <v>1591</v>
      </c>
      <c r="D407" s="7" t="s">
        <v>1640</v>
      </c>
      <c r="E407" s="5"/>
      <c r="F407" s="4"/>
      <c r="G407" s="7" t="s">
        <v>1641</v>
      </c>
      <c r="H407" s="5"/>
      <c r="I407" s="5"/>
      <c r="J407" s="7" t="s">
        <v>1642</v>
      </c>
      <c r="K407" s="7" t="s">
        <v>24</v>
      </c>
      <c r="L407" s="7" t="s">
        <v>1643</v>
      </c>
      <c r="M407" s="109">
        <v>12385885580</v>
      </c>
      <c r="N407" s="111"/>
      <c r="O407" s="109">
        <v>15000000</v>
      </c>
      <c r="P407" s="110"/>
      <c r="Q407" s="109">
        <f t="shared" si="33"/>
        <v>12400885580</v>
      </c>
      <c r="R407" s="3">
        <v>12385885580</v>
      </c>
      <c r="S407" s="5"/>
      <c r="T407" s="30">
        <v>15000000</v>
      </c>
      <c r="U407" s="5"/>
      <c r="V407" s="5"/>
      <c r="W407" s="28"/>
      <c r="X407" s="28">
        <f t="shared" si="34"/>
        <v>0</v>
      </c>
      <c r="Y407" s="28">
        <f t="shared" si="35"/>
        <v>0</v>
      </c>
      <c r="Z407" s="28">
        <f t="shared" si="36"/>
        <v>0</v>
      </c>
      <c r="AA407" s="4"/>
      <c r="AB407" s="4"/>
      <c r="AC407">
        <f t="shared" si="37"/>
        <v>2</v>
      </c>
    </row>
    <row r="408" spans="1:30" ht="46.8" x14ac:dyDescent="0.3">
      <c r="A408" s="7" t="s">
        <v>62</v>
      </c>
      <c r="B408" s="6">
        <v>395</v>
      </c>
      <c r="C408" s="7" t="s">
        <v>1591</v>
      </c>
      <c r="D408" s="7" t="s">
        <v>1644</v>
      </c>
      <c r="E408" s="5"/>
      <c r="F408" s="4"/>
      <c r="G408" s="7" t="s">
        <v>1645</v>
      </c>
      <c r="H408" s="5"/>
      <c r="I408" s="5"/>
      <c r="J408" s="7" t="s">
        <v>1646</v>
      </c>
      <c r="K408" s="7" t="s">
        <v>24</v>
      </c>
      <c r="L408" s="7" t="s">
        <v>1631</v>
      </c>
      <c r="M408" s="109">
        <v>1322232264</v>
      </c>
      <c r="N408" s="111"/>
      <c r="O408" s="109">
        <v>15000000</v>
      </c>
      <c r="P408" s="110"/>
      <c r="Q408" s="109">
        <f t="shared" si="33"/>
        <v>1337232264</v>
      </c>
      <c r="R408" s="3">
        <v>1322232264</v>
      </c>
      <c r="S408" s="5"/>
      <c r="T408" s="30">
        <v>15000000</v>
      </c>
      <c r="U408" s="5"/>
      <c r="V408" s="5"/>
      <c r="W408" s="28"/>
      <c r="X408" s="28">
        <f t="shared" si="34"/>
        <v>0</v>
      </c>
      <c r="Y408" s="28">
        <f t="shared" si="35"/>
        <v>0</v>
      </c>
      <c r="Z408" s="28">
        <f t="shared" si="36"/>
        <v>0</v>
      </c>
      <c r="AA408" s="4"/>
      <c r="AB408" s="4"/>
      <c r="AC408">
        <f t="shared" si="37"/>
        <v>2</v>
      </c>
    </row>
    <row r="409" spans="1:30" ht="46.8" x14ac:dyDescent="0.3">
      <c r="A409" s="7" t="s">
        <v>53</v>
      </c>
      <c r="B409" s="6">
        <v>396</v>
      </c>
      <c r="C409" s="7" t="s">
        <v>1591</v>
      </c>
      <c r="D409" s="7" t="s">
        <v>1647</v>
      </c>
      <c r="E409" s="7" t="s">
        <v>1648</v>
      </c>
      <c r="F409" s="40" t="s">
        <v>182</v>
      </c>
      <c r="G409" s="7" t="s">
        <v>1649</v>
      </c>
      <c r="H409" s="7" t="s">
        <v>1650</v>
      </c>
      <c r="I409" s="5"/>
      <c r="J409" s="7" t="s">
        <v>1651</v>
      </c>
      <c r="K409" s="7" t="s">
        <v>24</v>
      </c>
      <c r="L409" s="7" t="s">
        <v>1652</v>
      </c>
      <c r="M409" s="109">
        <v>49337003090</v>
      </c>
      <c r="N409" s="109">
        <v>10000000</v>
      </c>
      <c r="O409" s="109">
        <v>15000000</v>
      </c>
      <c r="P409" s="112">
        <v>144000000</v>
      </c>
      <c r="Q409" s="109">
        <f t="shared" si="33"/>
        <v>49506003090</v>
      </c>
      <c r="R409" s="3">
        <v>49337003090</v>
      </c>
      <c r="S409" s="3">
        <v>10000000</v>
      </c>
      <c r="T409" s="30">
        <v>15000000</v>
      </c>
      <c r="U409" s="3">
        <v>144000000</v>
      </c>
      <c r="V409" s="5"/>
      <c r="W409" s="28"/>
      <c r="X409" s="28">
        <f t="shared" si="34"/>
        <v>0</v>
      </c>
      <c r="Y409" s="28">
        <f t="shared" si="35"/>
        <v>0</v>
      </c>
      <c r="Z409" s="28">
        <f t="shared" si="36"/>
        <v>0</v>
      </c>
      <c r="AA409" s="4"/>
      <c r="AB409" s="4"/>
      <c r="AC409">
        <f t="shared" si="37"/>
        <v>2</v>
      </c>
    </row>
    <row r="410" spans="1:30" ht="46.8" x14ac:dyDescent="0.3">
      <c r="A410" s="7" t="s">
        <v>46</v>
      </c>
      <c r="B410" s="6">
        <v>397</v>
      </c>
      <c r="C410" s="7" t="s">
        <v>1591</v>
      </c>
      <c r="D410" s="7" t="s">
        <v>1653</v>
      </c>
      <c r="E410" s="5"/>
      <c r="F410" s="40" t="s">
        <v>1654</v>
      </c>
      <c r="G410" s="7" t="s">
        <v>1655</v>
      </c>
      <c r="H410" s="7" t="s">
        <v>1656</v>
      </c>
      <c r="I410" s="5"/>
      <c r="J410" s="7" t="s">
        <v>1657</v>
      </c>
      <c r="K410" s="7" t="s">
        <v>24</v>
      </c>
      <c r="L410" s="7" t="s">
        <v>1631</v>
      </c>
      <c r="M410" s="109">
        <v>1599436369</v>
      </c>
      <c r="N410" s="111"/>
      <c r="O410" s="109">
        <v>15000000</v>
      </c>
      <c r="P410" s="112">
        <v>48000000</v>
      </c>
      <c r="Q410" s="109">
        <f t="shared" si="33"/>
        <v>1662436369</v>
      </c>
      <c r="R410" s="3">
        <v>1599436369</v>
      </c>
      <c r="S410" s="5"/>
      <c r="T410" s="30">
        <v>15000000</v>
      </c>
      <c r="U410" s="3">
        <v>48000000</v>
      </c>
      <c r="V410" s="5"/>
      <c r="W410" s="28"/>
      <c r="X410" s="28">
        <f t="shared" si="34"/>
        <v>0</v>
      </c>
      <c r="Y410" s="28">
        <f t="shared" si="35"/>
        <v>0</v>
      </c>
      <c r="Z410" s="28">
        <f t="shared" si="36"/>
        <v>0</v>
      </c>
      <c r="AA410" s="4"/>
      <c r="AB410" s="4"/>
      <c r="AC410">
        <f t="shared" si="37"/>
        <v>2</v>
      </c>
    </row>
    <row r="411" spans="1:30" ht="46.8" x14ac:dyDescent="0.3">
      <c r="A411" s="7" t="s">
        <v>46</v>
      </c>
      <c r="B411" s="6">
        <v>398</v>
      </c>
      <c r="C411" s="7" t="s">
        <v>1591</v>
      </c>
      <c r="D411" s="7" t="s">
        <v>1658</v>
      </c>
      <c r="E411" s="5"/>
      <c r="F411" s="4"/>
      <c r="G411" s="7" t="s">
        <v>1659</v>
      </c>
      <c r="H411" s="5"/>
      <c r="I411" s="5"/>
      <c r="J411" s="7" t="s">
        <v>1660</v>
      </c>
      <c r="K411" s="7" t="s">
        <v>24</v>
      </c>
      <c r="L411" s="7" t="s">
        <v>1661</v>
      </c>
      <c r="M411" s="109">
        <v>32537495820</v>
      </c>
      <c r="N411" s="111"/>
      <c r="O411" s="109">
        <v>15000000</v>
      </c>
      <c r="P411" s="110"/>
      <c r="Q411" s="109">
        <f t="shared" si="33"/>
        <v>32552495820</v>
      </c>
      <c r="R411" s="3">
        <v>32537495820</v>
      </c>
      <c r="S411" s="5"/>
      <c r="T411" s="31">
        <v>15000000</v>
      </c>
      <c r="U411" s="5"/>
      <c r="V411" s="5"/>
      <c r="W411" s="28"/>
      <c r="X411" s="28">
        <f t="shared" si="34"/>
        <v>0</v>
      </c>
      <c r="Y411" s="28">
        <f t="shared" si="35"/>
        <v>0</v>
      </c>
      <c r="Z411" s="28">
        <f t="shared" si="36"/>
        <v>0</v>
      </c>
      <c r="AA411" s="4"/>
      <c r="AB411" s="4"/>
      <c r="AC411">
        <f t="shared" si="37"/>
        <v>2</v>
      </c>
    </row>
    <row r="412" spans="1:30" ht="46.8" x14ac:dyDescent="0.3">
      <c r="A412" s="7" t="s">
        <v>53</v>
      </c>
      <c r="B412" s="6">
        <v>399</v>
      </c>
      <c r="C412" s="7" t="s">
        <v>1591</v>
      </c>
      <c r="D412" s="7" t="s">
        <v>1662</v>
      </c>
      <c r="E412" s="7" t="s">
        <v>1663</v>
      </c>
      <c r="F412" s="4"/>
      <c r="G412" s="7" t="s">
        <v>1664</v>
      </c>
      <c r="H412" s="5"/>
      <c r="I412" s="5"/>
      <c r="J412" s="7" t="s">
        <v>1665</v>
      </c>
      <c r="K412" s="7" t="s">
        <v>24</v>
      </c>
      <c r="L412" s="7" t="s">
        <v>1666</v>
      </c>
      <c r="M412" s="109">
        <v>813568192</v>
      </c>
      <c r="N412" s="109">
        <v>98912520</v>
      </c>
      <c r="O412" s="109">
        <v>15000000</v>
      </c>
      <c r="P412" s="110"/>
      <c r="Q412" s="109">
        <f t="shared" si="33"/>
        <v>927480712</v>
      </c>
      <c r="R412" s="3">
        <v>813568192</v>
      </c>
      <c r="S412" s="3">
        <v>98912520</v>
      </c>
      <c r="T412" s="31">
        <v>15000000</v>
      </c>
      <c r="U412" s="5"/>
      <c r="V412" s="5"/>
      <c r="W412" s="28"/>
      <c r="X412" s="28">
        <f t="shared" si="34"/>
        <v>0</v>
      </c>
      <c r="Y412" s="28">
        <f t="shared" si="35"/>
        <v>0</v>
      </c>
      <c r="Z412" s="28">
        <f t="shared" si="36"/>
        <v>0</v>
      </c>
      <c r="AA412" s="4"/>
      <c r="AB412" s="4"/>
      <c r="AC412">
        <f t="shared" si="37"/>
        <v>2</v>
      </c>
    </row>
    <row r="413" spans="1:30" ht="46.8" x14ac:dyDescent="0.3">
      <c r="A413" s="7" t="s">
        <v>46</v>
      </c>
      <c r="B413" s="6">
        <v>400</v>
      </c>
      <c r="C413" s="7" t="s">
        <v>1591</v>
      </c>
      <c r="D413" s="7" t="s">
        <v>1667</v>
      </c>
      <c r="E413" s="7" t="s">
        <v>1669</v>
      </c>
      <c r="F413" s="40" t="s">
        <v>1668</v>
      </c>
      <c r="G413" s="7" t="s">
        <v>1670</v>
      </c>
      <c r="H413" s="7" t="s">
        <v>1671</v>
      </c>
      <c r="I413" s="5"/>
      <c r="J413" s="7" t="s">
        <v>1672</v>
      </c>
      <c r="K413" s="7" t="s">
        <v>24</v>
      </c>
      <c r="L413" s="7" t="s">
        <v>1673</v>
      </c>
      <c r="M413" s="109">
        <v>10872345664</v>
      </c>
      <c r="N413" s="109">
        <v>425645424</v>
      </c>
      <c r="O413" s="109">
        <v>15000000</v>
      </c>
      <c r="P413" s="112">
        <v>48000000</v>
      </c>
      <c r="Q413" s="109">
        <f t="shared" si="33"/>
        <v>11360991088</v>
      </c>
      <c r="R413" s="3">
        <v>10872345664</v>
      </c>
      <c r="S413" s="3">
        <v>425645424</v>
      </c>
      <c r="T413" s="30">
        <v>15000000</v>
      </c>
      <c r="U413" s="28">
        <v>48000000</v>
      </c>
      <c r="V413" s="5"/>
      <c r="W413" s="28"/>
      <c r="X413" s="28">
        <f t="shared" si="34"/>
        <v>0</v>
      </c>
      <c r="Y413" s="28">
        <f t="shared" si="35"/>
        <v>0</v>
      </c>
      <c r="Z413" s="28">
        <f t="shared" si="36"/>
        <v>0</v>
      </c>
      <c r="AA413" s="4"/>
      <c r="AB413" s="4"/>
      <c r="AC413">
        <f t="shared" si="37"/>
        <v>2</v>
      </c>
    </row>
    <row r="414" spans="1:30" ht="46.8" x14ac:dyDescent="0.3">
      <c r="A414" s="7" t="s">
        <v>46</v>
      </c>
      <c r="B414" s="6">
        <v>401</v>
      </c>
      <c r="C414" s="7" t="s">
        <v>1591</v>
      </c>
      <c r="D414" s="7" t="s">
        <v>1674</v>
      </c>
      <c r="E414" s="5"/>
      <c r="F414" s="4"/>
      <c r="G414" s="7" t="s">
        <v>1675</v>
      </c>
      <c r="H414" s="5"/>
      <c r="I414" s="5"/>
      <c r="J414" s="7" t="s">
        <v>1676</v>
      </c>
      <c r="K414" s="7" t="s">
        <v>24</v>
      </c>
      <c r="L414" s="7" t="s">
        <v>1677</v>
      </c>
      <c r="M414" s="109">
        <v>1621052482</v>
      </c>
      <c r="N414" s="111"/>
      <c r="O414" s="109">
        <v>7500000</v>
      </c>
      <c r="P414" s="110"/>
      <c r="Q414" s="109">
        <f t="shared" si="33"/>
        <v>1628552482</v>
      </c>
      <c r="R414" s="3">
        <v>1621052482</v>
      </c>
      <c r="S414" s="5"/>
      <c r="T414" s="30">
        <v>7500000</v>
      </c>
      <c r="U414" s="5"/>
      <c r="V414" s="5"/>
      <c r="W414" s="28"/>
      <c r="X414" s="28">
        <f t="shared" si="34"/>
        <v>0</v>
      </c>
      <c r="Y414" s="28">
        <f t="shared" si="35"/>
        <v>0</v>
      </c>
      <c r="Z414" s="28">
        <f t="shared" si="36"/>
        <v>0</v>
      </c>
      <c r="AA414" s="4"/>
      <c r="AB414" s="4"/>
      <c r="AC414">
        <f t="shared" si="37"/>
        <v>2</v>
      </c>
    </row>
    <row r="415" spans="1:30" ht="62.4" customHeight="1" x14ac:dyDescent="0.3">
      <c r="A415" s="7" t="s">
        <v>53</v>
      </c>
      <c r="B415" s="6">
        <v>402</v>
      </c>
      <c r="C415" s="7" t="s">
        <v>1591</v>
      </c>
      <c r="D415" s="7" t="s">
        <v>1678</v>
      </c>
      <c r="E415" s="5"/>
      <c r="F415" s="40" t="s">
        <v>1679</v>
      </c>
      <c r="G415" s="7" t="s">
        <v>1680</v>
      </c>
      <c r="H415" s="5"/>
      <c r="I415" s="5"/>
      <c r="J415" s="7" t="s">
        <v>1681</v>
      </c>
      <c r="K415" s="7" t="s">
        <v>24</v>
      </c>
      <c r="L415" s="7" t="s">
        <v>1631</v>
      </c>
      <c r="M415" s="109">
        <v>1956750750</v>
      </c>
      <c r="N415" s="111"/>
      <c r="O415" s="109">
        <v>15000000</v>
      </c>
      <c r="P415" s="112">
        <v>144000000</v>
      </c>
      <c r="Q415" s="109">
        <f t="shared" si="33"/>
        <v>2115750750</v>
      </c>
      <c r="R415" s="3">
        <v>1956750750</v>
      </c>
      <c r="S415" s="5"/>
      <c r="T415" s="30">
        <v>15000000</v>
      </c>
      <c r="U415" s="3">
        <v>144000000</v>
      </c>
      <c r="V415" s="5"/>
      <c r="W415" s="28"/>
      <c r="X415" s="28">
        <f t="shared" si="34"/>
        <v>0</v>
      </c>
      <c r="Y415" s="28">
        <f t="shared" si="35"/>
        <v>0</v>
      </c>
      <c r="Z415" s="28">
        <f t="shared" si="36"/>
        <v>0</v>
      </c>
      <c r="AA415" s="4"/>
      <c r="AB415" s="4"/>
      <c r="AC415">
        <f t="shared" si="37"/>
        <v>2</v>
      </c>
    </row>
    <row r="416" spans="1:30" ht="46.8" x14ac:dyDescent="0.3">
      <c r="A416" s="7" t="s">
        <v>53</v>
      </c>
      <c r="B416" s="6">
        <v>403</v>
      </c>
      <c r="C416" s="7" t="s">
        <v>1591</v>
      </c>
      <c r="D416" s="7" t="s">
        <v>1682</v>
      </c>
      <c r="E416" s="5"/>
      <c r="F416" s="4"/>
      <c r="G416" s="7" t="s">
        <v>1683</v>
      </c>
      <c r="H416" s="5"/>
      <c r="I416" s="5"/>
      <c r="J416" s="7" t="s">
        <v>1684</v>
      </c>
      <c r="K416" s="7" t="s">
        <v>24</v>
      </c>
      <c r="L416" s="7" t="s">
        <v>1631</v>
      </c>
      <c r="M416" s="109">
        <v>1938637001</v>
      </c>
      <c r="N416" s="111"/>
      <c r="O416" s="109">
        <v>15000000</v>
      </c>
      <c r="P416" s="110"/>
      <c r="Q416" s="109">
        <f t="shared" si="33"/>
        <v>1953637001</v>
      </c>
      <c r="R416" s="3">
        <v>1938637001</v>
      </c>
      <c r="S416" s="5"/>
      <c r="T416" s="30">
        <v>15000000</v>
      </c>
      <c r="U416" s="5"/>
      <c r="V416" s="5"/>
      <c r="W416" s="28"/>
      <c r="X416" s="28">
        <f t="shared" si="34"/>
        <v>0</v>
      </c>
      <c r="Y416" s="28">
        <f t="shared" si="35"/>
        <v>0</v>
      </c>
      <c r="Z416" s="28">
        <f t="shared" si="36"/>
        <v>0</v>
      </c>
      <c r="AA416" s="4"/>
      <c r="AB416" s="4"/>
      <c r="AC416">
        <f t="shared" si="37"/>
        <v>2</v>
      </c>
    </row>
    <row r="417" spans="1:30" ht="46.8" x14ac:dyDescent="0.3">
      <c r="A417" s="7" t="s">
        <v>62</v>
      </c>
      <c r="B417" s="6">
        <v>404</v>
      </c>
      <c r="C417" s="7" t="s">
        <v>1591</v>
      </c>
      <c r="D417" s="7" t="s">
        <v>1685</v>
      </c>
      <c r="E417" s="5"/>
      <c r="F417" s="4"/>
      <c r="G417" s="7" t="s">
        <v>1686</v>
      </c>
      <c r="H417" s="5"/>
      <c r="I417" s="5"/>
      <c r="J417" s="7" t="s">
        <v>1687</v>
      </c>
      <c r="K417" s="7" t="s">
        <v>24</v>
      </c>
      <c r="L417" s="7" t="s">
        <v>1688</v>
      </c>
      <c r="M417" s="109">
        <v>1137670028</v>
      </c>
      <c r="N417" s="111"/>
      <c r="O417" s="109">
        <v>7500000</v>
      </c>
      <c r="P417" s="110"/>
      <c r="Q417" s="109">
        <f t="shared" si="33"/>
        <v>1145170028</v>
      </c>
      <c r="R417" s="3">
        <v>1137670028</v>
      </c>
      <c r="S417" s="5"/>
      <c r="T417" s="30">
        <v>7500000</v>
      </c>
      <c r="U417" s="5"/>
      <c r="V417" s="5"/>
      <c r="W417" s="28"/>
      <c r="X417" s="28">
        <f t="shared" si="34"/>
        <v>0</v>
      </c>
      <c r="Y417" s="28">
        <f t="shared" si="35"/>
        <v>0</v>
      </c>
      <c r="Z417" s="28">
        <f t="shared" si="36"/>
        <v>0</v>
      </c>
      <c r="AA417" s="4"/>
      <c r="AB417" s="4"/>
      <c r="AC417">
        <f t="shared" si="37"/>
        <v>2</v>
      </c>
    </row>
    <row r="418" spans="1:30" ht="46.8" x14ac:dyDescent="0.3">
      <c r="A418" s="7" t="s">
        <v>1601</v>
      </c>
      <c r="B418" s="6">
        <v>405</v>
      </c>
      <c r="C418" s="7" t="s">
        <v>1591</v>
      </c>
      <c r="D418" s="7" t="s">
        <v>1689</v>
      </c>
      <c r="E418" s="5"/>
      <c r="F418" s="40" t="s">
        <v>1654</v>
      </c>
      <c r="G418" s="7" t="s">
        <v>1690</v>
      </c>
      <c r="H418" s="5"/>
      <c r="I418" s="5"/>
      <c r="J418" s="7" t="s">
        <v>1691</v>
      </c>
      <c r="K418" s="7" t="s">
        <v>24</v>
      </c>
      <c r="L418" s="7" t="s">
        <v>1692</v>
      </c>
      <c r="M418" s="109">
        <v>4490379050</v>
      </c>
      <c r="N418" s="111"/>
      <c r="O418" s="109">
        <v>15000000</v>
      </c>
      <c r="P418" s="112">
        <v>16000000</v>
      </c>
      <c r="Q418" s="109">
        <f t="shared" si="33"/>
        <v>4521379050</v>
      </c>
      <c r="R418" s="36">
        <v>4490379050</v>
      </c>
      <c r="S418" s="5"/>
      <c r="T418" s="30">
        <v>15000000</v>
      </c>
      <c r="U418" s="3">
        <v>16000000</v>
      </c>
      <c r="V418" s="5"/>
      <c r="W418" s="28"/>
      <c r="X418" s="28">
        <f t="shared" si="34"/>
        <v>0</v>
      </c>
      <c r="Y418" s="28">
        <f t="shared" si="35"/>
        <v>0</v>
      </c>
      <c r="Z418" s="28">
        <f t="shared" si="36"/>
        <v>0</v>
      </c>
      <c r="AA418" s="4"/>
      <c r="AB418" s="4"/>
      <c r="AC418">
        <f t="shared" si="37"/>
        <v>2</v>
      </c>
    </row>
    <row r="419" spans="1:30" ht="46.8" x14ac:dyDescent="0.3">
      <c r="A419" s="7" t="s">
        <v>1601</v>
      </c>
      <c r="B419" s="6">
        <v>406</v>
      </c>
      <c r="C419" s="7" t="s">
        <v>1591</v>
      </c>
      <c r="D419" s="7" t="s">
        <v>1693</v>
      </c>
      <c r="E419" s="5"/>
      <c r="F419" s="4"/>
      <c r="G419" s="7" t="s">
        <v>1694</v>
      </c>
      <c r="H419" s="5"/>
      <c r="I419" s="5"/>
      <c r="J419" s="7" t="s">
        <v>1695</v>
      </c>
      <c r="K419" s="7" t="s">
        <v>24</v>
      </c>
      <c r="L419" s="7" t="s">
        <v>1696</v>
      </c>
      <c r="M419" s="109">
        <v>4967225580</v>
      </c>
      <c r="N419" s="111"/>
      <c r="O419" s="109">
        <v>7500000</v>
      </c>
      <c r="P419" s="110"/>
      <c r="Q419" s="109">
        <f t="shared" si="33"/>
        <v>4974725580</v>
      </c>
      <c r="R419" s="36">
        <v>4967225580</v>
      </c>
      <c r="S419" s="5"/>
      <c r="T419" s="30">
        <v>7500000</v>
      </c>
      <c r="U419" s="5"/>
      <c r="V419" s="5"/>
      <c r="W419" s="28"/>
      <c r="X419" s="28">
        <f t="shared" si="34"/>
        <v>0</v>
      </c>
      <c r="Y419" s="28">
        <f t="shared" si="35"/>
        <v>0</v>
      </c>
      <c r="Z419" s="28">
        <f t="shared" si="36"/>
        <v>0</v>
      </c>
      <c r="AA419" s="4"/>
      <c r="AB419" s="4"/>
      <c r="AC419">
        <f t="shared" si="37"/>
        <v>2</v>
      </c>
    </row>
    <row r="420" spans="1:30" ht="46.8" x14ac:dyDescent="0.3">
      <c r="A420" s="7" t="s">
        <v>1601</v>
      </c>
      <c r="B420" s="6">
        <v>407</v>
      </c>
      <c r="C420" s="7" t="s">
        <v>1591</v>
      </c>
      <c r="D420" s="7" t="s">
        <v>1697</v>
      </c>
      <c r="E420" s="7"/>
      <c r="F420" s="4"/>
      <c r="G420" s="7" t="s">
        <v>1698</v>
      </c>
      <c r="H420" s="7"/>
      <c r="I420" s="7"/>
      <c r="J420" s="7" t="s">
        <v>1699</v>
      </c>
      <c r="K420" s="7" t="s">
        <v>24</v>
      </c>
      <c r="L420" s="7" t="s">
        <v>1700</v>
      </c>
      <c r="M420" s="109">
        <v>10000000</v>
      </c>
      <c r="N420" s="111"/>
      <c r="O420" s="109">
        <v>15000000</v>
      </c>
      <c r="P420" s="110"/>
      <c r="Q420" s="109">
        <f t="shared" si="33"/>
        <v>25000000</v>
      </c>
      <c r="R420" s="5"/>
      <c r="S420" s="5"/>
      <c r="T420" s="72"/>
      <c r="U420" s="5"/>
      <c r="V420" s="5"/>
      <c r="W420" s="28">
        <v>10000000</v>
      </c>
      <c r="X420" s="28">
        <f t="shared" si="34"/>
        <v>0</v>
      </c>
      <c r="Y420" s="36">
        <f t="shared" si="35"/>
        <v>15000000</v>
      </c>
      <c r="Z420" s="28">
        <f t="shared" si="36"/>
        <v>0</v>
      </c>
      <c r="AA420" s="8">
        <v>10000000</v>
      </c>
      <c r="AB420" s="40"/>
      <c r="AC420" s="121">
        <f t="shared" si="37"/>
        <v>2</v>
      </c>
      <c r="AD420" s="121"/>
    </row>
    <row r="421" spans="1:30" ht="46.8" x14ac:dyDescent="0.3">
      <c r="A421" s="7" t="s">
        <v>62</v>
      </c>
      <c r="B421" s="6">
        <v>408</v>
      </c>
      <c r="C421" s="7" t="s">
        <v>1591</v>
      </c>
      <c r="D421" s="7" t="s">
        <v>1701</v>
      </c>
      <c r="E421" s="7"/>
      <c r="F421" s="4"/>
      <c r="G421" s="7" t="s">
        <v>1702</v>
      </c>
      <c r="H421" s="7"/>
      <c r="I421" s="7"/>
      <c r="J421" s="7" t="s">
        <v>1703</v>
      </c>
      <c r="K421" s="7" t="s">
        <v>24</v>
      </c>
      <c r="L421" s="7" t="s">
        <v>1704</v>
      </c>
      <c r="M421" s="109">
        <v>6525000</v>
      </c>
      <c r="N421" s="111"/>
      <c r="O421" s="109">
        <v>7500000</v>
      </c>
      <c r="P421" s="110"/>
      <c r="Q421" s="109">
        <f t="shared" si="33"/>
        <v>14025000</v>
      </c>
      <c r="R421" s="5"/>
      <c r="S421" s="5"/>
      <c r="T421" s="72"/>
      <c r="U421" s="5"/>
      <c r="V421" s="5"/>
      <c r="W421" s="28">
        <v>6525000</v>
      </c>
      <c r="X421" s="28">
        <f t="shared" si="34"/>
        <v>0</v>
      </c>
      <c r="Y421" s="36">
        <f t="shared" si="35"/>
        <v>7500000</v>
      </c>
      <c r="Z421" s="28">
        <f t="shared" si="36"/>
        <v>0</v>
      </c>
      <c r="AA421" s="10">
        <v>6525000</v>
      </c>
      <c r="AB421" s="40"/>
      <c r="AC421" s="121">
        <f t="shared" si="37"/>
        <v>2</v>
      </c>
      <c r="AD421" s="121"/>
    </row>
    <row r="422" spans="1:30" ht="46.8" x14ac:dyDescent="0.3">
      <c r="A422" s="7" t="s">
        <v>46</v>
      </c>
      <c r="B422" s="6">
        <v>409</v>
      </c>
      <c r="C422" s="7" t="s">
        <v>1591</v>
      </c>
      <c r="D422" s="7" t="s">
        <v>1705</v>
      </c>
      <c r="E422" s="7"/>
      <c r="F422" s="4"/>
      <c r="G422" s="7" t="s">
        <v>1706</v>
      </c>
      <c r="H422" s="7"/>
      <c r="I422" s="7" t="s">
        <v>1707</v>
      </c>
      <c r="J422" s="7" t="s">
        <v>1708</v>
      </c>
      <c r="K422" s="7" t="s">
        <v>24</v>
      </c>
      <c r="L422" s="7" t="s">
        <v>1709</v>
      </c>
      <c r="M422" s="109">
        <v>0</v>
      </c>
      <c r="N422" s="111"/>
      <c r="O422" s="109">
        <v>7500000</v>
      </c>
      <c r="P422" s="110"/>
      <c r="Q422" s="109">
        <f t="shared" si="33"/>
        <v>7500000</v>
      </c>
      <c r="R422" s="6">
        <v>0</v>
      </c>
      <c r="S422" s="5"/>
      <c r="T422" s="72"/>
      <c r="U422" s="5"/>
      <c r="V422" s="5"/>
      <c r="W422" s="28"/>
      <c r="X422" s="28">
        <f t="shared" si="34"/>
        <v>0</v>
      </c>
      <c r="Y422" s="36">
        <f t="shared" si="35"/>
        <v>7500000</v>
      </c>
      <c r="Z422" s="28">
        <f t="shared" si="36"/>
        <v>0</v>
      </c>
      <c r="AA422" s="4"/>
      <c r="AB422" s="40"/>
      <c r="AC422" s="121">
        <f t="shared" si="37"/>
        <v>2</v>
      </c>
      <c r="AD422" s="121"/>
    </row>
    <row r="423" spans="1:30" ht="46.8" x14ac:dyDescent="0.3">
      <c r="A423" s="7" t="s">
        <v>46</v>
      </c>
      <c r="B423" s="6">
        <v>410</v>
      </c>
      <c r="C423" s="7" t="s">
        <v>1591</v>
      </c>
      <c r="D423" s="7" t="s">
        <v>1710</v>
      </c>
      <c r="E423" s="7" t="s">
        <v>828</v>
      </c>
      <c r="F423" s="40" t="s">
        <v>637</v>
      </c>
      <c r="G423" s="7" t="s">
        <v>1711</v>
      </c>
      <c r="H423" s="7" t="s">
        <v>1712</v>
      </c>
      <c r="I423" s="5"/>
      <c r="J423" s="7" t="s">
        <v>1713</v>
      </c>
      <c r="K423" s="7" t="s">
        <v>24</v>
      </c>
      <c r="L423" s="7" t="s">
        <v>1714</v>
      </c>
      <c r="M423" s="109">
        <v>4152104400</v>
      </c>
      <c r="N423" s="109">
        <v>332999424</v>
      </c>
      <c r="O423" s="109">
        <v>15000000</v>
      </c>
      <c r="P423" s="112">
        <v>48000000</v>
      </c>
      <c r="Q423" s="109">
        <f t="shared" si="33"/>
        <v>4548103824</v>
      </c>
      <c r="R423" s="3">
        <v>4152104400</v>
      </c>
      <c r="S423" s="28">
        <v>332999424</v>
      </c>
      <c r="T423" s="30">
        <v>15000000</v>
      </c>
      <c r="U423" s="3">
        <v>48000000</v>
      </c>
      <c r="V423" s="5"/>
      <c r="W423" s="28"/>
      <c r="X423" s="28">
        <f t="shared" si="34"/>
        <v>0</v>
      </c>
      <c r="Y423" s="28">
        <f t="shared" si="35"/>
        <v>0</v>
      </c>
      <c r="Z423" s="28">
        <f t="shared" si="36"/>
        <v>0</v>
      </c>
      <c r="AA423" s="4"/>
      <c r="AB423" s="4"/>
      <c r="AC423">
        <f t="shared" si="37"/>
        <v>2</v>
      </c>
    </row>
    <row r="424" spans="1:30" ht="62.4" customHeight="1" x14ac:dyDescent="0.3">
      <c r="A424" s="7" t="s">
        <v>62</v>
      </c>
      <c r="B424" s="6">
        <v>411</v>
      </c>
      <c r="C424" s="7" t="s">
        <v>1591</v>
      </c>
      <c r="D424" s="7" t="s">
        <v>1715</v>
      </c>
      <c r="E424" s="5"/>
      <c r="F424" s="40" t="s">
        <v>1716</v>
      </c>
      <c r="G424" s="7" t="s">
        <v>1717</v>
      </c>
      <c r="H424" s="5"/>
      <c r="I424" s="5"/>
      <c r="J424" s="7" t="s">
        <v>1718</v>
      </c>
      <c r="K424" s="7" t="s">
        <v>24</v>
      </c>
      <c r="L424" s="7" t="s">
        <v>1719</v>
      </c>
      <c r="M424" s="109">
        <v>1375587700</v>
      </c>
      <c r="N424" s="111"/>
      <c r="O424" s="109">
        <v>15000000</v>
      </c>
      <c r="P424" s="112">
        <v>88000000</v>
      </c>
      <c r="Q424" s="109">
        <f t="shared" si="33"/>
        <v>1478587700</v>
      </c>
      <c r="R424" s="3">
        <v>1375587700</v>
      </c>
      <c r="S424" s="5"/>
      <c r="T424" s="30">
        <v>15000000</v>
      </c>
      <c r="U424" s="3">
        <v>88000000</v>
      </c>
      <c r="V424" s="5"/>
      <c r="W424" s="28"/>
      <c r="X424" s="28">
        <f t="shared" si="34"/>
        <v>0</v>
      </c>
      <c r="Y424" s="28">
        <f t="shared" si="35"/>
        <v>0</v>
      </c>
      <c r="Z424" s="28">
        <f t="shared" si="36"/>
        <v>0</v>
      </c>
      <c r="AA424" s="4"/>
      <c r="AB424" s="4"/>
      <c r="AC424">
        <f t="shared" si="37"/>
        <v>2</v>
      </c>
    </row>
    <row r="425" spans="1:30" ht="46.8" x14ac:dyDescent="0.3">
      <c r="A425" s="7" t="s">
        <v>1601</v>
      </c>
      <c r="B425" s="6">
        <v>412</v>
      </c>
      <c r="C425" s="7" t="s">
        <v>1591</v>
      </c>
      <c r="D425" s="7" t="s">
        <v>1720</v>
      </c>
      <c r="E425" s="5"/>
      <c r="F425" s="4"/>
      <c r="G425" s="7" t="s">
        <v>1721</v>
      </c>
      <c r="H425" s="5"/>
      <c r="I425" s="5"/>
      <c r="J425" s="7" t="s">
        <v>1722</v>
      </c>
      <c r="K425" s="7" t="s">
        <v>24</v>
      </c>
      <c r="L425" s="7" t="s">
        <v>1723</v>
      </c>
      <c r="M425" s="109">
        <v>2422464300</v>
      </c>
      <c r="N425" s="111"/>
      <c r="O425" s="109">
        <v>7500000</v>
      </c>
      <c r="P425" s="110"/>
      <c r="Q425" s="109">
        <f t="shared" si="33"/>
        <v>2429964300</v>
      </c>
      <c r="R425" s="36">
        <v>2422464300</v>
      </c>
      <c r="S425" s="5"/>
      <c r="T425" s="30">
        <v>7500000</v>
      </c>
      <c r="U425" s="5"/>
      <c r="V425" s="5"/>
      <c r="W425" s="28"/>
      <c r="X425" s="28">
        <f t="shared" si="34"/>
        <v>0</v>
      </c>
      <c r="Y425" s="28">
        <f t="shared" si="35"/>
        <v>0</v>
      </c>
      <c r="Z425" s="28">
        <f t="shared" si="36"/>
        <v>0</v>
      </c>
      <c r="AA425" s="4"/>
      <c r="AB425" s="4"/>
      <c r="AC425">
        <f t="shared" si="37"/>
        <v>2</v>
      </c>
    </row>
    <row r="426" spans="1:30" ht="46.8" x14ac:dyDescent="0.3">
      <c r="A426" s="7" t="s">
        <v>53</v>
      </c>
      <c r="B426" s="6">
        <v>413</v>
      </c>
      <c r="C426" s="7" t="s">
        <v>1591</v>
      </c>
      <c r="D426" s="7" t="s">
        <v>1724</v>
      </c>
      <c r="E426" s="5"/>
      <c r="F426" s="4"/>
      <c r="G426" s="7" t="s">
        <v>1725</v>
      </c>
      <c r="H426" s="5"/>
      <c r="I426" s="5"/>
      <c r="J426" s="7" t="s">
        <v>1726</v>
      </c>
      <c r="K426" s="7" t="s">
        <v>24</v>
      </c>
      <c r="L426" s="7" t="s">
        <v>1727</v>
      </c>
      <c r="M426" s="109">
        <v>2392845896</v>
      </c>
      <c r="N426" s="111"/>
      <c r="O426" s="109">
        <v>7500000</v>
      </c>
      <c r="P426" s="110"/>
      <c r="Q426" s="109">
        <f t="shared" si="33"/>
        <v>2400345896</v>
      </c>
      <c r="R426" s="3">
        <v>2392845896</v>
      </c>
      <c r="S426" s="5"/>
      <c r="T426" s="30">
        <v>7500000</v>
      </c>
      <c r="U426" s="5"/>
      <c r="V426" s="5"/>
      <c r="W426" s="28"/>
      <c r="X426" s="28">
        <f t="shared" si="34"/>
        <v>0</v>
      </c>
      <c r="Y426" s="28">
        <f t="shared" si="35"/>
        <v>0</v>
      </c>
      <c r="Z426" s="28">
        <f t="shared" si="36"/>
        <v>0</v>
      </c>
      <c r="AA426" s="4"/>
      <c r="AB426" s="4"/>
      <c r="AC426">
        <f t="shared" si="37"/>
        <v>2</v>
      </c>
    </row>
    <row r="427" spans="1:30" ht="46.8" x14ac:dyDescent="0.3">
      <c r="A427" s="7" t="s">
        <v>62</v>
      </c>
      <c r="B427" s="6">
        <v>414</v>
      </c>
      <c r="C427" s="7" t="s">
        <v>1591</v>
      </c>
      <c r="D427" s="7" t="s">
        <v>1728</v>
      </c>
      <c r="E427" s="5"/>
      <c r="F427" s="4"/>
      <c r="G427" s="7" t="s">
        <v>1729</v>
      </c>
      <c r="H427" s="5"/>
      <c r="I427" s="5"/>
      <c r="J427" s="7" t="s">
        <v>1730</v>
      </c>
      <c r="K427" s="7" t="s">
        <v>24</v>
      </c>
      <c r="L427" s="7" t="s">
        <v>1731</v>
      </c>
      <c r="M427" s="109">
        <v>3732755792</v>
      </c>
      <c r="N427" s="111"/>
      <c r="O427" s="109">
        <v>15000000</v>
      </c>
      <c r="P427" s="110"/>
      <c r="Q427" s="109">
        <f t="shared" si="33"/>
        <v>3747755792</v>
      </c>
      <c r="R427" s="3">
        <v>3732755792</v>
      </c>
      <c r="S427" s="5"/>
      <c r="T427" s="30">
        <v>15000000</v>
      </c>
      <c r="U427" s="5"/>
      <c r="V427" s="5"/>
      <c r="W427" s="28"/>
      <c r="X427" s="28">
        <f t="shared" si="34"/>
        <v>0</v>
      </c>
      <c r="Y427" s="28">
        <f t="shared" si="35"/>
        <v>0</v>
      </c>
      <c r="Z427" s="28">
        <f t="shared" si="36"/>
        <v>0</v>
      </c>
      <c r="AA427" s="4"/>
      <c r="AB427" s="4"/>
      <c r="AC427">
        <f t="shared" si="37"/>
        <v>2</v>
      </c>
    </row>
    <row r="428" spans="1:30" ht="46.8" x14ac:dyDescent="0.3">
      <c r="A428" s="7" t="s">
        <v>1601</v>
      </c>
      <c r="B428" s="6">
        <v>415</v>
      </c>
      <c r="C428" s="7" t="s">
        <v>1591</v>
      </c>
      <c r="D428" s="7" t="s">
        <v>1732</v>
      </c>
      <c r="E428" s="5"/>
      <c r="F428" s="4"/>
      <c r="G428" s="7" t="s">
        <v>1733</v>
      </c>
      <c r="H428" s="5"/>
      <c r="I428" s="5"/>
      <c r="J428" s="7" t="s">
        <v>1734</v>
      </c>
      <c r="K428" s="7" t="s">
        <v>24</v>
      </c>
      <c r="L428" s="7" t="s">
        <v>1735</v>
      </c>
      <c r="M428" s="109">
        <v>585805584</v>
      </c>
      <c r="N428" s="111"/>
      <c r="O428" s="109">
        <v>7500000</v>
      </c>
      <c r="P428" s="110"/>
      <c r="Q428" s="109">
        <f t="shared" si="33"/>
        <v>593305584</v>
      </c>
      <c r="R428" s="36">
        <v>585805584</v>
      </c>
      <c r="S428" s="5"/>
      <c r="T428" s="30">
        <v>7500000</v>
      </c>
      <c r="U428" s="5"/>
      <c r="V428" s="5"/>
      <c r="W428" s="28"/>
      <c r="X428" s="28">
        <f t="shared" si="34"/>
        <v>0</v>
      </c>
      <c r="Y428" s="28">
        <f t="shared" si="35"/>
        <v>0</v>
      </c>
      <c r="Z428" s="28">
        <f t="shared" si="36"/>
        <v>0</v>
      </c>
      <c r="AA428" s="4"/>
      <c r="AB428" s="4"/>
      <c r="AC428">
        <f t="shared" si="37"/>
        <v>2</v>
      </c>
    </row>
    <row r="429" spans="1:30" ht="46.8" x14ac:dyDescent="0.3">
      <c r="A429" s="7" t="s">
        <v>18</v>
      </c>
      <c r="B429" s="6">
        <v>416</v>
      </c>
      <c r="C429" s="7" t="s">
        <v>1591</v>
      </c>
      <c r="D429" s="7" t="s">
        <v>1736</v>
      </c>
      <c r="E429" s="5"/>
      <c r="F429" s="4"/>
      <c r="G429" s="7" t="s">
        <v>1737</v>
      </c>
      <c r="H429" s="5"/>
      <c r="I429" s="5"/>
      <c r="J429" s="7" t="s">
        <v>1738</v>
      </c>
      <c r="K429" s="7" t="s">
        <v>24</v>
      </c>
      <c r="L429" s="7" t="s">
        <v>1739</v>
      </c>
      <c r="M429" s="109">
        <v>2508309760</v>
      </c>
      <c r="N429" s="111"/>
      <c r="O429" s="109">
        <v>15000000</v>
      </c>
      <c r="P429" s="110"/>
      <c r="Q429" s="109">
        <f t="shared" si="33"/>
        <v>2523309760</v>
      </c>
      <c r="R429" s="3">
        <v>2508309760</v>
      </c>
      <c r="S429" s="5"/>
      <c r="T429" s="30">
        <v>15000000</v>
      </c>
      <c r="U429" s="5"/>
      <c r="V429" s="5"/>
      <c r="W429" s="28"/>
      <c r="X429" s="28">
        <f t="shared" si="34"/>
        <v>0</v>
      </c>
      <c r="Y429" s="28">
        <f t="shared" si="35"/>
        <v>0</v>
      </c>
      <c r="Z429" s="28">
        <f t="shared" si="36"/>
        <v>0</v>
      </c>
      <c r="AA429" s="4"/>
      <c r="AB429" s="4"/>
      <c r="AC429">
        <f t="shared" si="37"/>
        <v>2</v>
      </c>
    </row>
    <row r="430" spans="1:30" ht="46.8" x14ac:dyDescent="0.3">
      <c r="A430" s="7" t="s">
        <v>1601</v>
      </c>
      <c r="B430" s="6">
        <v>417</v>
      </c>
      <c r="C430" s="7" t="s">
        <v>1591</v>
      </c>
      <c r="D430" s="7" t="s">
        <v>1740</v>
      </c>
      <c r="E430" s="7"/>
      <c r="F430" s="4"/>
      <c r="G430" s="7" t="s">
        <v>1741</v>
      </c>
      <c r="H430" s="7"/>
      <c r="I430" s="7"/>
      <c r="J430" s="7" t="s">
        <v>1742</v>
      </c>
      <c r="K430" s="7" t="s">
        <v>24</v>
      </c>
      <c r="L430" s="7" t="s">
        <v>1743</v>
      </c>
      <c r="M430" s="109">
        <v>0</v>
      </c>
      <c r="N430" s="111"/>
      <c r="O430" s="109">
        <v>7500000</v>
      </c>
      <c r="P430" s="110"/>
      <c r="Q430" s="109">
        <f t="shared" si="33"/>
        <v>7500000</v>
      </c>
      <c r="R430" s="6">
        <v>0</v>
      </c>
      <c r="S430" s="5"/>
      <c r="T430" s="72"/>
      <c r="U430" s="5"/>
      <c r="V430" s="5"/>
      <c r="W430" s="28"/>
      <c r="X430" s="28">
        <f t="shared" si="34"/>
        <v>0</v>
      </c>
      <c r="Y430" s="36">
        <f t="shared" si="35"/>
        <v>7500000</v>
      </c>
      <c r="Z430" s="28">
        <f t="shared" si="36"/>
        <v>0</v>
      </c>
      <c r="AA430" s="4"/>
      <c r="AB430" s="40"/>
      <c r="AC430" s="121">
        <f t="shared" si="37"/>
        <v>2</v>
      </c>
      <c r="AD430" s="121"/>
    </row>
    <row r="431" spans="1:30" ht="46.8" x14ac:dyDescent="0.3">
      <c r="A431" s="7" t="s">
        <v>18</v>
      </c>
      <c r="B431" s="6">
        <v>418</v>
      </c>
      <c r="C431" s="7" t="s">
        <v>1591</v>
      </c>
      <c r="D431" s="7" t="s">
        <v>1744</v>
      </c>
      <c r="E431" s="5"/>
      <c r="F431" s="4"/>
      <c r="G431" s="7" t="s">
        <v>1745</v>
      </c>
      <c r="H431" s="5"/>
      <c r="I431" s="5"/>
      <c r="J431" s="7" t="s">
        <v>1746</v>
      </c>
      <c r="K431" s="7" t="s">
        <v>24</v>
      </c>
      <c r="L431" s="7" t="s">
        <v>1747</v>
      </c>
      <c r="M431" s="109">
        <v>515507992</v>
      </c>
      <c r="N431" s="111"/>
      <c r="O431" s="109">
        <v>7500000</v>
      </c>
      <c r="P431" s="110"/>
      <c r="Q431" s="109">
        <f t="shared" si="33"/>
        <v>523007992</v>
      </c>
      <c r="R431" s="9">
        <v>515507992</v>
      </c>
      <c r="S431" s="5"/>
      <c r="T431" s="30">
        <v>7500000</v>
      </c>
      <c r="U431" s="5"/>
      <c r="V431" s="5"/>
      <c r="W431" s="28"/>
      <c r="X431" s="28">
        <f t="shared" si="34"/>
        <v>0</v>
      </c>
      <c r="Y431" s="28">
        <f t="shared" si="35"/>
        <v>0</v>
      </c>
      <c r="Z431" s="28">
        <f t="shared" si="36"/>
        <v>0</v>
      </c>
      <c r="AA431" s="4"/>
      <c r="AB431" s="4"/>
      <c r="AC431">
        <f t="shared" si="37"/>
        <v>2</v>
      </c>
    </row>
    <row r="432" spans="1:30" ht="46.8" x14ac:dyDescent="0.3">
      <c r="A432" s="7" t="s">
        <v>62</v>
      </c>
      <c r="B432" s="6">
        <v>419</v>
      </c>
      <c r="C432" s="7" t="s">
        <v>1591</v>
      </c>
      <c r="D432" s="7" t="s">
        <v>1748</v>
      </c>
      <c r="E432" s="5"/>
      <c r="F432" s="4"/>
      <c r="G432" s="7" t="s">
        <v>1749</v>
      </c>
      <c r="H432" s="5"/>
      <c r="I432" s="5"/>
      <c r="J432" s="7" t="s">
        <v>1750</v>
      </c>
      <c r="K432" s="7" t="s">
        <v>24</v>
      </c>
      <c r="L432" s="7" t="s">
        <v>1751</v>
      </c>
      <c r="M432" s="109">
        <v>1967943264</v>
      </c>
      <c r="N432" s="111"/>
      <c r="O432" s="109">
        <v>7500000</v>
      </c>
      <c r="P432" s="110"/>
      <c r="Q432" s="109">
        <f t="shared" si="33"/>
        <v>1975443264</v>
      </c>
      <c r="R432" s="3">
        <v>1967943264</v>
      </c>
      <c r="S432" s="5"/>
      <c r="T432" s="30">
        <v>7500000</v>
      </c>
      <c r="U432" s="5"/>
      <c r="V432" s="5"/>
      <c r="W432" s="28"/>
      <c r="X432" s="28">
        <f t="shared" si="34"/>
        <v>0</v>
      </c>
      <c r="Y432" s="28">
        <f t="shared" si="35"/>
        <v>0</v>
      </c>
      <c r="Z432" s="28">
        <f t="shared" si="36"/>
        <v>0</v>
      </c>
      <c r="AA432" s="4"/>
      <c r="AB432" s="4"/>
      <c r="AC432">
        <f t="shared" si="37"/>
        <v>2</v>
      </c>
    </row>
    <row r="433" spans="1:30" ht="46.8" x14ac:dyDescent="0.3">
      <c r="A433" s="7" t="s">
        <v>62</v>
      </c>
      <c r="B433" s="6">
        <v>420</v>
      </c>
      <c r="C433" s="7" t="s">
        <v>1591</v>
      </c>
      <c r="D433" s="7" t="s">
        <v>1752</v>
      </c>
      <c r="E433" s="7"/>
      <c r="F433" s="4"/>
      <c r="G433" s="7" t="s">
        <v>1753</v>
      </c>
      <c r="H433" s="7"/>
      <c r="I433" s="7"/>
      <c r="J433" s="7" t="s">
        <v>1754</v>
      </c>
      <c r="K433" s="7" t="s">
        <v>24</v>
      </c>
      <c r="L433" s="7" t="s">
        <v>1755</v>
      </c>
      <c r="M433" s="109">
        <v>3075917326</v>
      </c>
      <c r="N433" s="111"/>
      <c r="O433" s="109">
        <v>7500000</v>
      </c>
      <c r="P433" s="110"/>
      <c r="Q433" s="109">
        <f t="shared" si="33"/>
        <v>3083417326</v>
      </c>
      <c r="R433" s="5"/>
      <c r="S433" s="5"/>
      <c r="T433" s="72"/>
      <c r="U433" s="5"/>
      <c r="V433" s="5"/>
      <c r="W433" s="28">
        <v>3075917326</v>
      </c>
      <c r="X433" s="28">
        <f t="shared" si="34"/>
        <v>0</v>
      </c>
      <c r="Y433" s="36">
        <f t="shared" si="35"/>
        <v>7500000</v>
      </c>
      <c r="Z433" s="28">
        <f t="shared" si="36"/>
        <v>0</v>
      </c>
      <c r="AA433" s="10">
        <v>3075917326</v>
      </c>
      <c r="AB433" s="40"/>
      <c r="AC433" s="121">
        <f t="shared" si="37"/>
        <v>2</v>
      </c>
      <c r="AD433" s="121"/>
    </row>
    <row r="434" spans="1:30" ht="46.8" x14ac:dyDescent="0.3">
      <c r="A434" s="7" t="s">
        <v>18</v>
      </c>
      <c r="B434" s="6">
        <v>421</v>
      </c>
      <c r="C434" s="7" t="s">
        <v>1591</v>
      </c>
      <c r="D434" s="7" t="s">
        <v>1756</v>
      </c>
      <c r="E434" s="5"/>
      <c r="F434" s="4"/>
      <c r="G434" s="7" t="s">
        <v>1757</v>
      </c>
      <c r="H434" s="5"/>
      <c r="I434" s="5"/>
      <c r="J434" s="7" t="s">
        <v>1758</v>
      </c>
      <c r="K434" s="7" t="s">
        <v>24</v>
      </c>
      <c r="L434" s="7" t="s">
        <v>1759</v>
      </c>
      <c r="M434" s="109">
        <v>10850167780</v>
      </c>
      <c r="N434" s="111"/>
      <c r="O434" s="109">
        <v>15000000</v>
      </c>
      <c r="P434" s="110"/>
      <c r="Q434" s="109">
        <f t="shared" si="33"/>
        <v>10865167780</v>
      </c>
      <c r="R434" s="3">
        <v>10850167780</v>
      </c>
      <c r="S434" s="5"/>
      <c r="T434" s="30">
        <v>15000000</v>
      </c>
      <c r="U434" s="5"/>
      <c r="V434" s="5"/>
      <c r="W434" s="28"/>
      <c r="X434" s="28">
        <f t="shared" si="34"/>
        <v>0</v>
      </c>
      <c r="Y434" s="28">
        <f t="shared" si="35"/>
        <v>0</v>
      </c>
      <c r="Z434" s="28">
        <f t="shared" si="36"/>
        <v>0</v>
      </c>
      <c r="AA434" s="4"/>
      <c r="AB434" s="4"/>
      <c r="AC434">
        <f t="shared" si="37"/>
        <v>2</v>
      </c>
    </row>
    <row r="435" spans="1:30" ht="46.8" x14ac:dyDescent="0.3">
      <c r="A435" s="7" t="s">
        <v>53</v>
      </c>
      <c r="B435" s="6">
        <v>422</v>
      </c>
      <c r="C435" s="7" t="s">
        <v>1591</v>
      </c>
      <c r="D435" s="7" t="s">
        <v>1760</v>
      </c>
      <c r="E435" s="5"/>
      <c r="F435" s="4"/>
      <c r="G435" s="7" t="s">
        <v>1761</v>
      </c>
      <c r="H435" s="5"/>
      <c r="I435" s="5"/>
      <c r="J435" s="7" t="s">
        <v>1762</v>
      </c>
      <c r="K435" s="7" t="s">
        <v>24</v>
      </c>
      <c r="L435" s="7" t="s">
        <v>1763</v>
      </c>
      <c r="M435" s="109">
        <v>963584580</v>
      </c>
      <c r="N435" s="111"/>
      <c r="O435" s="109">
        <v>7500000</v>
      </c>
      <c r="P435" s="110"/>
      <c r="Q435" s="109">
        <f t="shared" si="33"/>
        <v>971084580</v>
      </c>
      <c r="R435" s="3">
        <v>963584580</v>
      </c>
      <c r="S435" s="5"/>
      <c r="T435" s="30">
        <v>7500000</v>
      </c>
      <c r="U435" s="5"/>
      <c r="V435" s="5"/>
      <c r="W435" s="28"/>
      <c r="X435" s="28">
        <f t="shared" si="34"/>
        <v>0</v>
      </c>
      <c r="Y435" s="28">
        <f t="shared" si="35"/>
        <v>0</v>
      </c>
      <c r="Z435" s="28">
        <f t="shared" si="36"/>
        <v>0</v>
      </c>
      <c r="AA435" s="4"/>
      <c r="AB435" s="4"/>
      <c r="AC435">
        <f t="shared" si="37"/>
        <v>2</v>
      </c>
    </row>
    <row r="436" spans="1:30" ht="62.4" x14ac:dyDescent="0.3">
      <c r="A436" s="7" t="s">
        <v>53</v>
      </c>
      <c r="B436" s="6">
        <v>423</v>
      </c>
      <c r="C436" s="7" t="s">
        <v>1591</v>
      </c>
      <c r="D436" s="7" t="s">
        <v>1764</v>
      </c>
      <c r="E436" s="5"/>
      <c r="F436" s="4"/>
      <c r="G436" s="7" t="s">
        <v>1765</v>
      </c>
      <c r="H436" s="5"/>
      <c r="I436" s="5"/>
      <c r="J436" s="7" t="s">
        <v>1766</v>
      </c>
      <c r="K436" s="7" t="s">
        <v>24</v>
      </c>
      <c r="L436" s="7" t="s">
        <v>1767</v>
      </c>
      <c r="M436" s="109">
        <v>7215729060</v>
      </c>
      <c r="N436" s="111"/>
      <c r="O436" s="109">
        <v>15000000</v>
      </c>
      <c r="P436" s="110"/>
      <c r="Q436" s="109">
        <f t="shared" si="33"/>
        <v>7230729060</v>
      </c>
      <c r="R436" s="3">
        <v>7215729060</v>
      </c>
      <c r="S436" s="5"/>
      <c r="T436" s="30">
        <v>15000000</v>
      </c>
      <c r="U436" s="5"/>
      <c r="V436" s="5"/>
      <c r="W436" s="28"/>
      <c r="X436" s="28">
        <f t="shared" si="34"/>
        <v>0</v>
      </c>
      <c r="Y436" s="28">
        <f t="shared" si="35"/>
        <v>0</v>
      </c>
      <c r="Z436" s="28">
        <f t="shared" si="36"/>
        <v>0</v>
      </c>
      <c r="AA436" s="4"/>
      <c r="AB436" s="4"/>
      <c r="AC436">
        <f t="shared" si="37"/>
        <v>2</v>
      </c>
    </row>
    <row r="437" spans="1:30" ht="46.8" x14ac:dyDescent="0.3">
      <c r="A437" s="7" t="s">
        <v>62</v>
      </c>
      <c r="B437" s="6">
        <v>424</v>
      </c>
      <c r="C437" s="7" t="s">
        <v>1591</v>
      </c>
      <c r="D437" s="7" t="s">
        <v>1768</v>
      </c>
      <c r="E437" s="5"/>
      <c r="F437" s="4"/>
      <c r="G437" s="7" t="s">
        <v>1769</v>
      </c>
      <c r="H437" s="5"/>
      <c r="I437" s="5"/>
      <c r="J437" s="7" t="s">
        <v>1770</v>
      </c>
      <c r="K437" s="7" t="s">
        <v>24</v>
      </c>
      <c r="L437" s="7" t="s">
        <v>1771</v>
      </c>
      <c r="M437" s="109">
        <v>0</v>
      </c>
      <c r="N437" s="111"/>
      <c r="O437" s="109">
        <v>7500000</v>
      </c>
      <c r="P437" s="110"/>
      <c r="Q437" s="109">
        <f t="shared" si="33"/>
        <v>7500000</v>
      </c>
      <c r="R437" s="6">
        <v>0</v>
      </c>
      <c r="S437" s="5"/>
      <c r="T437" s="30">
        <v>7500000</v>
      </c>
      <c r="U437" s="5"/>
      <c r="V437" s="5"/>
      <c r="W437" s="28"/>
      <c r="X437" s="28">
        <f t="shared" si="34"/>
        <v>0</v>
      </c>
      <c r="Y437" s="28">
        <f t="shared" si="35"/>
        <v>0</v>
      </c>
      <c r="Z437" s="28">
        <f t="shared" si="36"/>
        <v>0</v>
      </c>
      <c r="AA437" s="4"/>
      <c r="AB437" s="4"/>
      <c r="AC437">
        <f t="shared" si="37"/>
        <v>2</v>
      </c>
    </row>
    <row r="438" spans="1:30" ht="46.8" x14ac:dyDescent="0.3">
      <c r="A438" s="7" t="s">
        <v>18</v>
      </c>
      <c r="B438" s="6">
        <v>425</v>
      </c>
      <c r="C438" s="7" t="s">
        <v>1591</v>
      </c>
      <c r="D438" s="7" t="s">
        <v>1772</v>
      </c>
      <c r="E438" s="5"/>
      <c r="F438" s="4"/>
      <c r="G438" s="7" t="s">
        <v>1773</v>
      </c>
      <c r="H438" s="7" t="s">
        <v>1774</v>
      </c>
      <c r="I438" s="5"/>
      <c r="J438" s="7" t="s">
        <v>1775</v>
      </c>
      <c r="K438" s="7" t="s">
        <v>24</v>
      </c>
      <c r="L438" s="7" t="s">
        <v>1776</v>
      </c>
      <c r="M438" s="109">
        <v>803736494</v>
      </c>
      <c r="N438" s="111"/>
      <c r="O438" s="109">
        <v>7500000</v>
      </c>
      <c r="P438" s="110"/>
      <c r="Q438" s="109">
        <f t="shared" si="33"/>
        <v>811236494</v>
      </c>
      <c r="R438" s="3">
        <v>803736494</v>
      </c>
      <c r="S438" s="5"/>
      <c r="T438" s="30">
        <v>7500000</v>
      </c>
      <c r="U438" s="5"/>
      <c r="V438" s="5"/>
      <c r="W438" s="28"/>
      <c r="X438" s="28">
        <f t="shared" si="34"/>
        <v>0</v>
      </c>
      <c r="Y438" s="28">
        <f t="shared" si="35"/>
        <v>0</v>
      </c>
      <c r="Z438" s="28">
        <f t="shared" si="36"/>
        <v>0</v>
      </c>
      <c r="AA438" s="4"/>
      <c r="AB438" s="4"/>
      <c r="AC438">
        <f t="shared" si="37"/>
        <v>2</v>
      </c>
    </row>
    <row r="439" spans="1:30" ht="46.8" x14ac:dyDescent="0.3">
      <c r="A439" s="7" t="s">
        <v>1601</v>
      </c>
      <c r="B439" s="6">
        <v>426</v>
      </c>
      <c r="C439" s="7" t="s">
        <v>1591</v>
      </c>
      <c r="D439" s="7" t="s">
        <v>1777</v>
      </c>
      <c r="E439" s="5"/>
      <c r="F439" s="4"/>
      <c r="G439" s="7" t="s">
        <v>1778</v>
      </c>
      <c r="H439" s="5"/>
      <c r="I439" s="5"/>
      <c r="J439" s="7" t="s">
        <v>1779</v>
      </c>
      <c r="K439" s="7" t="s">
        <v>24</v>
      </c>
      <c r="L439" s="7" t="s">
        <v>1780</v>
      </c>
      <c r="M439" s="109">
        <v>135006020</v>
      </c>
      <c r="N439" s="111"/>
      <c r="O439" s="109">
        <v>7500000</v>
      </c>
      <c r="P439" s="110"/>
      <c r="Q439" s="109">
        <f t="shared" si="33"/>
        <v>142506020</v>
      </c>
      <c r="R439" s="3">
        <v>135006020</v>
      </c>
      <c r="S439" s="5"/>
      <c r="T439" s="30">
        <v>7500000</v>
      </c>
      <c r="U439" s="5"/>
      <c r="V439" s="5"/>
      <c r="W439" s="28"/>
      <c r="X439" s="28">
        <f t="shared" si="34"/>
        <v>0</v>
      </c>
      <c r="Y439" s="28">
        <f t="shared" si="35"/>
        <v>0</v>
      </c>
      <c r="Z439" s="28">
        <f t="shared" si="36"/>
        <v>0</v>
      </c>
      <c r="AA439" s="4"/>
      <c r="AB439" s="4"/>
      <c r="AC439">
        <f t="shared" si="37"/>
        <v>2</v>
      </c>
    </row>
    <row r="440" spans="1:30" ht="78" customHeight="1" x14ac:dyDescent="0.3">
      <c r="A440" s="7" t="s">
        <v>53</v>
      </c>
      <c r="B440" s="6">
        <v>427</v>
      </c>
      <c r="C440" s="7" t="s">
        <v>1591</v>
      </c>
      <c r="D440" s="7" t="s">
        <v>1781</v>
      </c>
      <c r="E440" s="5"/>
      <c r="F440" s="40" t="s">
        <v>3879</v>
      </c>
      <c r="G440" s="7" t="s">
        <v>1782</v>
      </c>
      <c r="H440" s="5"/>
      <c r="I440" s="5"/>
      <c r="J440" s="7" t="s">
        <v>1783</v>
      </c>
      <c r="K440" s="7" t="s">
        <v>24</v>
      </c>
      <c r="L440" s="7" t="s">
        <v>1784</v>
      </c>
      <c r="M440" s="109">
        <v>2820833362</v>
      </c>
      <c r="N440" s="111"/>
      <c r="O440" s="109">
        <v>15000000</v>
      </c>
      <c r="P440" s="112">
        <v>96000000</v>
      </c>
      <c r="Q440" s="109">
        <f t="shared" si="33"/>
        <v>2931833362</v>
      </c>
      <c r="R440" s="3">
        <v>2820833362</v>
      </c>
      <c r="S440" s="5"/>
      <c r="T440" s="30">
        <v>15000000</v>
      </c>
      <c r="U440" s="3">
        <v>48000000</v>
      </c>
      <c r="V440" s="5"/>
      <c r="W440" s="28"/>
      <c r="X440" s="28">
        <f t="shared" si="34"/>
        <v>0</v>
      </c>
      <c r="Y440" s="28">
        <f t="shared" si="35"/>
        <v>0</v>
      </c>
      <c r="Z440" s="28">
        <f t="shared" si="36"/>
        <v>48000000</v>
      </c>
      <c r="AA440" s="4"/>
      <c r="AB440" s="4"/>
      <c r="AC440">
        <f t="shared" si="37"/>
        <v>2</v>
      </c>
    </row>
    <row r="441" spans="1:30" ht="31.2" x14ac:dyDescent="0.3">
      <c r="A441" s="7" t="s">
        <v>62</v>
      </c>
      <c r="B441" s="6">
        <v>428</v>
      </c>
      <c r="C441" s="7" t="s">
        <v>1785</v>
      </c>
      <c r="D441" s="7" t="s">
        <v>1786</v>
      </c>
      <c r="E441" s="5"/>
      <c r="F441" s="4"/>
      <c r="G441" s="7" t="s">
        <v>1787</v>
      </c>
      <c r="H441" s="5"/>
      <c r="I441" s="5"/>
      <c r="J441" s="7" t="s">
        <v>1788</v>
      </c>
      <c r="K441" s="7" t="s">
        <v>24</v>
      </c>
      <c r="L441" s="7" t="s">
        <v>1789</v>
      </c>
      <c r="M441" s="109">
        <v>356131600</v>
      </c>
      <c r="N441" s="111"/>
      <c r="O441" s="109">
        <v>7500000</v>
      </c>
      <c r="P441" s="110"/>
      <c r="Q441" s="109">
        <f t="shared" si="33"/>
        <v>363631600</v>
      </c>
      <c r="R441" s="3">
        <v>356131600</v>
      </c>
      <c r="S441" s="5"/>
      <c r="T441" s="30">
        <v>7500000</v>
      </c>
      <c r="U441" s="5"/>
      <c r="V441" s="5"/>
      <c r="W441" s="28"/>
      <c r="X441" s="28">
        <f t="shared" si="34"/>
        <v>0</v>
      </c>
      <c r="Y441" s="28">
        <f t="shared" si="35"/>
        <v>0</v>
      </c>
      <c r="Z441" s="28">
        <f t="shared" si="36"/>
        <v>0</v>
      </c>
      <c r="AA441" s="4"/>
      <c r="AB441" s="4"/>
      <c r="AC441">
        <f t="shared" si="37"/>
        <v>2</v>
      </c>
    </row>
    <row r="442" spans="1:30" ht="31.2" x14ac:dyDescent="0.3">
      <c r="A442" s="7" t="s">
        <v>1601</v>
      </c>
      <c r="B442" s="6">
        <v>429</v>
      </c>
      <c r="C442" s="7" t="s">
        <v>1785</v>
      </c>
      <c r="D442" s="7" t="s">
        <v>1790</v>
      </c>
      <c r="E442" s="5"/>
      <c r="F442" s="4"/>
      <c r="G442" s="7" t="s">
        <v>1791</v>
      </c>
      <c r="H442" s="5"/>
      <c r="I442" s="5"/>
      <c r="J442" s="7" t="s">
        <v>1792</v>
      </c>
      <c r="K442" s="7" t="s">
        <v>24</v>
      </c>
      <c r="L442" s="7" t="s">
        <v>1793</v>
      </c>
      <c r="M442" s="109">
        <v>3113721600</v>
      </c>
      <c r="N442" s="111"/>
      <c r="O442" s="109">
        <v>15000000</v>
      </c>
      <c r="P442" s="110"/>
      <c r="Q442" s="109">
        <f t="shared" si="33"/>
        <v>3128721600</v>
      </c>
      <c r="R442" s="36">
        <v>3113721600</v>
      </c>
      <c r="S442" s="5"/>
      <c r="T442" s="30">
        <v>15000000</v>
      </c>
      <c r="U442" s="5"/>
      <c r="V442" s="5"/>
      <c r="W442" s="28"/>
      <c r="X442" s="28">
        <f t="shared" si="34"/>
        <v>0</v>
      </c>
      <c r="Y442" s="28">
        <f t="shared" si="35"/>
        <v>0</v>
      </c>
      <c r="Z442" s="28">
        <f t="shared" si="36"/>
        <v>0</v>
      </c>
      <c r="AA442" s="4"/>
      <c r="AB442" s="4"/>
      <c r="AC442">
        <f t="shared" si="37"/>
        <v>2</v>
      </c>
    </row>
    <row r="443" spans="1:30" ht="31.2" x14ac:dyDescent="0.3">
      <c r="A443" s="7" t="s">
        <v>18</v>
      </c>
      <c r="B443" s="6">
        <v>430</v>
      </c>
      <c r="C443" s="7" t="s">
        <v>1785</v>
      </c>
      <c r="D443" s="7" t="s">
        <v>1794</v>
      </c>
      <c r="E443" s="5"/>
      <c r="F443" s="4"/>
      <c r="G443" s="7" t="s">
        <v>1795</v>
      </c>
      <c r="H443" s="5"/>
      <c r="I443" s="5"/>
      <c r="J443" s="7" t="s">
        <v>1796</v>
      </c>
      <c r="K443" s="7" t="s">
        <v>24</v>
      </c>
      <c r="L443" s="7" t="s">
        <v>1797</v>
      </c>
      <c r="M443" s="109">
        <v>3291977680</v>
      </c>
      <c r="N443" s="111"/>
      <c r="O443" s="109">
        <v>15000000</v>
      </c>
      <c r="P443" s="110"/>
      <c r="Q443" s="109">
        <f t="shared" si="33"/>
        <v>3306977680</v>
      </c>
      <c r="R443" s="9">
        <v>3291977680</v>
      </c>
      <c r="S443" s="5"/>
      <c r="T443" s="30">
        <v>15000000</v>
      </c>
      <c r="U443" s="5"/>
      <c r="V443" s="5"/>
      <c r="W443" s="28"/>
      <c r="X443" s="28">
        <f t="shared" si="34"/>
        <v>0</v>
      </c>
      <c r="Y443" s="28">
        <f t="shared" si="35"/>
        <v>0</v>
      </c>
      <c r="Z443" s="28">
        <f t="shared" si="36"/>
        <v>0</v>
      </c>
      <c r="AA443" s="4"/>
      <c r="AB443" s="4"/>
      <c r="AC443">
        <f t="shared" si="37"/>
        <v>2</v>
      </c>
    </row>
    <row r="444" spans="1:30" ht="31.2" x14ac:dyDescent="0.3">
      <c r="A444" s="7" t="s">
        <v>18</v>
      </c>
      <c r="B444" s="6">
        <v>431</v>
      </c>
      <c r="C444" s="7" t="s">
        <v>1785</v>
      </c>
      <c r="D444" s="7" t="s">
        <v>1798</v>
      </c>
      <c r="E444" s="5"/>
      <c r="F444" s="4"/>
      <c r="G444" s="7" t="s">
        <v>1799</v>
      </c>
      <c r="H444" s="7" t="s">
        <v>1800</v>
      </c>
      <c r="I444" s="5"/>
      <c r="J444" s="7" t="s">
        <v>1801</v>
      </c>
      <c r="K444" s="7" t="s">
        <v>24</v>
      </c>
      <c r="L444" s="7" t="s">
        <v>1802</v>
      </c>
      <c r="M444" s="109">
        <v>1490425300</v>
      </c>
      <c r="N444" s="111"/>
      <c r="O444" s="109">
        <v>15000000</v>
      </c>
      <c r="P444" s="110"/>
      <c r="Q444" s="109">
        <f t="shared" si="33"/>
        <v>1505425300</v>
      </c>
      <c r="R444" s="9">
        <v>1490425300</v>
      </c>
      <c r="S444" s="5"/>
      <c r="T444" s="30">
        <v>15000000</v>
      </c>
      <c r="U444" s="5"/>
      <c r="V444" s="5"/>
      <c r="W444" s="28"/>
      <c r="X444" s="28">
        <f t="shared" si="34"/>
        <v>0</v>
      </c>
      <c r="Y444" s="28">
        <f t="shared" si="35"/>
        <v>0</v>
      </c>
      <c r="Z444" s="28">
        <f t="shared" si="36"/>
        <v>0</v>
      </c>
      <c r="AA444" s="4"/>
      <c r="AB444" s="4"/>
      <c r="AC444">
        <f t="shared" si="37"/>
        <v>2</v>
      </c>
    </row>
    <row r="445" spans="1:30" ht="31.2" x14ac:dyDescent="0.3">
      <c r="A445" s="7" t="s">
        <v>18</v>
      </c>
      <c r="B445" s="6">
        <v>432</v>
      </c>
      <c r="C445" s="7" t="s">
        <v>1785</v>
      </c>
      <c r="D445" s="7" t="s">
        <v>1803</v>
      </c>
      <c r="E445" s="5"/>
      <c r="F445" s="4"/>
      <c r="G445" s="7" t="s">
        <v>1804</v>
      </c>
      <c r="H445" s="5"/>
      <c r="I445" s="5"/>
      <c r="J445" s="7" t="s">
        <v>1805</v>
      </c>
      <c r="K445" s="7" t="s">
        <v>24</v>
      </c>
      <c r="L445" s="7" t="s">
        <v>1806</v>
      </c>
      <c r="M445" s="109">
        <v>938372032</v>
      </c>
      <c r="N445" s="111"/>
      <c r="O445" s="109">
        <v>15000000</v>
      </c>
      <c r="P445" s="110"/>
      <c r="Q445" s="109">
        <f t="shared" si="33"/>
        <v>953372032</v>
      </c>
      <c r="R445" s="3">
        <v>938372032</v>
      </c>
      <c r="S445" s="5"/>
      <c r="T445" s="30">
        <v>15000000</v>
      </c>
      <c r="U445" s="5"/>
      <c r="V445" s="5"/>
      <c r="W445" s="28"/>
      <c r="X445" s="28">
        <f t="shared" si="34"/>
        <v>0</v>
      </c>
      <c r="Y445" s="28">
        <f t="shared" si="35"/>
        <v>0</v>
      </c>
      <c r="Z445" s="28">
        <f t="shared" si="36"/>
        <v>0</v>
      </c>
      <c r="AA445" s="4"/>
      <c r="AB445" s="4"/>
      <c r="AC445">
        <f t="shared" si="37"/>
        <v>2</v>
      </c>
    </row>
    <row r="446" spans="1:30" ht="31.2" x14ac:dyDescent="0.3">
      <c r="A446" s="7" t="s">
        <v>46</v>
      </c>
      <c r="B446" s="6">
        <v>433</v>
      </c>
      <c r="C446" s="7" t="s">
        <v>1785</v>
      </c>
      <c r="D446" s="7" t="s">
        <v>1807</v>
      </c>
      <c r="E446" s="7" t="s">
        <v>1808</v>
      </c>
      <c r="F446" s="4"/>
      <c r="G446" s="7" t="s">
        <v>1809</v>
      </c>
      <c r="H446" s="7" t="s">
        <v>1810</v>
      </c>
      <c r="I446" s="5"/>
      <c r="J446" s="7" t="s">
        <v>1811</v>
      </c>
      <c r="K446" s="7" t="s">
        <v>24</v>
      </c>
      <c r="L446" s="7" t="s">
        <v>1812</v>
      </c>
      <c r="M446" s="109">
        <v>749331672</v>
      </c>
      <c r="N446" s="109">
        <v>37628928</v>
      </c>
      <c r="O446" s="109">
        <v>7500000</v>
      </c>
      <c r="P446" s="110"/>
      <c r="Q446" s="109">
        <f t="shared" si="33"/>
        <v>794460600</v>
      </c>
      <c r="R446" s="3">
        <v>749331672</v>
      </c>
      <c r="S446" s="28">
        <v>37628928</v>
      </c>
      <c r="T446" s="30">
        <v>7500000</v>
      </c>
      <c r="U446" s="5"/>
      <c r="V446" s="5"/>
      <c r="W446" s="28"/>
      <c r="X446" s="28">
        <f t="shared" si="34"/>
        <v>0</v>
      </c>
      <c r="Y446" s="28">
        <f t="shared" si="35"/>
        <v>0</v>
      </c>
      <c r="Z446" s="28">
        <f t="shared" si="36"/>
        <v>0</v>
      </c>
      <c r="AA446" s="4"/>
      <c r="AB446" s="4"/>
      <c r="AC446">
        <f t="shared" si="37"/>
        <v>2</v>
      </c>
    </row>
    <row r="447" spans="1:30" ht="31.2" x14ac:dyDescent="0.3">
      <c r="A447" s="7" t="s">
        <v>1601</v>
      </c>
      <c r="B447" s="6">
        <v>434</v>
      </c>
      <c r="C447" s="7" t="s">
        <v>1785</v>
      </c>
      <c r="D447" s="7" t="s">
        <v>1813</v>
      </c>
      <c r="E447" s="5"/>
      <c r="F447" s="40" t="s">
        <v>858</v>
      </c>
      <c r="G447" s="7" t="s">
        <v>1814</v>
      </c>
      <c r="H447" s="5"/>
      <c r="I447" s="5"/>
      <c r="J447" s="7" t="s">
        <v>1815</v>
      </c>
      <c r="K447" s="7" t="s">
        <v>24</v>
      </c>
      <c r="L447" s="7" t="s">
        <v>1816</v>
      </c>
      <c r="M447" s="109">
        <v>4110860698</v>
      </c>
      <c r="N447" s="111"/>
      <c r="O447" s="109">
        <v>15000000</v>
      </c>
      <c r="P447" s="112">
        <v>72000000</v>
      </c>
      <c r="Q447" s="109">
        <f t="shared" si="33"/>
        <v>4197860698</v>
      </c>
      <c r="R447" s="3">
        <v>4110860698</v>
      </c>
      <c r="S447" s="5"/>
      <c r="T447" s="30">
        <v>15000000</v>
      </c>
      <c r="U447" s="3">
        <v>72000000</v>
      </c>
      <c r="V447" s="5"/>
      <c r="W447" s="28"/>
      <c r="X447" s="28">
        <f t="shared" si="34"/>
        <v>0</v>
      </c>
      <c r="Y447" s="28">
        <f t="shared" si="35"/>
        <v>0</v>
      </c>
      <c r="Z447" s="28">
        <f t="shared" si="36"/>
        <v>0</v>
      </c>
      <c r="AA447" s="4"/>
      <c r="AB447" s="4"/>
      <c r="AC447">
        <f t="shared" si="37"/>
        <v>2</v>
      </c>
    </row>
    <row r="448" spans="1:30" ht="31.2" x14ac:dyDescent="0.3">
      <c r="A448" s="7" t="s">
        <v>62</v>
      </c>
      <c r="B448" s="6">
        <v>435</v>
      </c>
      <c r="C448" s="7" t="s">
        <v>1785</v>
      </c>
      <c r="D448" s="7" t="s">
        <v>1817</v>
      </c>
      <c r="E448" s="7" t="s">
        <v>1818</v>
      </c>
      <c r="F448" s="4"/>
      <c r="G448" s="7" t="s">
        <v>1819</v>
      </c>
      <c r="H448" s="7" t="s">
        <v>1820</v>
      </c>
      <c r="I448" s="7"/>
      <c r="J448" s="7" t="s">
        <v>1821</v>
      </c>
      <c r="K448" s="7" t="s">
        <v>24</v>
      </c>
      <c r="L448" s="7" t="s">
        <v>1822</v>
      </c>
      <c r="M448" s="109">
        <v>15629867106</v>
      </c>
      <c r="N448" s="109">
        <v>1473748861</v>
      </c>
      <c r="O448" s="109">
        <v>7500000</v>
      </c>
      <c r="P448" s="110"/>
      <c r="Q448" s="109">
        <f t="shared" si="33"/>
        <v>17111115967</v>
      </c>
      <c r="R448" s="5"/>
      <c r="S448" s="7"/>
      <c r="T448" s="72"/>
      <c r="U448" s="5"/>
      <c r="V448" s="5"/>
      <c r="W448" s="28">
        <v>15629867106</v>
      </c>
      <c r="X448" s="36">
        <f t="shared" si="34"/>
        <v>1473748861</v>
      </c>
      <c r="Y448" s="36">
        <f t="shared" si="35"/>
        <v>7500000</v>
      </c>
      <c r="Z448" s="28">
        <f t="shared" si="36"/>
        <v>0</v>
      </c>
      <c r="AA448" s="10">
        <v>15629867106</v>
      </c>
      <c r="AB448" s="40"/>
      <c r="AC448" s="121">
        <f t="shared" si="37"/>
        <v>2</v>
      </c>
      <c r="AD448" s="121"/>
    </row>
    <row r="449" spans="1:30" ht="31.2" x14ac:dyDescent="0.3">
      <c r="A449" s="7" t="s">
        <v>53</v>
      </c>
      <c r="B449" s="6">
        <v>436</v>
      </c>
      <c r="C449" s="7" t="s">
        <v>1785</v>
      </c>
      <c r="D449" s="7" t="s">
        <v>1823</v>
      </c>
      <c r="E449" s="7" t="s">
        <v>1138</v>
      </c>
      <c r="F449" s="4"/>
      <c r="G449" s="7" t="s">
        <v>1824</v>
      </c>
      <c r="H449" s="7" t="s">
        <v>1825</v>
      </c>
      <c r="I449" s="5"/>
      <c r="J449" s="7" t="s">
        <v>1826</v>
      </c>
      <c r="K449" s="7" t="s">
        <v>24</v>
      </c>
      <c r="L449" s="7" t="s">
        <v>1827</v>
      </c>
      <c r="M449" s="109">
        <v>2887795865</v>
      </c>
      <c r="N449" s="109">
        <v>38730048</v>
      </c>
      <c r="O449" s="109">
        <v>7500000</v>
      </c>
      <c r="P449" s="110"/>
      <c r="Q449" s="109">
        <f t="shared" si="33"/>
        <v>2934025913</v>
      </c>
      <c r="R449" s="3">
        <v>2887795865</v>
      </c>
      <c r="S449" s="28">
        <v>38730048</v>
      </c>
      <c r="T449" s="31">
        <v>7500000</v>
      </c>
      <c r="U449" s="5"/>
      <c r="V449" s="5"/>
      <c r="W449" s="28"/>
      <c r="X449" s="28">
        <f t="shared" si="34"/>
        <v>0</v>
      </c>
      <c r="Y449" s="28">
        <f t="shared" si="35"/>
        <v>0</v>
      </c>
      <c r="Z449" s="28">
        <f t="shared" si="36"/>
        <v>0</v>
      </c>
      <c r="AA449" s="4"/>
      <c r="AB449" s="4"/>
      <c r="AC449">
        <f t="shared" si="37"/>
        <v>2</v>
      </c>
    </row>
    <row r="450" spans="1:30" ht="31.2" x14ac:dyDescent="0.3">
      <c r="A450" s="7" t="s">
        <v>46</v>
      </c>
      <c r="B450" s="6">
        <v>437</v>
      </c>
      <c r="C450" s="7" t="s">
        <v>1785</v>
      </c>
      <c r="D450" s="7" t="s">
        <v>1828</v>
      </c>
      <c r="E450" s="7"/>
      <c r="F450" s="4"/>
      <c r="G450" s="7" t="s">
        <v>1829</v>
      </c>
      <c r="H450" s="7"/>
      <c r="I450" s="7"/>
      <c r="J450" s="7" t="s">
        <v>1830</v>
      </c>
      <c r="K450" s="7" t="s">
        <v>24</v>
      </c>
      <c r="L450" s="7" t="s">
        <v>1831</v>
      </c>
      <c r="M450" s="109">
        <v>51726960</v>
      </c>
      <c r="N450" s="111"/>
      <c r="O450" s="109">
        <v>7500000</v>
      </c>
      <c r="P450" s="110"/>
      <c r="Q450" s="109">
        <f t="shared" si="33"/>
        <v>59226960</v>
      </c>
      <c r="R450" s="3">
        <v>51726960</v>
      </c>
      <c r="S450" s="5"/>
      <c r="T450" s="72"/>
      <c r="U450" s="5"/>
      <c r="V450" s="5"/>
      <c r="W450" s="28"/>
      <c r="X450" s="28">
        <f t="shared" si="34"/>
        <v>0</v>
      </c>
      <c r="Y450" s="36">
        <f t="shared" si="35"/>
        <v>7500000</v>
      </c>
      <c r="Z450" s="28">
        <f t="shared" si="36"/>
        <v>0</v>
      </c>
      <c r="AA450" s="4"/>
      <c r="AB450" s="40"/>
      <c r="AC450" s="121">
        <f t="shared" si="37"/>
        <v>2</v>
      </c>
      <c r="AD450" s="121"/>
    </row>
    <row r="451" spans="1:30" ht="31.2" x14ac:dyDescent="0.3">
      <c r="A451" s="7" t="s">
        <v>53</v>
      </c>
      <c r="B451" s="6">
        <v>438</v>
      </c>
      <c r="C451" s="7" t="s">
        <v>1785</v>
      </c>
      <c r="D451" s="7" t="s">
        <v>1832</v>
      </c>
      <c r="E451" s="7"/>
      <c r="F451" s="4"/>
      <c r="G451" s="7" t="s">
        <v>1833</v>
      </c>
      <c r="H451" s="7"/>
      <c r="I451" s="7"/>
      <c r="J451" s="7" t="s">
        <v>1834</v>
      </c>
      <c r="K451" s="7" t="s">
        <v>24</v>
      </c>
      <c r="L451" s="7" t="s">
        <v>1835</v>
      </c>
      <c r="M451" s="109">
        <v>2988121529</v>
      </c>
      <c r="N451" s="111"/>
      <c r="O451" s="109">
        <v>7500000</v>
      </c>
      <c r="P451" s="110"/>
      <c r="Q451" s="109">
        <f t="shared" si="33"/>
        <v>2995621529</v>
      </c>
      <c r="R451" s="3">
        <v>2988121529</v>
      </c>
      <c r="S451" s="5"/>
      <c r="T451" s="72"/>
      <c r="U451" s="5"/>
      <c r="V451" s="5"/>
      <c r="W451" s="28"/>
      <c r="X451" s="28">
        <f t="shared" si="34"/>
        <v>0</v>
      </c>
      <c r="Y451" s="36">
        <f t="shared" si="35"/>
        <v>7500000</v>
      </c>
      <c r="Z451" s="28">
        <f t="shared" si="36"/>
        <v>0</v>
      </c>
      <c r="AA451" s="4"/>
      <c r="AB451" s="40"/>
      <c r="AC451" s="121">
        <f t="shared" si="37"/>
        <v>2</v>
      </c>
      <c r="AD451" s="121"/>
    </row>
    <row r="452" spans="1:30" ht="31.2" x14ac:dyDescent="0.3">
      <c r="A452" s="7" t="s">
        <v>53</v>
      </c>
      <c r="B452" s="6">
        <v>439</v>
      </c>
      <c r="C452" s="7" t="s">
        <v>1785</v>
      </c>
      <c r="D452" s="7" t="s">
        <v>1836</v>
      </c>
      <c r="E452" s="5"/>
      <c r="F452" s="4"/>
      <c r="G452" s="7" t="s">
        <v>1837</v>
      </c>
      <c r="H452" s="5"/>
      <c r="I452" s="5"/>
      <c r="J452" s="7" t="s">
        <v>1838</v>
      </c>
      <c r="K452" s="7" t="s">
        <v>24</v>
      </c>
      <c r="L452" s="7" t="s">
        <v>1839</v>
      </c>
      <c r="M452" s="109">
        <v>2121301600</v>
      </c>
      <c r="N452" s="111"/>
      <c r="O452" s="109">
        <v>7500000</v>
      </c>
      <c r="P452" s="110"/>
      <c r="Q452" s="109">
        <f t="shared" si="33"/>
        <v>2128801600</v>
      </c>
      <c r="R452" s="3">
        <v>2121301600</v>
      </c>
      <c r="S452" s="5"/>
      <c r="T452" s="30">
        <v>7500000</v>
      </c>
      <c r="U452" s="5"/>
      <c r="V452" s="5"/>
      <c r="W452" s="28"/>
      <c r="X452" s="28">
        <f t="shared" si="34"/>
        <v>0</v>
      </c>
      <c r="Y452" s="28">
        <f t="shared" si="35"/>
        <v>0</v>
      </c>
      <c r="Z452" s="28">
        <f t="shared" si="36"/>
        <v>0</v>
      </c>
      <c r="AA452" s="4"/>
      <c r="AB452" s="4"/>
      <c r="AC452">
        <f t="shared" si="37"/>
        <v>2</v>
      </c>
    </row>
    <row r="453" spans="1:30" ht="31.2" x14ac:dyDescent="0.3">
      <c r="A453" s="7" t="s">
        <v>53</v>
      </c>
      <c r="B453" s="6">
        <v>440</v>
      </c>
      <c r="C453" s="7" t="s">
        <v>1785</v>
      </c>
      <c r="D453" s="7" t="s">
        <v>1840</v>
      </c>
      <c r="E453" s="5"/>
      <c r="F453" s="40" t="s">
        <v>1559</v>
      </c>
      <c r="G453" s="7" t="s">
        <v>1841</v>
      </c>
      <c r="H453" s="5"/>
      <c r="I453" s="5"/>
      <c r="J453" s="7" t="s">
        <v>1842</v>
      </c>
      <c r="K453" s="7" t="s">
        <v>24</v>
      </c>
      <c r="L453" s="7" t="s">
        <v>1843</v>
      </c>
      <c r="M453" s="109">
        <v>1804834020</v>
      </c>
      <c r="N453" s="111"/>
      <c r="O453" s="109">
        <v>15000000</v>
      </c>
      <c r="P453" s="112">
        <v>72000000</v>
      </c>
      <c r="Q453" s="109">
        <f t="shared" si="33"/>
        <v>1891834020</v>
      </c>
      <c r="R453" s="3">
        <v>1804834020</v>
      </c>
      <c r="S453" s="5"/>
      <c r="T453" s="30">
        <v>15000000</v>
      </c>
      <c r="U453" s="3">
        <v>72000000</v>
      </c>
      <c r="V453" s="5"/>
      <c r="W453" s="28"/>
      <c r="X453" s="28">
        <f t="shared" si="34"/>
        <v>0</v>
      </c>
      <c r="Y453" s="28">
        <f t="shared" si="35"/>
        <v>0</v>
      </c>
      <c r="Z453" s="28">
        <f t="shared" si="36"/>
        <v>0</v>
      </c>
      <c r="AA453" s="4"/>
      <c r="AB453" s="4"/>
      <c r="AC453">
        <f t="shared" si="37"/>
        <v>2</v>
      </c>
    </row>
    <row r="454" spans="1:30" ht="31.2" x14ac:dyDescent="0.3">
      <c r="A454" s="7" t="s">
        <v>46</v>
      </c>
      <c r="B454" s="6">
        <v>441</v>
      </c>
      <c r="C454" s="7" t="s">
        <v>1785</v>
      </c>
      <c r="D454" s="7" t="s">
        <v>1844</v>
      </c>
      <c r="E454" s="5"/>
      <c r="F454" s="4"/>
      <c r="G454" s="7" t="s">
        <v>1845</v>
      </c>
      <c r="H454" s="5"/>
      <c r="I454" s="5"/>
      <c r="J454" s="7" t="s">
        <v>1846</v>
      </c>
      <c r="K454" s="7" t="s">
        <v>24</v>
      </c>
      <c r="L454" s="7" t="s">
        <v>1847</v>
      </c>
      <c r="M454" s="109">
        <v>4606383064</v>
      </c>
      <c r="N454" s="111"/>
      <c r="O454" s="109">
        <v>15000000</v>
      </c>
      <c r="P454" s="110"/>
      <c r="Q454" s="109">
        <f t="shared" si="33"/>
        <v>4621383064</v>
      </c>
      <c r="R454" s="3">
        <v>4606383064</v>
      </c>
      <c r="S454" s="5"/>
      <c r="T454" s="30">
        <v>15000000</v>
      </c>
      <c r="U454" s="5"/>
      <c r="V454" s="5"/>
      <c r="W454" s="28"/>
      <c r="X454" s="28">
        <f t="shared" si="34"/>
        <v>0</v>
      </c>
      <c r="Y454" s="28">
        <f t="shared" si="35"/>
        <v>0</v>
      </c>
      <c r="Z454" s="28">
        <f t="shared" si="36"/>
        <v>0</v>
      </c>
      <c r="AA454" s="4"/>
      <c r="AB454" s="4"/>
      <c r="AC454">
        <f t="shared" si="37"/>
        <v>2</v>
      </c>
    </row>
    <row r="455" spans="1:30" ht="31.2" x14ac:dyDescent="0.3">
      <c r="A455" s="7" t="s">
        <v>62</v>
      </c>
      <c r="B455" s="6">
        <v>442</v>
      </c>
      <c r="C455" s="7" t="s">
        <v>1785</v>
      </c>
      <c r="D455" s="7" t="s">
        <v>1848</v>
      </c>
      <c r="E455" s="7" t="s">
        <v>1850</v>
      </c>
      <c r="F455" s="40" t="s">
        <v>1849</v>
      </c>
      <c r="G455" s="7" t="s">
        <v>1851</v>
      </c>
      <c r="H455" s="7" t="s">
        <v>1852</v>
      </c>
      <c r="I455" s="5"/>
      <c r="J455" s="7" t="s">
        <v>1853</v>
      </c>
      <c r="K455" s="7" t="s">
        <v>24</v>
      </c>
      <c r="L455" s="7" t="s">
        <v>1854</v>
      </c>
      <c r="M455" s="109">
        <v>1155653236</v>
      </c>
      <c r="N455" s="109">
        <v>1188367986</v>
      </c>
      <c r="O455" s="109">
        <v>15000000</v>
      </c>
      <c r="P455" s="112">
        <v>24000000</v>
      </c>
      <c r="Q455" s="109">
        <f t="shared" si="33"/>
        <v>2383021222</v>
      </c>
      <c r="R455" s="3">
        <v>1155653236</v>
      </c>
      <c r="S455" s="3">
        <v>1188367986</v>
      </c>
      <c r="T455" s="30">
        <v>15000000</v>
      </c>
      <c r="U455" s="3">
        <v>24000000</v>
      </c>
      <c r="V455" s="5"/>
      <c r="W455" s="28"/>
      <c r="X455" s="28">
        <f t="shared" si="34"/>
        <v>0</v>
      </c>
      <c r="Y455" s="28">
        <f t="shared" si="35"/>
        <v>0</v>
      </c>
      <c r="Z455" s="28">
        <f t="shared" si="36"/>
        <v>0</v>
      </c>
      <c r="AA455" s="4"/>
      <c r="AB455" s="4"/>
      <c r="AC455">
        <f t="shared" si="37"/>
        <v>2</v>
      </c>
    </row>
    <row r="456" spans="1:30" ht="31.2" x14ac:dyDescent="0.3">
      <c r="A456" s="7" t="s">
        <v>1601</v>
      </c>
      <c r="B456" s="6">
        <v>443</v>
      </c>
      <c r="C456" s="7" t="s">
        <v>1785</v>
      </c>
      <c r="D456" s="7" t="s">
        <v>1855</v>
      </c>
      <c r="E456" s="5"/>
      <c r="F456" s="4"/>
      <c r="G456" s="7" t="s">
        <v>1856</v>
      </c>
      <c r="H456" s="5"/>
      <c r="I456" s="5"/>
      <c r="J456" s="7" t="s">
        <v>1857</v>
      </c>
      <c r="K456" s="7" t="s">
        <v>24</v>
      </c>
      <c r="L456" s="7" t="s">
        <v>1858</v>
      </c>
      <c r="M456" s="109">
        <v>11944033780</v>
      </c>
      <c r="N456" s="111"/>
      <c r="O456" s="109">
        <v>15000000</v>
      </c>
      <c r="P456" s="110"/>
      <c r="Q456" s="109">
        <f t="shared" si="33"/>
        <v>11959033780</v>
      </c>
      <c r="R456" s="3">
        <v>11944033780</v>
      </c>
      <c r="S456" s="5"/>
      <c r="T456" s="30">
        <v>15000000</v>
      </c>
      <c r="U456" s="5"/>
      <c r="V456" s="5"/>
      <c r="W456" s="28"/>
      <c r="X456" s="28">
        <f t="shared" si="34"/>
        <v>0</v>
      </c>
      <c r="Y456" s="28">
        <f t="shared" si="35"/>
        <v>0</v>
      </c>
      <c r="Z456" s="28">
        <f t="shared" si="36"/>
        <v>0</v>
      </c>
      <c r="AA456" s="4"/>
      <c r="AB456" s="4"/>
      <c r="AC456">
        <f t="shared" si="37"/>
        <v>2</v>
      </c>
    </row>
    <row r="457" spans="1:30" ht="31.2" x14ac:dyDescent="0.3">
      <c r="A457" s="7" t="s">
        <v>53</v>
      </c>
      <c r="B457" s="6">
        <v>444</v>
      </c>
      <c r="C457" s="7" t="s">
        <v>1785</v>
      </c>
      <c r="D457" s="7" t="s">
        <v>1859</v>
      </c>
      <c r="E457" s="5"/>
      <c r="F457" s="4"/>
      <c r="G457" s="7" t="s">
        <v>1860</v>
      </c>
      <c r="H457" s="5"/>
      <c r="I457" s="5"/>
      <c r="J457" s="7" t="s">
        <v>1861</v>
      </c>
      <c r="K457" s="7" t="s">
        <v>24</v>
      </c>
      <c r="L457" s="7" t="s">
        <v>1862</v>
      </c>
      <c r="M457" s="109">
        <v>672852940</v>
      </c>
      <c r="N457" s="111"/>
      <c r="O457" s="109">
        <v>7500000</v>
      </c>
      <c r="P457" s="110"/>
      <c r="Q457" s="109">
        <f t="shared" si="33"/>
        <v>680352940</v>
      </c>
      <c r="R457" s="28">
        <v>672852940</v>
      </c>
      <c r="S457" s="5"/>
      <c r="T457" s="30">
        <v>7500000</v>
      </c>
      <c r="U457" s="5"/>
      <c r="V457" s="5"/>
      <c r="W457" s="28"/>
      <c r="X457" s="28">
        <f t="shared" si="34"/>
        <v>0</v>
      </c>
      <c r="Y457" s="28">
        <f t="shared" si="35"/>
        <v>0</v>
      </c>
      <c r="Z457" s="28">
        <f t="shared" si="36"/>
        <v>0</v>
      </c>
      <c r="AA457" s="10"/>
      <c r="AB457" s="4"/>
      <c r="AC457">
        <f t="shared" si="37"/>
        <v>2</v>
      </c>
    </row>
    <row r="458" spans="1:30" ht="31.2" x14ac:dyDescent="0.3">
      <c r="A458" s="7" t="s">
        <v>46</v>
      </c>
      <c r="B458" s="6">
        <v>445</v>
      </c>
      <c r="C458" s="7" t="s">
        <v>1785</v>
      </c>
      <c r="D458" s="7" t="s">
        <v>1863</v>
      </c>
      <c r="E458" s="5"/>
      <c r="F458" s="4"/>
      <c r="G458" s="7" t="s">
        <v>1864</v>
      </c>
      <c r="H458" s="5"/>
      <c r="I458" s="5"/>
      <c r="J458" s="7" t="s">
        <v>1865</v>
      </c>
      <c r="K458" s="7" t="s">
        <v>24</v>
      </c>
      <c r="L458" s="7" t="s">
        <v>1866</v>
      </c>
      <c r="M458" s="109">
        <v>2508309760</v>
      </c>
      <c r="N458" s="111"/>
      <c r="O458" s="109">
        <v>15000000</v>
      </c>
      <c r="P458" s="110"/>
      <c r="Q458" s="109">
        <f t="shared" si="33"/>
        <v>2523309760</v>
      </c>
      <c r="R458" s="3">
        <v>2508309760</v>
      </c>
      <c r="S458" s="5"/>
      <c r="T458" s="30">
        <v>15000000</v>
      </c>
      <c r="U458" s="5"/>
      <c r="V458" s="5"/>
      <c r="W458" s="28"/>
      <c r="X458" s="28">
        <f t="shared" si="34"/>
        <v>0</v>
      </c>
      <c r="Y458" s="28">
        <f t="shared" si="35"/>
        <v>0</v>
      </c>
      <c r="Z458" s="28">
        <f t="shared" si="36"/>
        <v>0</v>
      </c>
      <c r="AA458" s="4"/>
      <c r="AB458" s="4"/>
      <c r="AC458">
        <f t="shared" si="37"/>
        <v>2</v>
      </c>
    </row>
    <row r="459" spans="1:30" ht="31.2" x14ac:dyDescent="0.3">
      <c r="A459" s="7" t="s">
        <v>18</v>
      </c>
      <c r="B459" s="6">
        <v>446</v>
      </c>
      <c r="C459" s="7" t="s">
        <v>1785</v>
      </c>
      <c r="D459" s="7" t="s">
        <v>1867</v>
      </c>
      <c r="E459" s="5"/>
      <c r="F459" s="4"/>
      <c r="G459" s="7" t="s">
        <v>1868</v>
      </c>
      <c r="H459" s="5"/>
      <c r="I459" s="5"/>
      <c r="J459" s="7" t="s">
        <v>1869</v>
      </c>
      <c r="K459" s="7" t="s">
        <v>24</v>
      </c>
      <c r="L459" s="7" t="s">
        <v>1870</v>
      </c>
      <c r="M459" s="109">
        <v>696677520</v>
      </c>
      <c r="N459" s="111"/>
      <c r="O459" s="109">
        <v>7500000</v>
      </c>
      <c r="P459" s="110"/>
      <c r="Q459" s="109">
        <f t="shared" si="33"/>
        <v>704177520</v>
      </c>
      <c r="R459" s="9">
        <v>696677520</v>
      </c>
      <c r="S459" s="5"/>
      <c r="T459" s="30">
        <v>7500000</v>
      </c>
      <c r="U459" s="5"/>
      <c r="V459" s="5"/>
      <c r="W459" s="28"/>
      <c r="X459" s="28">
        <f t="shared" si="34"/>
        <v>0</v>
      </c>
      <c r="Y459" s="28">
        <f t="shared" si="35"/>
        <v>0</v>
      </c>
      <c r="Z459" s="28">
        <f t="shared" si="36"/>
        <v>0</v>
      </c>
      <c r="AA459" s="4"/>
      <c r="AB459" s="4"/>
      <c r="AC459">
        <f t="shared" si="37"/>
        <v>2</v>
      </c>
    </row>
    <row r="460" spans="1:30" ht="78" customHeight="1" x14ac:dyDescent="0.3">
      <c r="A460" s="7" t="s">
        <v>46</v>
      </c>
      <c r="B460" s="6">
        <v>447</v>
      </c>
      <c r="C460" s="7" t="s">
        <v>1785</v>
      </c>
      <c r="D460" s="7" t="s">
        <v>1871</v>
      </c>
      <c r="E460" s="5"/>
      <c r="F460" s="40" t="s">
        <v>1872</v>
      </c>
      <c r="G460" s="7" t="s">
        <v>1873</v>
      </c>
      <c r="H460" s="5"/>
      <c r="I460" s="5"/>
      <c r="J460" s="7" t="s">
        <v>3826</v>
      </c>
      <c r="K460" s="7" t="s">
        <v>24</v>
      </c>
      <c r="L460" s="7" t="s">
        <v>1874</v>
      </c>
      <c r="M460" s="109">
        <v>1371254860</v>
      </c>
      <c r="N460" s="111"/>
      <c r="O460" s="109">
        <v>15000000</v>
      </c>
      <c r="P460" s="112">
        <v>192000000</v>
      </c>
      <c r="Q460" s="109">
        <f t="shared" si="33"/>
        <v>1578254860</v>
      </c>
      <c r="R460" s="3">
        <v>1371254860</v>
      </c>
      <c r="S460" s="5"/>
      <c r="T460" s="30">
        <v>15000000</v>
      </c>
      <c r="U460" s="3">
        <v>192000000</v>
      </c>
      <c r="V460" s="5"/>
      <c r="W460" s="28"/>
      <c r="X460" s="28">
        <f t="shared" si="34"/>
        <v>0</v>
      </c>
      <c r="Y460" s="28">
        <f t="shared" si="35"/>
        <v>0</v>
      </c>
      <c r="Z460" s="28">
        <f t="shared" si="36"/>
        <v>0</v>
      </c>
      <c r="AA460" s="4"/>
      <c r="AB460" s="4"/>
      <c r="AC460">
        <f t="shared" si="37"/>
        <v>2</v>
      </c>
    </row>
    <row r="461" spans="1:30" ht="78" customHeight="1" x14ac:dyDescent="0.3">
      <c r="A461" s="7" t="s">
        <v>62</v>
      </c>
      <c r="B461" s="6">
        <v>448</v>
      </c>
      <c r="C461" s="7" t="s">
        <v>1785</v>
      </c>
      <c r="D461" s="7" t="s">
        <v>1875</v>
      </c>
      <c r="E461" s="5"/>
      <c r="F461" s="40" t="s">
        <v>3889</v>
      </c>
      <c r="G461" s="7" t="s">
        <v>1877</v>
      </c>
      <c r="H461" s="5"/>
      <c r="I461" s="5"/>
      <c r="J461" s="7" t="s">
        <v>1878</v>
      </c>
      <c r="K461" s="7" t="s">
        <v>24</v>
      </c>
      <c r="L461" s="7" t="s">
        <v>1879</v>
      </c>
      <c r="M461" s="109">
        <v>1330580934</v>
      </c>
      <c r="N461" s="111"/>
      <c r="O461" s="109">
        <v>15000000</v>
      </c>
      <c r="P461" s="112">
        <v>96000000</v>
      </c>
      <c r="Q461" s="109">
        <f t="shared" si="33"/>
        <v>1441580934</v>
      </c>
      <c r="R461" s="3">
        <v>1330580934</v>
      </c>
      <c r="S461" s="5"/>
      <c r="T461" s="30">
        <v>15000000</v>
      </c>
      <c r="U461" s="3">
        <v>96000000</v>
      </c>
      <c r="V461" s="5"/>
      <c r="W461" s="28"/>
      <c r="X461" s="28">
        <f t="shared" si="34"/>
        <v>0</v>
      </c>
      <c r="Y461" s="28">
        <f t="shared" si="35"/>
        <v>0</v>
      </c>
      <c r="Z461" s="28">
        <f t="shared" si="36"/>
        <v>0</v>
      </c>
      <c r="AA461" s="4"/>
      <c r="AB461" s="4"/>
      <c r="AC461">
        <f t="shared" si="37"/>
        <v>2</v>
      </c>
    </row>
    <row r="462" spans="1:30" ht="31.2" x14ac:dyDescent="0.3">
      <c r="A462" s="7" t="s">
        <v>53</v>
      </c>
      <c r="B462" s="6">
        <v>449</v>
      </c>
      <c r="C462" s="7" t="s">
        <v>1785</v>
      </c>
      <c r="D462" s="7" t="s">
        <v>1880</v>
      </c>
      <c r="E462" s="5"/>
      <c r="F462" s="4"/>
      <c r="G462" s="7" t="s">
        <v>1881</v>
      </c>
      <c r="H462" s="5"/>
      <c r="I462" s="5"/>
      <c r="J462" s="7" t="s">
        <v>1882</v>
      </c>
      <c r="K462" s="7" t="s">
        <v>24</v>
      </c>
      <c r="L462" s="7" t="s">
        <v>1883</v>
      </c>
      <c r="M462" s="109">
        <v>1491958086</v>
      </c>
      <c r="N462" s="111"/>
      <c r="O462" s="109">
        <v>7500000</v>
      </c>
      <c r="P462" s="110"/>
      <c r="Q462" s="109">
        <f t="shared" si="33"/>
        <v>1499458086</v>
      </c>
      <c r="R462" s="3">
        <v>1491958086</v>
      </c>
      <c r="S462" s="5"/>
      <c r="T462" s="30">
        <v>7500000</v>
      </c>
      <c r="U462" s="5"/>
      <c r="V462" s="5"/>
      <c r="W462" s="28"/>
      <c r="X462" s="28">
        <f t="shared" si="34"/>
        <v>0</v>
      </c>
      <c r="Y462" s="28">
        <f t="shared" si="35"/>
        <v>0</v>
      </c>
      <c r="Z462" s="28">
        <f t="shared" si="36"/>
        <v>0</v>
      </c>
      <c r="AA462" s="4"/>
      <c r="AB462" s="4"/>
      <c r="AC462">
        <f t="shared" si="37"/>
        <v>2</v>
      </c>
    </row>
    <row r="463" spans="1:30" ht="31.2" x14ac:dyDescent="0.3">
      <c r="A463" s="7" t="s">
        <v>46</v>
      </c>
      <c r="B463" s="6">
        <v>450</v>
      </c>
      <c r="C463" s="7" t="s">
        <v>1785</v>
      </c>
      <c r="D463" s="7" t="s">
        <v>1884</v>
      </c>
      <c r="E463" s="7" t="s">
        <v>1885</v>
      </c>
      <c r="F463" s="4"/>
      <c r="G463" s="7" t="s">
        <v>1886</v>
      </c>
      <c r="H463" s="5"/>
      <c r="I463" s="5"/>
      <c r="J463" s="7" t="s">
        <v>1887</v>
      </c>
      <c r="K463" s="7" t="s">
        <v>24</v>
      </c>
      <c r="L463" s="7" t="s">
        <v>1888</v>
      </c>
      <c r="M463" s="109">
        <v>2330983840</v>
      </c>
      <c r="N463" s="109">
        <v>316785560</v>
      </c>
      <c r="O463" s="109">
        <v>15000000</v>
      </c>
      <c r="P463" s="110"/>
      <c r="Q463" s="109">
        <f t="shared" ref="Q463:Q526" si="38">M463+N463+O463+P463</f>
        <v>2662769400</v>
      </c>
      <c r="R463" s="3">
        <v>2330983840</v>
      </c>
      <c r="S463" s="3">
        <v>316785560</v>
      </c>
      <c r="T463" s="30">
        <v>15000000</v>
      </c>
      <c r="U463" s="5"/>
      <c r="V463" s="5"/>
      <c r="W463" s="28"/>
      <c r="X463" s="28">
        <f t="shared" ref="X463:X526" si="39">N463-S463</f>
        <v>0</v>
      </c>
      <c r="Y463" s="28">
        <f t="shared" ref="Y463:Y526" si="40">O463-T463</f>
        <v>0</v>
      </c>
      <c r="Z463" s="28">
        <f t="shared" ref="Z463:Z526" si="41">P463-U463</f>
        <v>0</v>
      </c>
      <c r="AA463" s="4"/>
      <c r="AB463" s="4"/>
      <c r="AC463">
        <f t="shared" ref="AC463:AC526" si="42">IF(AB463=G463,1,2)</f>
        <v>2</v>
      </c>
    </row>
    <row r="464" spans="1:30" ht="31.2" x14ac:dyDescent="0.3">
      <c r="A464" s="7" t="s">
        <v>18</v>
      </c>
      <c r="B464" s="6">
        <v>451</v>
      </c>
      <c r="C464" s="7" t="s">
        <v>1785</v>
      </c>
      <c r="D464" s="7" t="s">
        <v>1889</v>
      </c>
      <c r="E464" s="5"/>
      <c r="F464" s="4"/>
      <c r="G464" s="7" t="s">
        <v>1890</v>
      </c>
      <c r="H464" s="5"/>
      <c r="I464" s="5"/>
      <c r="J464" s="7" t="s">
        <v>1891</v>
      </c>
      <c r="K464" s="7" t="s">
        <v>24</v>
      </c>
      <c r="L464" s="7" t="s">
        <v>1892</v>
      </c>
      <c r="M464" s="109">
        <v>6729310220</v>
      </c>
      <c r="N464" s="111"/>
      <c r="O464" s="109">
        <v>15000000</v>
      </c>
      <c r="P464" s="110"/>
      <c r="Q464" s="109">
        <f t="shared" si="38"/>
        <v>6744310220</v>
      </c>
      <c r="R464" s="9">
        <v>6729310220</v>
      </c>
      <c r="S464" s="5"/>
      <c r="T464" s="30">
        <v>15000000</v>
      </c>
      <c r="U464" s="5"/>
      <c r="V464" s="5"/>
      <c r="W464" s="28"/>
      <c r="X464" s="28">
        <f t="shared" si="39"/>
        <v>0</v>
      </c>
      <c r="Y464" s="28">
        <f t="shared" si="40"/>
        <v>0</v>
      </c>
      <c r="Z464" s="28">
        <f t="shared" si="41"/>
        <v>0</v>
      </c>
      <c r="AA464" s="4"/>
      <c r="AB464" s="4"/>
      <c r="AC464">
        <f t="shared" si="42"/>
        <v>2</v>
      </c>
    </row>
    <row r="465" spans="1:30" ht="31.2" x14ac:dyDescent="0.3">
      <c r="A465" s="7" t="s">
        <v>46</v>
      </c>
      <c r="B465" s="6">
        <v>452</v>
      </c>
      <c r="C465" s="7" t="s">
        <v>1785</v>
      </c>
      <c r="D465" s="7" t="s">
        <v>1893</v>
      </c>
      <c r="E465" s="5"/>
      <c r="F465" s="4"/>
      <c r="G465" s="7" t="s">
        <v>1894</v>
      </c>
      <c r="H465" s="5"/>
      <c r="I465" s="5"/>
      <c r="J465" s="7" t="s">
        <v>1895</v>
      </c>
      <c r="K465" s="7" t="s">
        <v>24</v>
      </c>
      <c r="L465" s="7" t="s">
        <v>1896</v>
      </c>
      <c r="M465" s="109">
        <v>1850880899</v>
      </c>
      <c r="N465" s="111"/>
      <c r="O465" s="109">
        <v>7500000</v>
      </c>
      <c r="P465" s="110"/>
      <c r="Q465" s="109">
        <f t="shared" si="38"/>
        <v>1858380899</v>
      </c>
      <c r="R465" s="3">
        <v>1850880899</v>
      </c>
      <c r="S465" s="5"/>
      <c r="T465" s="30">
        <v>7500000</v>
      </c>
      <c r="U465" s="5"/>
      <c r="V465" s="5"/>
      <c r="W465" s="28"/>
      <c r="X465" s="28">
        <f t="shared" si="39"/>
        <v>0</v>
      </c>
      <c r="Y465" s="28">
        <f t="shared" si="40"/>
        <v>0</v>
      </c>
      <c r="Z465" s="28">
        <f t="shared" si="41"/>
        <v>0</v>
      </c>
      <c r="AA465" s="4"/>
      <c r="AB465" s="4"/>
      <c r="AC465">
        <f t="shared" si="42"/>
        <v>2</v>
      </c>
    </row>
    <row r="466" spans="1:30" ht="31.2" x14ac:dyDescent="0.3">
      <c r="A466" s="7" t="s">
        <v>18</v>
      </c>
      <c r="B466" s="6">
        <v>453</v>
      </c>
      <c r="C466" s="7" t="s">
        <v>1785</v>
      </c>
      <c r="D466" s="7" t="s">
        <v>1897</v>
      </c>
      <c r="E466" s="7"/>
      <c r="F466" s="4"/>
      <c r="G466" s="7" t="s">
        <v>1898</v>
      </c>
      <c r="H466" s="7"/>
      <c r="I466" s="7" t="s">
        <v>28</v>
      </c>
      <c r="J466" s="7" t="s">
        <v>1899</v>
      </c>
      <c r="K466" s="7" t="s">
        <v>24</v>
      </c>
      <c r="L466" s="7" t="s">
        <v>1900</v>
      </c>
      <c r="M466" s="109">
        <v>634835870</v>
      </c>
      <c r="N466" s="111"/>
      <c r="O466" s="109">
        <v>3750000</v>
      </c>
      <c r="P466" s="110"/>
      <c r="Q466" s="109">
        <f t="shared" si="38"/>
        <v>638585870</v>
      </c>
      <c r="R466" s="5"/>
      <c r="S466" s="5"/>
      <c r="T466" s="72"/>
      <c r="U466" s="5"/>
      <c r="V466" s="5"/>
      <c r="W466" s="28">
        <v>634835870</v>
      </c>
      <c r="X466" s="28">
        <f t="shared" si="39"/>
        <v>0</v>
      </c>
      <c r="Y466" s="36">
        <f t="shared" si="40"/>
        <v>3750000</v>
      </c>
      <c r="Z466" s="28">
        <f t="shared" si="41"/>
        <v>0</v>
      </c>
      <c r="AA466" s="10">
        <v>634835870</v>
      </c>
      <c r="AB466" s="40"/>
      <c r="AC466" s="121">
        <f t="shared" si="42"/>
        <v>2</v>
      </c>
      <c r="AD466" s="121"/>
    </row>
    <row r="467" spans="1:30" ht="31.2" x14ac:dyDescent="0.3">
      <c r="A467" s="7" t="s">
        <v>1601</v>
      </c>
      <c r="B467" s="6">
        <v>454</v>
      </c>
      <c r="C467" s="7" t="s">
        <v>1785</v>
      </c>
      <c r="D467" s="7" t="s">
        <v>1901</v>
      </c>
      <c r="E467" s="7"/>
      <c r="F467" s="4"/>
      <c r="G467" s="7" t="s">
        <v>1902</v>
      </c>
      <c r="H467" s="7"/>
      <c r="I467" s="7"/>
      <c r="J467" s="7" t="s">
        <v>1903</v>
      </c>
      <c r="K467" s="7" t="s">
        <v>24</v>
      </c>
      <c r="L467" s="7" t="s">
        <v>1904</v>
      </c>
      <c r="M467" s="109">
        <v>0</v>
      </c>
      <c r="N467" s="111"/>
      <c r="O467" s="109">
        <v>7500000</v>
      </c>
      <c r="P467" s="110"/>
      <c r="Q467" s="109">
        <f t="shared" si="38"/>
        <v>7500000</v>
      </c>
      <c r="R467" s="6">
        <v>0</v>
      </c>
      <c r="S467" s="5"/>
      <c r="T467" s="72"/>
      <c r="U467" s="5"/>
      <c r="V467" s="5"/>
      <c r="W467" s="28"/>
      <c r="X467" s="28">
        <f t="shared" si="39"/>
        <v>0</v>
      </c>
      <c r="Y467" s="36">
        <f t="shared" si="40"/>
        <v>7500000</v>
      </c>
      <c r="Z467" s="28">
        <f t="shared" si="41"/>
        <v>0</v>
      </c>
      <c r="AA467" s="4"/>
      <c r="AB467" s="40"/>
      <c r="AC467" s="121">
        <f t="shared" si="42"/>
        <v>2</v>
      </c>
      <c r="AD467" s="121"/>
    </row>
    <row r="468" spans="1:30" ht="31.2" x14ac:dyDescent="0.3">
      <c r="A468" s="7" t="s">
        <v>18</v>
      </c>
      <c r="B468" s="6">
        <v>455</v>
      </c>
      <c r="C468" s="7" t="s">
        <v>1785</v>
      </c>
      <c r="D468" s="7" t="s">
        <v>1905</v>
      </c>
      <c r="E468" s="5"/>
      <c r="F468" s="4"/>
      <c r="G468" s="7" t="s">
        <v>1906</v>
      </c>
      <c r="H468" s="5"/>
      <c r="I468" s="5"/>
      <c r="J468" s="7" t="s">
        <v>1907</v>
      </c>
      <c r="K468" s="7" t="s">
        <v>24</v>
      </c>
      <c r="L468" s="7" t="s">
        <v>1908</v>
      </c>
      <c r="M468" s="109">
        <v>1786505570</v>
      </c>
      <c r="N468" s="111"/>
      <c r="O468" s="109">
        <v>15000000</v>
      </c>
      <c r="P468" s="110"/>
      <c r="Q468" s="109">
        <f t="shared" si="38"/>
        <v>1801505570</v>
      </c>
      <c r="R468" s="3">
        <v>1786505570</v>
      </c>
      <c r="S468" s="5"/>
      <c r="T468" s="30">
        <v>15000000</v>
      </c>
      <c r="U468" s="5"/>
      <c r="V468" s="5"/>
      <c r="W468" s="28"/>
      <c r="X468" s="28">
        <f t="shared" si="39"/>
        <v>0</v>
      </c>
      <c r="Y468" s="28">
        <f t="shared" si="40"/>
        <v>0</v>
      </c>
      <c r="Z468" s="28">
        <f t="shared" si="41"/>
        <v>0</v>
      </c>
      <c r="AA468" s="4"/>
      <c r="AB468" s="4"/>
      <c r="AC468">
        <f t="shared" si="42"/>
        <v>2</v>
      </c>
    </row>
    <row r="469" spans="1:30" ht="31.2" x14ac:dyDescent="0.3">
      <c r="A469" s="7" t="s">
        <v>53</v>
      </c>
      <c r="B469" s="6">
        <v>456</v>
      </c>
      <c r="C469" s="7" t="s">
        <v>1785</v>
      </c>
      <c r="D469" s="7" t="s">
        <v>1909</v>
      </c>
      <c r="E469" s="7"/>
      <c r="F469" s="40" t="s">
        <v>1177</v>
      </c>
      <c r="G469" s="7" t="s">
        <v>1910</v>
      </c>
      <c r="H469" s="7"/>
      <c r="I469" s="7"/>
      <c r="J469" s="7" t="s">
        <v>1911</v>
      </c>
      <c r="K469" s="7" t="s">
        <v>24</v>
      </c>
      <c r="L469" s="7" t="s">
        <v>1912</v>
      </c>
      <c r="M469" s="109">
        <v>5179078192</v>
      </c>
      <c r="N469" s="111"/>
      <c r="O469" s="109">
        <v>15000000</v>
      </c>
      <c r="P469" s="112">
        <v>54000000</v>
      </c>
      <c r="Q469" s="109">
        <f t="shared" si="38"/>
        <v>5248078192</v>
      </c>
      <c r="R469" s="3">
        <v>5179078192</v>
      </c>
      <c r="S469" s="5"/>
      <c r="T469" s="72"/>
      <c r="U469" s="5"/>
      <c r="V469" s="5"/>
      <c r="W469" s="28"/>
      <c r="X469" s="28">
        <f t="shared" si="39"/>
        <v>0</v>
      </c>
      <c r="Y469" s="36">
        <f t="shared" si="40"/>
        <v>15000000</v>
      </c>
      <c r="Z469" s="28">
        <f t="shared" si="41"/>
        <v>54000000</v>
      </c>
      <c r="AA469" s="4"/>
      <c r="AB469" s="40"/>
      <c r="AC469" s="121">
        <f t="shared" si="42"/>
        <v>2</v>
      </c>
      <c r="AD469" s="121"/>
    </row>
    <row r="470" spans="1:30" ht="31.2" x14ac:dyDescent="0.3">
      <c r="A470" s="7" t="s">
        <v>1601</v>
      </c>
      <c r="B470" s="6">
        <v>457</v>
      </c>
      <c r="C470" s="7" t="s">
        <v>1785</v>
      </c>
      <c r="D470" s="7" t="s">
        <v>1913</v>
      </c>
      <c r="E470" s="5"/>
      <c r="F470" s="4"/>
      <c r="G470" s="7" t="s">
        <v>1914</v>
      </c>
      <c r="H470" s="5"/>
      <c r="I470" s="5"/>
      <c r="J470" s="7" t="s">
        <v>1915</v>
      </c>
      <c r="K470" s="7" t="s">
        <v>24</v>
      </c>
      <c r="L470" s="7" t="s">
        <v>1916</v>
      </c>
      <c r="M470" s="109">
        <v>3193648512</v>
      </c>
      <c r="N470" s="111"/>
      <c r="O470" s="109">
        <v>15000000</v>
      </c>
      <c r="P470" s="110"/>
      <c r="Q470" s="109">
        <f t="shared" si="38"/>
        <v>3208648512</v>
      </c>
      <c r="R470" s="3">
        <v>3193648512</v>
      </c>
      <c r="S470" s="5"/>
      <c r="T470" s="30">
        <v>15000000</v>
      </c>
      <c r="U470" s="5"/>
      <c r="V470" s="5"/>
      <c r="W470" s="28"/>
      <c r="X470" s="28">
        <f t="shared" si="39"/>
        <v>0</v>
      </c>
      <c r="Y470" s="28">
        <f t="shared" si="40"/>
        <v>0</v>
      </c>
      <c r="Z470" s="28">
        <f t="shared" si="41"/>
        <v>0</v>
      </c>
      <c r="AA470" s="4"/>
      <c r="AB470" s="4"/>
      <c r="AC470">
        <f t="shared" si="42"/>
        <v>2</v>
      </c>
    </row>
    <row r="471" spans="1:30" ht="31.2" x14ac:dyDescent="0.3">
      <c r="A471" s="7" t="s">
        <v>1601</v>
      </c>
      <c r="B471" s="6">
        <v>458</v>
      </c>
      <c r="C471" s="7" t="s">
        <v>1785</v>
      </c>
      <c r="D471" s="7" t="s">
        <v>1917</v>
      </c>
      <c r="E471" s="5"/>
      <c r="F471" s="4"/>
      <c r="G471" s="7" t="s">
        <v>1918</v>
      </c>
      <c r="H471" s="5"/>
      <c r="I471" s="5"/>
      <c r="J471" s="7" t="s">
        <v>1919</v>
      </c>
      <c r="K471" s="7" t="s">
        <v>24</v>
      </c>
      <c r="L471" s="7" t="s">
        <v>1920</v>
      </c>
      <c r="M471" s="109">
        <v>1952469640</v>
      </c>
      <c r="N471" s="111"/>
      <c r="O471" s="109">
        <v>7500000</v>
      </c>
      <c r="P471" s="110"/>
      <c r="Q471" s="109">
        <f t="shared" si="38"/>
        <v>1959969640</v>
      </c>
      <c r="R471" s="36">
        <v>1952469640</v>
      </c>
      <c r="S471" s="5"/>
      <c r="T471" s="30">
        <v>7500000</v>
      </c>
      <c r="U471" s="5"/>
      <c r="V471" s="5"/>
      <c r="W471" s="28"/>
      <c r="X471" s="28">
        <f t="shared" si="39"/>
        <v>0</v>
      </c>
      <c r="Y471" s="28">
        <f t="shared" si="40"/>
        <v>0</v>
      </c>
      <c r="Z471" s="28">
        <f t="shared" si="41"/>
        <v>0</v>
      </c>
      <c r="AA471" s="4"/>
      <c r="AB471" s="4"/>
      <c r="AC471">
        <f t="shared" si="42"/>
        <v>2</v>
      </c>
    </row>
    <row r="472" spans="1:30" ht="31.2" x14ac:dyDescent="0.3">
      <c r="A472" s="7" t="s">
        <v>1601</v>
      </c>
      <c r="B472" s="6">
        <v>459</v>
      </c>
      <c r="C472" s="7" t="s">
        <v>1785</v>
      </c>
      <c r="D472" s="7" t="s">
        <v>1921</v>
      </c>
      <c r="E472" s="7" t="s">
        <v>1922</v>
      </c>
      <c r="F472" s="4"/>
      <c r="G472" s="7" t="s">
        <v>1923</v>
      </c>
      <c r="H472" s="7" t="s">
        <v>1924</v>
      </c>
      <c r="I472" s="7"/>
      <c r="J472" s="7" t="s">
        <v>1925</v>
      </c>
      <c r="K472" s="7" t="s">
        <v>24</v>
      </c>
      <c r="L472" s="7" t="s">
        <v>1926</v>
      </c>
      <c r="M472" s="109">
        <v>42946103602</v>
      </c>
      <c r="N472" s="109">
        <v>1821979150</v>
      </c>
      <c r="O472" s="109">
        <v>7500000</v>
      </c>
      <c r="P472" s="110"/>
      <c r="Q472" s="109">
        <f t="shared" si="38"/>
        <v>44775582752</v>
      </c>
      <c r="R472" s="36">
        <v>42946103602</v>
      </c>
      <c r="S472" s="3">
        <v>1821979150</v>
      </c>
      <c r="T472" s="72"/>
      <c r="U472" s="5"/>
      <c r="V472" s="5"/>
      <c r="W472" s="28"/>
      <c r="X472" s="28">
        <f t="shared" si="39"/>
        <v>0</v>
      </c>
      <c r="Y472" s="36">
        <f t="shared" si="40"/>
        <v>7500000</v>
      </c>
      <c r="Z472" s="28">
        <f t="shared" si="41"/>
        <v>0</v>
      </c>
      <c r="AA472" s="4"/>
      <c r="AB472" s="40"/>
      <c r="AC472" s="121">
        <f t="shared" si="42"/>
        <v>2</v>
      </c>
      <c r="AD472" s="121"/>
    </row>
    <row r="473" spans="1:30" ht="31.2" x14ac:dyDescent="0.3">
      <c r="A473" s="7" t="s">
        <v>18</v>
      </c>
      <c r="B473" s="6">
        <v>460</v>
      </c>
      <c r="C473" s="7" t="s">
        <v>1785</v>
      </c>
      <c r="D473" s="7" t="s">
        <v>1927</v>
      </c>
      <c r="E473" s="5"/>
      <c r="F473" s="4"/>
      <c r="G473" s="7" t="s">
        <v>1928</v>
      </c>
      <c r="H473" s="5"/>
      <c r="I473" s="5"/>
      <c r="J473" s="7" t="s">
        <v>1929</v>
      </c>
      <c r="K473" s="7" t="s">
        <v>24</v>
      </c>
      <c r="L473" s="7" t="s">
        <v>1930</v>
      </c>
      <c r="M473" s="109">
        <v>25138264737</v>
      </c>
      <c r="N473" s="111"/>
      <c r="O473" s="109">
        <v>15000000</v>
      </c>
      <c r="P473" s="110"/>
      <c r="Q473" s="109">
        <f t="shared" si="38"/>
        <v>25153264737</v>
      </c>
      <c r="R473" s="3">
        <v>25138264737</v>
      </c>
      <c r="S473" s="5"/>
      <c r="T473" s="30">
        <v>15000000</v>
      </c>
      <c r="U473" s="5"/>
      <c r="V473" s="5"/>
      <c r="W473" s="28"/>
      <c r="X473" s="28">
        <f t="shared" si="39"/>
        <v>0</v>
      </c>
      <c r="Y473" s="28">
        <f t="shared" si="40"/>
        <v>0</v>
      </c>
      <c r="Z473" s="28">
        <f t="shared" si="41"/>
        <v>0</v>
      </c>
      <c r="AA473" s="4"/>
      <c r="AB473" s="4"/>
      <c r="AC473">
        <f t="shared" si="42"/>
        <v>2</v>
      </c>
    </row>
    <row r="474" spans="1:30" ht="31.2" x14ac:dyDescent="0.3">
      <c r="A474" s="7" t="s">
        <v>1601</v>
      </c>
      <c r="B474" s="6">
        <v>461</v>
      </c>
      <c r="C474" s="7" t="s">
        <v>1785</v>
      </c>
      <c r="D474" s="7" t="s">
        <v>1931</v>
      </c>
      <c r="E474" s="5"/>
      <c r="F474" s="4"/>
      <c r="G474" s="7" t="s">
        <v>1932</v>
      </c>
      <c r="H474" s="5"/>
      <c r="I474" s="5"/>
      <c r="J474" s="7" t="s">
        <v>1933</v>
      </c>
      <c r="K474" s="7" t="s">
        <v>24</v>
      </c>
      <c r="L474" s="7" t="s">
        <v>1934</v>
      </c>
      <c r="M474" s="109">
        <v>1315436172</v>
      </c>
      <c r="N474" s="111"/>
      <c r="O474" s="109">
        <v>15000000</v>
      </c>
      <c r="P474" s="110"/>
      <c r="Q474" s="109">
        <f t="shared" si="38"/>
        <v>1330436172</v>
      </c>
      <c r="R474" s="36">
        <v>1315436172</v>
      </c>
      <c r="S474" s="5"/>
      <c r="T474" s="30">
        <v>15000000</v>
      </c>
      <c r="U474" s="5"/>
      <c r="V474" s="5"/>
      <c r="W474" s="28"/>
      <c r="X474" s="28">
        <f t="shared" si="39"/>
        <v>0</v>
      </c>
      <c r="Y474" s="28">
        <f t="shared" si="40"/>
        <v>0</v>
      </c>
      <c r="Z474" s="28">
        <f t="shared" si="41"/>
        <v>0</v>
      </c>
      <c r="AA474" s="4"/>
      <c r="AB474" s="4"/>
      <c r="AC474">
        <f t="shared" si="42"/>
        <v>2</v>
      </c>
    </row>
    <row r="475" spans="1:30" ht="31.2" x14ac:dyDescent="0.3">
      <c r="A475" s="7" t="s">
        <v>46</v>
      </c>
      <c r="B475" s="6">
        <v>462</v>
      </c>
      <c r="C475" s="7" t="s">
        <v>1785</v>
      </c>
      <c r="D475" s="7" t="s">
        <v>1935</v>
      </c>
      <c r="E475" s="5"/>
      <c r="F475" s="4"/>
      <c r="G475" s="7" t="s">
        <v>1936</v>
      </c>
      <c r="H475" s="5"/>
      <c r="I475" s="5"/>
      <c r="J475" s="7" t="s">
        <v>1937</v>
      </c>
      <c r="K475" s="7" t="s">
        <v>24</v>
      </c>
      <c r="L475" s="7" t="s">
        <v>1938</v>
      </c>
      <c r="M475" s="109">
        <v>456882641</v>
      </c>
      <c r="N475" s="111"/>
      <c r="O475" s="109">
        <v>7500000</v>
      </c>
      <c r="P475" s="110"/>
      <c r="Q475" s="109">
        <f t="shared" si="38"/>
        <v>464382641</v>
      </c>
      <c r="R475" s="3">
        <v>456882641</v>
      </c>
      <c r="S475" s="5"/>
      <c r="T475" s="30">
        <v>7500000</v>
      </c>
      <c r="U475" s="5"/>
      <c r="V475" s="5"/>
      <c r="W475" s="28"/>
      <c r="X475" s="28">
        <f t="shared" si="39"/>
        <v>0</v>
      </c>
      <c r="Y475" s="28">
        <f t="shared" si="40"/>
        <v>0</v>
      </c>
      <c r="Z475" s="28">
        <f t="shared" si="41"/>
        <v>0</v>
      </c>
      <c r="AA475" s="4"/>
      <c r="AB475" s="4"/>
      <c r="AC475">
        <f t="shared" si="42"/>
        <v>2</v>
      </c>
    </row>
    <row r="476" spans="1:30" ht="31.2" x14ac:dyDescent="0.3">
      <c r="A476" s="7" t="s">
        <v>62</v>
      </c>
      <c r="B476" s="6">
        <v>463</v>
      </c>
      <c r="C476" s="7" t="s">
        <v>1785</v>
      </c>
      <c r="D476" s="7" t="s">
        <v>1939</v>
      </c>
      <c r="E476" s="5"/>
      <c r="F476" s="4"/>
      <c r="G476" s="7" t="s">
        <v>1940</v>
      </c>
      <c r="H476" s="5"/>
      <c r="I476" s="5"/>
      <c r="J476" s="7" t="s">
        <v>1941</v>
      </c>
      <c r="K476" s="7" t="s">
        <v>24</v>
      </c>
      <c r="L476" s="7" t="s">
        <v>1942</v>
      </c>
      <c r="M476" s="109">
        <v>2133943076</v>
      </c>
      <c r="N476" s="111"/>
      <c r="O476" s="109">
        <v>15000000</v>
      </c>
      <c r="P476" s="110"/>
      <c r="Q476" s="109">
        <f t="shared" si="38"/>
        <v>2148943076</v>
      </c>
      <c r="R476" s="3">
        <v>2133943076</v>
      </c>
      <c r="S476" s="5"/>
      <c r="T476" s="30">
        <v>15000000</v>
      </c>
      <c r="U476" s="5"/>
      <c r="V476" s="5"/>
      <c r="W476" s="28"/>
      <c r="X476" s="28">
        <f t="shared" si="39"/>
        <v>0</v>
      </c>
      <c r="Y476" s="28">
        <f t="shared" si="40"/>
        <v>0</v>
      </c>
      <c r="Z476" s="28">
        <f t="shared" si="41"/>
        <v>0</v>
      </c>
      <c r="AA476" s="4"/>
      <c r="AB476" s="4"/>
      <c r="AC476">
        <f t="shared" si="42"/>
        <v>2</v>
      </c>
    </row>
    <row r="477" spans="1:30" ht="31.2" x14ac:dyDescent="0.3">
      <c r="A477" s="7" t="s">
        <v>53</v>
      </c>
      <c r="B477" s="6">
        <v>464</v>
      </c>
      <c r="C477" s="7" t="s">
        <v>1785</v>
      </c>
      <c r="D477" s="7" t="s">
        <v>1943</v>
      </c>
      <c r="E477" s="5"/>
      <c r="F477" s="4"/>
      <c r="G477" s="7" t="s">
        <v>1944</v>
      </c>
      <c r="H477" s="5"/>
      <c r="I477" s="5"/>
      <c r="J477" s="7" t="s">
        <v>1945</v>
      </c>
      <c r="K477" s="7" t="s">
        <v>24</v>
      </c>
      <c r="L477" s="7" t="s">
        <v>1946</v>
      </c>
      <c r="M477" s="109">
        <v>212669251</v>
      </c>
      <c r="N477" s="111"/>
      <c r="O477" s="109">
        <v>7500000</v>
      </c>
      <c r="P477" s="110"/>
      <c r="Q477" s="109">
        <f t="shared" si="38"/>
        <v>220169251</v>
      </c>
      <c r="R477" s="3">
        <v>212669251</v>
      </c>
      <c r="S477" s="5"/>
      <c r="T477" s="30">
        <v>7500000</v>
      </c>
      <c r="U477" s="5"/>
      <c r="V477" s="5"/>
      <c r="W477" s="28"/>
      <c r="X477" s="28">
        <f t="shared" si="39"/>
        <v>0</v>
      </c>
      <c r="Y477" s="28">
        <f t="shared" si="40"/>
        <v>0</v>
      </c>
      <c r="Z477" s="28">
        <f t="shared" si="41"/>
        <v>0</v>
      </c>
      <c r="AA477" s="4"/>
      <c r="AB477" s="4"/>
      <c r="AC477">
        <f t="shared" si="42"/>
        <v>2</v>
      </c>
    </row>
    <row r="478" spans="1:30" ht="31.2" x14ac:dyDescent="0.3">
      <c r="A478" s="7" t="s">
        <v>62</v>
      </c>
      <c r="B478" s="6">
        <v>465</v>
      </c>
      <c r="C478" s="7" t="s">
        <v>1785</v>
      </c>
      <c r="D478" s="7" t="s">
        <v>1947</v>
      </c>
      <c r="E478" s="5"/>
      <c r="F478" s="4"/>
      <c r="G478" s="7" t="s">
        <v>1948</v>
      </c>
      <c r="H478" s="5"/>
      <c r="I478" s="5"/>
      <c r="J478" s="7" t="s">
        <v>1949</v>
      </c>
      <c r="K478" s="7" t="s">
        <v>24</v>
      </c>
      <c r="L478" s="7" t="s">
        <v>1950</v>
      </c>
      <c r="M478" s="109">
        <v>1529398466</v>
      </c>
      <c r="N478" s="111"/>
      <c r="O478" s="109">
        <v>7500000</v>
      </c>
      <c r="P478" s="110"/>
      <c r="Q478" s="109">
        <f t="shared" si="38"/>
        <v>1536898466</v>
      </c>
      <c r="R478" s="3">
        <v>1529398466</v>
      </c>
      <c r="S478" s="5"/>
      <c r="T478" s="30">
        <v>7500000</v>
      </c>
      <c r="U478" s="5"/>
      <c r="V478" s="5"/>
      <c r="W478" s="28"/>
      <c r="X478" s="28">
        <f t="shared" si="39"/>
        <v>0</v>
      </c>
      <c r="Y478" s="28">
        <f t="shared" si="40"/>
        <v>0</v>
      </c>
      <c r="Z478" s="28">
        <f t="shared" si="41"/>
        <v>0</v>
      </c>
      <c r="AA478" s="4"/>
      <c r="AB478" s="4"/>
      <c r="AC478">
        <f t="shared" si="42"/>
        <v>2</v>
      </c>
    </row>
    <row r="479" spans="1:30" ht="31.2" x14ac:dyDescent="0.3">
      <c r="A479" s="7" t="s">
        <v>53</v>
      </c>
      <c r="B479" s="6">
        <v>466</v>
      </c>
      <c r="C479" s="7" t="s">
        <v>1785</v>
      </c>
      <c r="D479" s="7" t="s">
        <v>1951</v>
      </c>
      <c r="E479" s="5"/>
      <c r="F479" s="4" t="s">
        <v>3890</v>
      </c>
      <c r="G479" s="7" t="s">
        <v>1952</v>
      </c>
      <c r="H479" s="5"/>
      <c r="I479" s="5"/>
      <c r="J479" s="7" t="s">
        <v>1953</v>
      </c>
      <c r="K479" s="7" t="s">
        <v>24</v>
      </c>
      <c r="L479" s="7" t="s">
        <v>1954</v>
      </c>
      <c r="M479" s="109">
        <v>9079262352</v>
      </c>
      <c r="N479" s="111"/>
      <c r="O479" s="109">
        <v>15000000</v>
      </c>
      <c r="P479" s="110">
        <v>72000000</v>
      </c>
      <c r="Q479" s="109">
        <f t="shared" si="38"/>
        <v>9166262352</v>
      </c>
      <c r="R479" s="3">
        <v>9079262352</v>
      </c>
      <c r="S479" s="5"/>
      <c r="T479" s="30">
        <v>15000000</v>
      </c>
      <c r="U479" s="5"/>
      <c r="V479" s="5"/>
      <c r="W479" s="28"/>
      <c r="X479" s="28">
        <f t="shared" si="39"/>
        <v>0</v>
      </c>
      <c r="Y479" s="28">
        <f t="shared" si="40"/>
        <v>0</v>
      </c>
      <c r="Z479" s="28">
        <f t="shared" si="41"/>
        <v>72000000</v>
      </c>
      <c r="AA479" s="4"/>
      <c r="AB479" s="4"/>
      <c r="AC479">
        <f t="shared" si="42"/>
        <v>2</v>
      </c>
    </row>
    <row r="480" spans="1:30" ht="31.2" x14ac:dyDescent="0.3">
      <c r="A480" s="7" t="s">
        <v>62</v>
      </c>
      <c r="B480" s="6">
        <v>467</v>
      </c>
      <c r="C480" s="7" t="s">
        <v>1785</v>
      </c>
      <c r="D480" s="7" t="s">
        <v>1955</v>
      </c>
      <c r="E480" s="5"/>
      <c r="F480" s="4"/>
      <c r="G480" s="7" t="s">
        <v>1956</v>
      </c>
      <c r="H480" s="5"/>
      <c r="I480" s="5"/>
      <c r="J480" s="7" t="s">
        <v>1957</v>
      </c>
      <c r="K480" s="7" t="s">
        <v>24</v>
      </c>
      <c r="L480" s="7" t="s">
        <v>1958</v>
      </c>
      <c r="M480" s="109">
        <v>693114964</v>
      </c>
      <c r="N480" s="111"/>
      <c r="O480" s="109">
        <v>15000000</v>
      </c>
      <c r="P480" s="110"/>
      <c r="Q480" s="109">
        <f t="shared" si="38"/>
        <v>708114964</v>
      </c>
      <c r="R480" s="3">
        <v>693114964</v>
      </c>
      <c r="S480" s="5"/>
      <c r="T480" s="30">
        <v>15000000</v>
      </c>
      <c r="U480" s="5"/>
      <c r="V480" s="5"/>
      <c r="W480" s="28"/>
      <c r="X480" s="28">
        <f t="shared" si="39"/>
        <v>0</v>
      </c>
      <c r="Y480" s="28">
        <f t="shared" si="40"/>
        <v>0</v>
      </c>
      <c r="Z480" s="28">
        <f t="shared" si="41"/>
        <v>0</v>
      </c>
      <c r="AA480" s="4"/>
      <c r="AB480" s="4"/>
      <c r="AC480">
        <f t="shared" si="42"/>
        <v>2</v>
      </c>
    </row>
    <row r="481" spans="1:30" ht="31.2" x14ac:dyDescent="0.3">
      <c r="A481" s="7" t="s">
        <v>1601</v>
      </c>
      <c r="B481" s="6">
        <v>468</v>
      </c>
      <c r="C481" s="7" t="s">
        <v>1785</v>
      </c>
      <c r="D481" s="7" t="s">
        <v>1959</v>
      </c>
      <c r="E481" s="5"/>
      <c r="F481" s="4"/>
      <c r="G481" s="7" t="s">
        <v>1960</v>
      </c>
      <c r="H481" s="5"/>
      <c r="I481" s="5"/>
      <c r="J481" s="7" t="s">
        <v>1961</v>
      </c>
      <c r="K481" s="7" t="s">
        <v>24</v>
      </c>
      <c r="L481" s="7" t="s">
        <v>1962</v>
      </c>
      <c r="M481" s="109">
        <v>37588800</v>
      </c>
      <c r="N481" s="111"/>
      <c r="O481" s="109">
        <v>7500000</v>
      </c>
      <c r="P481" s="110"/>
      <c r="Q481" s="109">
        <f t="shared" si="38"/>
        <v>45088800</v>
      </c>
      <c r="R481" s="36">
        <v>37588800</v>
      </c>
      <c r="S481" s="5"/>
      <c r="T481" s="30">
        <v>7500000</v>
      </c>
      <c r="U481" s="5"/>
      <c r="V481" s="5"/>
      <c r="W481" s="28"/>
      <c r="X481" s="28">
        <f t="shared" si="39"/>
        <v>0</v>
      </c>
      <c r="Y481" s="28">
        <f t="shared" si="40"/>
        <v>0</v>
      </c>
      <c r="Z481" s="28">
        <f t="shared" si="41"/>
        <v>0</v>
      </c>
      <c r="AA481" s="4"/>
      <c r="AB481" s="4"/>
      <c r="AC481">
        <f t="shared" si="42"/>
        <v>2</v>
      </c>
    </row>
    <row r="482" spans="1:30" ht="31.2" x14ac:dyDescent="0.3">
      <c r="A482" s="7" t="s">
        <v>46</v>
      </c>
      <c r="B482" s="6">
        <v>469</v>
      </c>
      <c r="C482" s="7" t="s">
        <v>1785</v>
      </c>
      <c r="D482" s="7" t="s">
        <v>1963</v>
      </c>
      <c r="E482" s="7" t="s">
        <v>1964</v>
      </c>
      <c r="F482" s="4"/>
      <c r="G482" s="7" t="s">
        <v>1965</v>
      </c>
      <c r="H482" s="5"/>
      <c r="I482" s="5"/>
      <c r="J482" s="7" t="s">
        <v>1966</v>
      </c>
      <c r="K482" s="7" t="s">
        <v>24</v>
      </c>
      <c r="L482" s="7" t="s">
        <v>1967</v>
      </c>
      <c r="M482" s="109">
        <v>7705087400</v>
      </c>
      <c r="N482" s="109">
        <v>1014623280</v>
      </c>
      <c r="O482" s="109">
        <v>15000000</v>
      </c>
      <c r="P482" s="110"/>
      <c r="Q482" s="109">
        <f t="shared" si="38"/>
        <v>8734710680</v>
      </c>
      <c r="R482" s="3">
        <v>7705087400</v>
      </c>
      <c r="S482" s="3">
        <v>1014623280</v>
      </c>
      <c r="T482" s="30">
        <v>15000000</v>
      </c>
      <c r="U482" s="5"/>
      <c r="V482" s="5"/>
      <c r="W482" s="28"/>
      <c r="X482" s="28">
        <f t="shared" si="39"/>
        <v>0</v>
      </c>
      <c r="Y482" s="28">
        <f t="shared" si="40"/>
        <v>0</v>
      </c>
      <c r="Z482" s="28">
        <f t="shared" si="41"/>
        <v>0</v>
      </c>
      <c r="AA482" s="4"/>
      <c r="AB482" s="4"/>
      <c r="AC482">
        <f t="shared" si="42"/>
        <v>2</v>
      </c>
    </row>
    <row r="483" spans="1:30" ht="31.2" x14ac:dyDescent="0.3">
      <c r="A483" s="7" t="s">
        <v>62</v>
      </c>
      <c r="B483" s="6">
        <v>470</v>
      </c>
      <c r="C483" s="7" t="s">
        <v>1785</v>
      </c>
      <c r="D483" s="7" t="s">
        <v>1968</v>
      </c>
      <c r="E483" s="7" t="s">
        <v>1969</v>
      </c>
      <c r="F483" s="4"/>
      <c r="G483" s="7" t="s">
        <v>1970</v>
      </c>
      <c r="H483" s="7" t="s">
        <v>1971</v>
      </c>
      <c r="I483" s="5"/>
      <c r="J483" s="7" t="s">
        <v>1972</v>
      </c>
      <c r="K483" s="7" t="s">
        <v>24</v>
      </c>
      <c r="L483" s="7" t="s">
        <v>1973</v>
      </c>
      <c r="M483" s="109">
        <v>2275010156</v>
      </c>
      <c r="N483" s="109">
        <v>937174816</v>
      </c>
      <c r="O483" s="109">
        <v>7500000</v>
      </c>
      <c r="P483" s="110"/>
      <c r="Q483" s="109">
        <f t="shared" si="38"/>
        <v>3219684972</v>
      </c>
      <c r="R483" s="3">
        <v>2275010156</v>
      </c>
      <c r="S483" s="3">
        <v>937174816</v>
      </c>
      <c r="T483" s="30">
        <v>7500000</v>
      </c>
      <c r="U483" s="5"/>
      <c r="V483" s="5"/>
      <c r="W483" s="28"/>
      <c r="X483" s="28">
        <f t="shared" si="39"/>
        <v>0</v>
      </c>
      <c r="Y483" s="28">
        <f t="shared" si="40"/>
        <v>0</v>
      </c>
      <c r="Z483" s="28">
        <f t="shared" si="41"/>
        <v>0</v>
      </c>
      <c r="AA483" s="4"/>
      <c r="AB483" s="4"/>
      <c r="AC483">
        <f t="shared" si="42"/>
        <v>2</v>
      </c>
    </row>
    <row r="484" spans="1:30" ht="31.2" x14ac:dyDescent="0.3">
      <c r="A484" s="7" t="s">
        <v>62</v>
      </c>
      <c r="B484" s="6">
        <v>471</v>
      </c>
      <c r="C484" s="7" t="s">
        <v>1785</v>
      </c>
      <c r="D484" s="7" t="s">
        <v>1974</v>
      </c>
      <c r="E484" s="5"/>
      <c r="F484" s="4"/>
      <c r="G484" s="7" t="s">
        <v>1975</v>
      </c>
      <c r="H484" s="5"/>
      <c r="I484" s="5"/>
      <c r="J484" s="7" t="s">
        <v>1976</v>
      </c>
      <c r="K484" s="7" t="s">
        <v>24</v>
      </c>
      <c r="L484" s="7" t="s">
        <v>1977</v>
      </c>
      <c r="M484" s="109">
        <v>2904186194</v>
      </c>
      <c r="N484" s="111"/>
      <c r="O484" s="109">
        <v>7500000</v>
      </c>
      <c r="P484" s="110"/>
      <c r="Q484" s="109">
        <f t="shared" si="38"/>
        <v>2911686194</v>
      </c>
      <c r="R484" s="3">
        <v>2904186194</v>
      </c>
      <c r="S484" s="5"/>
      <c r="T484" s="30">
        <v>7500000</v>
      </c>
      <c r="U484" s="5"/>
      <c r="V484" s="5"/>
      <c r="W484" s="28"/>
      <c r="X484" s="28">
        <f t="shared" si="39"/>
        <v>0</v>
      </c>
      <c r="Y484" s="28">
        <f t="shared" si="40"/>
        <v>0</v>
      </c>
      <c r="Z484" s="28">
        <f t="shared" si="41"/>
        <v>0</v>
      </c>
      <c r="AA484" s="4"/>
      <c r="AB484" s="4"/>
      <c r="AC484">
        <f t="shared" si="42"/>
        <v>2</v>
      </c>
    </row>
    <row r="485" spans="1:30" ht="31.2" x14ac:dyDescent="0.3">
      <c r="A485" s="7" t="s">
        <v>62</v>
      </c>
      <c r="B485" s="6">
        <v>472</v>
      </c>
      <c r="C485" s="7" t="s">
        <v>1785</v>
      </c>
      <c r="D485" s="7" t="s">
        <v>1978</v>
      </c>
      <c r="E485" s="5"/>
      <c r="F485" s="4"/>
      <c r="G485" s="7" t="s">
        <v>1979</v>
      </c>
      <c r="H485" s="5"/>
      <c r="I485" s="5"/>
      <c r="J485" s="7" t="s">
        <v>1980</v>
      </c>
      <c r="K485" s="7" t="s">
        <v>24</v>
      </c>
      <c r="L485" s="7" t="s">
        <v>1981</v>
      </c>
      <c r="M485" s="109">
        <v>562558528</v>
      </c>
      <c r="N485" s="111"/>
      <c r="O485" s="109">
        <v>15000000</v>
      </c>
      <c r="P485" s="110"/>
      <c r="Q485" s="109">
        <f t="shared" si="38"/>
        <v>577558528</v>
      </c>
      <c r="R485" s="3">
        <v>562558528</v>
      </c>
      <c r="S485" s="5"/>
      <c r="T485" s="30">
        <v>15000000</v>
      </c>
      <c r="U485" s="5"/>
      <c r="V485" s="5"/>
      <c r="W485" s="28"/>
      <c r="X485" s="28">
        <f t="shared" si="39"/>
        <v>0</v>
      </c>
      <c r="Y485" s="28">
        <f t="shared" si="40"/>
        <v>0</v>
      </c>
      <c r="Z485" s="28">
        <f t="shared" si="41"/>
        <v>0</v>
      </c>
      <c r="AA485" s="4"/>
      <c r="AB485" s="4"/>
      <c r="AC485">
        <f t="shared" si="42"/>
        <v>2</v>
      </c>
    </row>
    <row r="486" spans="1:30" ht="31.2" x14ac:dyDescent="0.3">
      <c r="A486" s="7" t="s">
        <v>18</v>
      </c>
      <c r="B486" s="6">
        <v>473</v>
      </c>
      <c r="C486" s="7" t="s">
        <v>1785</v>
      </c>
      <c r="D486" s="7" t="s">
        <v>1982</v>
      </c>
      <c r="E486" s="7" t="s">
        <v>1983</v>
      </c>
      <c r="F486" s="4"/>
      <c r="G486" s="7" t="s">
        <v>1984</v>
      </c>
      <c r="H486" s="7" t="s">
        <v>1985</v>
      </c>
      <c r="I486" s="5"/>
      <c r="J486" s="7" t="s">
        <v>1986</v>
      </c>
      <c r="K486" s="7" t="s">
        <v>24</v>
      </c>
      <c r="L486" s="7" t="s">
        <v>1987</v>
      </c>
      <c r="M486" s="109">
        <v>7291876999</v>
      </c>
      <c r="N486" s="109">
        <v>7483383371</v>
      </c>
      <c r="O486" s="109">
        <v>7500000</v>
      </c>
      <c r="P486" s="110"/>
      <c r="Q486" s="109">
        <f t="shared" si="38"/>
        <v>14782760370</v>
      </c>
      <c r="R486" s="3">
        <v>7291876999</v>
      </c>
      <c r="S486" s="3">
        <v>7483383371</v>
      </c>
      <c r="T486" s="30">
        <v>7500000</v>
      </c>
      <c r="U486" s="5"/>
      <c r="V486" s="5"/>
      <c r="W486" s="28"/>
      <c r="X486" s="28">
        <f t="shared" si="39"/>
        <v>0</v>
      </c>
      <c r="Y486" s="28">
        <f t="shared" si="40"/>
        <v>0</v>
      </c>
      <c r="Z486" s="28">
        <f t="shared" si="41"/>
        <v>0</v>
      </c>
      <c r="AA486" s="4"/>
      <c r="AB486" s="4"/>
      <c r="AC486">
        <f t="shared" si="42"/>
        <v>2</v>
      </c>
    </row>
    <row r="487" spans="1:30" ht="31.2" x14ac:dyDescent="0.3">
      <c r="A487" s="7" t="s">
        <v>18</v>
      </c>
      <c r="B487" s="6">
        <v>474</v>
      </c>
      <c r="C487" s="7" t="s">
        <v>1785</v>
      </c>
      <c r="D487" s="7" t="s">
        <v>1988</v>
      </c>
      <c r="E487" s="5"/>
      <c r="F487" s="4"/>
      <c r="G487" s="7" t="s">
        <v>1989</v>
      </c>
      <c r="H487" s="5"/>
      <c r="I487" s="5"/>
      <c r="J487" s="7" t="s">
        <v>1990</v>
      </c>
      <c r="K487" s="7" t="s">
        <v>24</v>
      </c>
      <c r="L487" s="7" t="s">
        <v>1631</v>
      </c>
      <c r="M487" s="109">
        <v>919227558</v>
      </c>
      <c r="N487" s="111"/>
      <c r="O487" s="109">
        <v>15000000</v>
      </c>
      <c r="P487" s="110"/>
      <c r="Q487" s="109">
        <f t="shared" si="38"/>
        <v>934227558</v>
      </c>
      <c r="R487" s="3">
        <v>919227558</v>
      </c>
      <c r="S487" s="5"/>
      <c r="T487" s="30">
        <v>15000000</v>
      </c>
      <c r="U487" s="5"/>
      <c r="V487" s="5"/>
      <c r="W487" s="28"/>
      <c r="X487" s="28">
        <f t="shared" si="39"/>
        <v>0</v>
      </c>
      <c r="Y487" s="28">
        <f t="shared" si="40"/>
        <v>0</v>
      </c>
      <c r="Z487" s="28">
        <f t="shared" si="41"/>
        <v>0</v>
      </c>
      <c r="AA487" s="4"/>
      <c r="AB487" s="4"/>
      <c r="AC487">
        <f t="shared" si="42"/>
        <v>2</v>
      </c>
    </row>
    <row r="488" spans="1:30" ht="31.2" x14ac:dyDescent="0.3">
      <c r="A488" s="7" t="s">
        <v>1601</v>
      </c>
      <c r="B488" s="6">
        <v>475</v>
      </c>
      <c r="C488" s="7" t="s">
        <v>1785</v>
      </c>
      <c r="D488" s="7" t="s">
        <v>1991</v>
      </c>
      <c r="E488" s="5"/>
      <c r="F488" s="4"/>
      <c r="G488" s="7" t="s">
        <v>1992</v>
      </c>
      <c r="H488" s="5"/>
      <c r="I488" s="5"/>
      <c r="J488" s="7" t="s">
        <v>1993</v>
      </c>
      <c r="K488" s="7" t="s">
        <v>24</v>
      </c>
      <c r="L488" s="7" t="s">
        <v>1994</v>
      </c>
      <c r="M488" s="109">
        <v>8961548836</v>
      </c>
      <c r="N488" s="111"/>
      <c r="O488" s="109">
        <v>7500000</v>
      </c>
      <c r="P488" s="110"/>
      <c r="Q488" s="109">
        <f t="shared" si="38"/>
        <v>8969048836</v>
      </c>
      <c r="R488" s="3">
        <v>8961548836</v>
      </c>
      <c r="S488" s="5"/>
      <c r="T488" s="30">
        <v>7500000</v>
      </c>
      <c r="U488" s="5"/>
      <c r="V488" s="5"/>
      <c r="W488" s="28"/>
      <c r="X488" s="28">
        <f t="shared" si="39"/>
        <v>0</v>
      </c>
      <c r="Y488" s="28">
        <f t="shared" si="40"/>
        <v>0</v>
      </c>
      <c r="Z488" s="28">
        <f t="shared" si="41"/>
        <v>0</v>
      </c>
      <c r="AA488" s="4"/>
      <c r="AB488" s="4"/>
      <c r="AC488">
        <f t="shared" si="42"/>
        <v>2</v>
      </c>
    </row>
    <row r="489" spans="1:30" ht="31.2" x14ac:dyDescent="0.3">
      <c r="A489" s="7" t="s">
        <v>53</v>
      </c>
      <c r="B489" s="6">
        <v>476</v>
      </c>
      <c r="C489" s="7" t="s">
        <v>1785</v>
      </c>
      <c r="D489" s="7" t="s">
        <v>1995</v>
      </c>
      <c r="E489" s="7"/>
      <c r="F489" s="40" t="s">
        <v>182</v>
      </c>
      <c r="G489" s="7" t="s">
        <v>1996</v>
      </c>
      <c r="H489" s="7"/>
      <c r="I489" s="7"/>
      <c r="J489" s="7" t="s">
        <v>1997</v>
      </c>
      <c r="K489" s="7" t="s">
        <v>24</v>
      </c>
      <c r="L489" s="7" t="s">
        <v>1998</v>
      </c>
      <c r="M489" s="109">
        <v>20421915934</v>
      </c>
      <c r="N489" s="111"/>
      <c r="O489" s="109">
        <v>15000000</v>
      </c>
      <c r="P489" s="112">
        <v>48000000</v>
      </c>
      <c r="Q489" s="109">
        <f t="shared" si="38"/>
        <v>20484915934</v>
      </c>
      <c r="R489" s="3">
        <v>20421915934</v>
      </c>
      <c r="S489" s="5"/>
      <c r="T489" s="72"/>
      <c r="U489" s="5"/>
      <c r="V489" s="5"/>
      <c r="W489" s="28"/>
      <c r="X489" s="28">
        <f t="shared" si="39"/>
        <v>0</v>
      </c>
      <c r="Y489" s="36">
        <f t="shared" si="40"/>
        <v>15000000</v>
      </c>
      <c r="Z489" s="28">
        <f t="shared" si="41"/>
        <v>48000000</v>
      </c>
      <c r="AA489" s="4"/>
      <c r="AB489" s="40"/>
      <c r="AC489" s="121">
        <f t="shared" si="42"/>
        <v>2</v>
      </c>
      <c r="AD489" s="121"/>
    </row>
    <row r="490" spans="1:30" ht="31.2" x14ac:dyDescent="0.3">
      <c r="A490" s="7" t="s">
        <v>1601</v>
      </c>
      <c r="B490" s="6">
        <v>477</v>
      </c>
      <c r="C490" s="7" t="s">
        <v>1785</v>
      </c>
      <c r="D490" s="7" t="s">
        <v>1999</v>
      </c>
      <c r="E490" s="5"/>
      <c r="F490" s="4"/>
      <c r="G490" s="7" t="s">
        <v>2000</v>
      </c>
      <c r="H490" s="5"/>
      <c r="I490" s="5"/>
      <c r="J490" s="7" t="s">
        <v>2001</v>
      </c>
      <c r="K490" s="7" t="s">
        <v>24</v>
      </c>
      <c r="L490" s="7" t="s">
        <v>2002</v>
      </c>
      <c r="M490" s="109">
        <v>4075525074</v>
      </c>
      <c r="N490" s="111"/>
      <c r="O490" s="109">
        <v>15000000</v>
      </c>
      <c r="P490" s="110"/>
      <c r="Q490" s="109">
        <f t="shared" si="38"/>
        <v>4090525074</v>
      </c>
      <c r="R490" s="36">
        <v>4075525074</v>
      </c>
      <c r="S490" s="5"/>
      <c r="T490" s="30">
        <v>15000000</v>
      </c>
      <c r="U490" s="5"/>
      <c r="V490" s="5"/>
      <c r="W490" s="28"/>
      <c r="X490" s="28">
        <f t="shared" si="39"/>
        <v>0</v>
      </c>
      <c r="Y490" s="28">
        <f t="shared" si="40"/>
        <v>0</v>
      </c>
      <c r="Z490" s="28">
        <f t="shared" si="41"/>
        <v>0</v>
      </c>
      <c r="AA490" s="4"/>
      <c r="AB490" s="4"/>
      <c r="AC490">
        <f t="shared" si="42"/>
        <v>2</v>
      </c>
    </row>
    <row r="491" spans="1:30" ht="31.2" x14ac:dyDescent="0.3">
      <c r="A491" s="7" t="s">
        <v>46</v>
      </c>
      <c r="B491" s="6">
        <v>478</v>
      </c>
      <c r="C491" s="7" t="s">
        <v>1785</v>
      </c>
      <c r="D491" s="7" t="s">
        <v>2003</v>
      </c>
      <c r="E491" s="5"/>
      <c r="F491" s="4"/>
      <c r="G491" s="7" t="s">
        <v>2004</v>
      </c>
      <c r="H491" s="5"/>
      <c r="I491" s="5"/>
      <c r="J491" s="7" t="s">
        <v>2005</v>
      </c>
      <c r="K491" s="7" t="s">
        <v>24</v>
      </c>
      <c r="L491" s="7" t="s">
        <v>1977</v>
      </c>
      <c r="M491" s="109">
        <v>2187891160</v>
      </c>
      <c r="N491" s="111"/>
      <c r="O491" s="109">
        <v>7500000</v>
      </c>
      <c r="P491" s="110"/>
      <c r="Q491" s="109">
        <f t="shared" si="38"/>
        <v>2195391160</v>
      </c>
      <c r="R491" s="3">
        <v>2187891160</v>
      </c>
      <c r="S491" s="5"/>
      <c r="T491" s="30">
        <v>7500000</v>
      </c>
      <c r="U491" s="5"/>
      <c r="V491" s="5"/>
      <c r="W491" s="28"/>
      <c r="X491" s="28">
        <f t="shared" si="39"/>
        <v>0</v>
      </c>
      <c r="Y491" s="28">
        <f t="shared" si="40"/>
        <v>0</v>
      </c>
      <c r="Z491" s="28">
        <f t="shared" si="41"/>
        <v>0</v>
      </c>
      <c r="AA491" s="4"/>
      <c r="AB491" s="4"/>
      <c r="AC491">
        <f t="shared" si="42"/>
        <v>2</v>
      </c>
    </row>
    <row r="492" spans="1:30" ht="31.2" x14ac:dyDescent="0.3">
      <c r="A492" s="7" t="s">
        <v>62</v>
      </c>
      <c r="B492" s="6">
        <v>479</v>
      </c>
      <c r="C492" s="7" t="s">
        <v>1785</v>
      </c>
      <c r="D492" s="7" t="s">
        <v>2006</v>
      </c>
      <c r="E492" s="7"/>
      <c r="F492" s="4"/>
      <c r="G492" s="7" t="s">
        <v>2007</v>
      </c>
      <c r="H492" s="7"/>
      <c r="I492" s="7"/>
      <c r="J492" s="7" t="s">
        <v>2008</v>
      </c>
      <c r="K492" s="7" t="s">
        <v>24</v>
      </c>
      <c r="L492" s="7" t="s">
        <v>2009</v>
      </c>
      <c r="M492" s="109">
        <v>68947648</v>
      </c>
      <c r="N492" s="111"/>
      <c r="O492" s="109">
        <v>7500000</v>
      </c>
      <c r="P492" s="110"/>
      <c r="Q492" s="109">
        <f t="shared" si="38"/>
        <v>76447648</v>
      </c>
      <c r="R492" s="5"/>
      <c r="S492" s="5"/>
      <c r="T492" s="72"/>
      <c r="U492" s="5"/>
      <c r="V492" s="5"/>
      <c r="W492" s="28">
        <v>68947648</v>
      </c>
      <c r="X492" s="28">
        <f t="shared" si="39"/>
        <v>0</v>
      </c>
      <c r="Y492" s="36">
        <f t="shared" si="40"/>
        <v>7500000</v>
      </c>
      <c r="Z492" s="28">
        <f t="shared" si="41"/>
        <v>0</v>
      </c>
      <c r="AA492" s="10">
        <v>68947648</v>
      </c>
      <c r="AB492" s="40"/>
      <c r="AC492" s="121">
        <f t="shared" si="42"/>
        <v>2</v>
      </c>
      <c r="AD492" s="121"/>
    </row>
    <row r="493" spans="1:30" ht="31.2" x14ac:dyDescent="0.3">
      <c r="A493" s="7" t="s">
        <v>18</v>
      </c>
      <c r="B493" s="6">
        <v>480</v>
      </c>
      <c r="C493" s="7" t="s">
        <v>1785</v>
      </c>
      <c r="D493" s="7" t="s">
        <v>2010</v>
      </c>
      <c r="E493" s="5"/>
      <c r="F493" s="4"/>
      <c r="G493" s="7" t="s">
        <v>2011</v>
      </c>
      <c r="H493" s="5"/>
      <c r="I493" s="5"/>
      <c r="J493" s="7" t="s">
        <v>2012</v>
      </c>
      <c r="K493" s="7" t="s">
        <v>24</v>
      </c>
      <c r="L493" s="7" t="s">
        <v>2013</v>
      </c>
      <c r="M493" s="109">
        <v>1308108292</v>
      </c>
      <c r="N493" s="111"/>
      <c r="O493" s="109">
        <v>7500000</v>
      </c>
      <c r="P493" s="110"/>
      <c r="Q493" s="109">
        <f t="shared" si="38"/>
        <v>1315608292</v>
      </c>
      <c r="R493" s="3">
        <v>1308108292</v>
      </c>
      <c r="S493" s="5"/>
      <c r="T493" s="30">
        <v>7500000</v>
      </c>
      <c r="U493" s="5"/>
      <c r="V493" s="5"/>
      <c r="W493" s="28"/>
      <c r="X493" s="28">
        <f t="shared" si="39"/>
        <v>0</v>
      </c>
      <c r="Y493" s="28">
        <f t="shared" si="40"/>
        <v>0</v>
      </c>
      <c r="Z493" s="28">
        <f t="shared" si="41"/>
        <v>0</v>
      </c>
      <c r="AA493" s="4"/>
      <c r="AB493" s="4"/>
      <c r="AC493">
        <f t="shared" si="42"/>
        <v>2</v>
      </c>
    </row>
    <row r="494" spans="1:30" ht="62.4" x14ac:dyDescent="0.3">
      <c r="A494" s="7" t="s">
        <v>53</v>
      </c>
      <c r="B494" s="6">
        <v>481</v>
      </c>
      <c r="C494" s="7" t="s">
        <v>1785</v>
      </c>
      <c r="D494" s="7" t="s">
        <v>2014</v>
      </c>
      <c r="E494" s="7" t="s">
        <v>2015</v>
      </c>
      <c r="F494" s="4"/>
      <c r="G494" s="7" t="s">
        <v>2016</v>
      </c>
      <c r="H494" s="7" t="s">
        <v>2017</v>
      </c>
      <c r="I494" s="5"/>
      <c r="J494" s="7" t="s">
        <v>2018</v>
      </c>
      <c r="K494" s="7" t="s">
        <v>24</v>
      </c>
      <c r="L494" s="7" t="s">
        <v>2019</v>
      </c>
      <c r="M494" s="109">
        <v>2157190380</v>
      </c>
      <c r="N494" s="109">
        <v>64769833</v>
      </c>
      <c r="O494" s="109">
        <v>15000000</v>
      </c>
      <c r="P494" s="110"/>
      <c r="Q494" s="109">
        <f t="shared" si="38"/>
        <v>2236960213</v>
      </c>
      <c r="R494" s="3">
        <v>2157190380</v>
      </c>
      <c r="S494" s="3">
        <v>64769833</v>
      </c>
      <c r="T494" s="30">
        <v>15000000</v>
      </c>
      <c r="U494" s="5"/>
      <c r="V494" s="5"/>
      <c r="W494" s="28"/>
      <c r="X494" s="28">
        <f t="shared" si="39"/>
        <v>0</v>
      </c>
      <c r="Y494" s="28">
        <f t="shared" si="40"/>
        <v>0</v>
      </c>
      <c r="Z494" s="28">
        <f t="shared" si="41"/>
        <v>0</v>
      </c>
      <c r="AA494" s="4"/>
      <c r="AB494" s="4"/>
      <c r="AC494">
        <f t="shared" si="42"/>
        <v>2</v>
      </c>
    </row>
    <row r="495" spans="1:30" ht="31.2" x14ac:dyDescent="0.3">
      <c r="A495" s="7" t="s">
        <v>53</v>
      </c>
      <c r="B495" s="6">
        <v>482</v>
      </c>
      <c r="C495" s="7" t="s">
        <v>2020</v>
      </c>
      <c r="D495" s="7" t="s">
        <v>2021</v>
      </c>
      <c r="E495" s="7" t="s">
        <v>2022</v>
      </c>
      <c r="F495" s="4"/>
      <c r="G495" s="7" t="s">
        <v>2023</v>
      </c>
      <c r="H495" s="7" t="s">
        <v>2024</v>
      </c>
      <c r="I495" s="5"/>
      <c r="J495" s="7" t="s">
        <v>2025</v>
      </c>
      <c r="K495" s="7" t="s">
        <v>24</v>
      </c>
      <c r="L495" s="7" t="s">
        <v>2026</v>
      </c>
      <c r="M495" s="109">
        <v>1694829034</v>
      </c>
      <c r="N495" s="109">
        <v>89809650</v>
      </c>
      <c r="O495" s="109">
        <v>15000000</v>
      </c>
      <c r="P495" s="110"/>
      <c r="Q495" s="109">
        <f t="shared" si="38"/>
        <v>1799638684</v>
      </c>
      <c r="R495" s="3">
        <v>1694829034</v>
      </c>
      <c r="S495" s="3">
        <v>89809650</v>
      </c>
      <c r="T495" s="30">
        <v>15000000</v>
      </c>
      <c r="U495" s="5"/>
      <c r="V495" s="5"/>
      <c r="W495" s="28"/>
      <c r="X495" s="28">
        <f t="shared" si="39"/>
        <v>0</v>
      </c>
      <c r="Y495" s="28">
        <f t="shared" si="40"/>
        <v>0</v>
      </c>
      <c r="Z495" s="28">
        <f t="shared" si="41"/>
        <v>0</v>
      </c>
      <c r="AA495" s="4"/>
      <c r="AB495" s="4"/>
      <c r="AC495">
        <f t="shared" si="42"/>
        <v>2</v>
      </c>
    </row>
    <row r="496" spans="1:30" ht="62.4" customHeight="1" x14ac:dyDescent="0.3">
      <c r="A496" s="7" t="s">
        <v>46</v>
      </c>
      <c r="B496" s="6">
        <v>483</v>
      </c>
      <c r="C496" s="7" t="s">
        <v>2020</v>
      </c>
      <c r="D496" s="7" t="s">
        <v>2027</v>
      </c>
      <c r="E496" s="7" t="s">
        <v>2029</v>
      </c>
      <c r="F496" s="40" t="s">
        <v>2028</v>
      </c>
      <c r="G496" s="7" t="s">
        <v>2030</v>
      </c>
      <c r="H496" s="7" t="s">
        <v>2031</v>
      </c>
      <c r="I496" s="5"/>
      <c r="J496" s="7" t="s">
        <v>2032</v>
      </c>
      <c r="K496" s="7" t="s">
        <v>24</v>
      </c>
      <c r="L496" s="7" t="s">
        <v>2033</v>
      </c>
      <c r="M496" s="109">
        <v>2978570608</v>
      </c>
      <c r="N496" s="109">
        <v>191495014</v>
      </c>
      <c r="O496" s="109">
        <v>15000000</v>
      </c>
      <c r="P496" s="112">
        <v>144000000</v>
      </c>
      <c r="Q496" s="109">
        <f t="shared" si="38"/>
        <v>3329065622</v>
      </c>
      <c r="R496" s="3">
        <v>2978570608</v>
      </c>
      <c r="S496" s="3">
        <v>191495014</v>
      </c>
      <c r="T496" s="30">
        <v>15000000</v>
      </c>
      <c r="U496" s="3">
        <v>144000000</v>
      </c>
      <c r="V496" s="5"/>
      <c r="W496" s="28"/>
      <c r="X496" s="28">
        <f t="shared" si="39"/>
        <v>0</v>
      </c>
      <c r="Y496" s="28">
        <f t="shared" si="40"/>
        <v>0</v>
      </c>
      <c r="Z496" s="28">
        <f t="shared" si="41"/>
        <v>0</v>
      </c>
      <c r="AA496" s="4"/>
      <c r="AB496" s="4"/>
      <c r="AC496">
        <f t="shared" si="42"/>
        <v>2</v>
      </c>
    </row>
    <row r="497" spans="1:30" ht="46.8" x14ac:dyDescent="0.3">
      <c r="A497" s="7" t="s">
        <v>46</v>
      </c>
      <c r="B497" s="6">
        <v>484</v>
      </c>
      <c r="C497" s="7" t="s">
        <v>2020</v>
      </c>
      <c r="D497" s="7" t="s">
        <v>2034</v>
      </c>
      <c r="E497" s="7" t="s">
        <v>2035</v>
      </c>
      <c r="F497" s="4"/>
      <c r="G497" s="7" t="s">
        <v>2036</v>
      </c>
      <c r="H497" s="7" t="s">
        <v>2037</v>
      </c>
      <c r="I497" s="42" t="s">
        <v>2038</v>
      </c>
      <c r="J497" s="7" t="s">
        <v>2039</v>
      </c>
      <c r="K497" s="7" t="s">
        <v>24</v>
      </c>
      <c r="L497" s="7" t="s">
        <v>2040</v>
      </c>
      <c r="M497" s="109">
        <v>0</v>
      </c>
      <c r="N497" s="109">
        <v>8678312412</v>
      </c>
      <c r="O497" s="109">
        <v>7500000</v>
      </c>
      <c r="P497" s="110"/>
      <c r="Q497" s="109">
        <f t="shared" si="38"/>
        <v>8685812412</v>
      </c>
      <c r="R497" s="6">
        <v>0</v>
      </c>
      <c r="S497" s="7"/>
      <c r="T497" s="72"/>
      <c r="U497" s="5"/>
      <c r="V497" s="5"/>
      <c r="W497" s="28"/>
      <c r="X497" s="36">
        <f t="shared" si="39"/>
        <v>8678312412</v>
      </c>
      <c r="Y497" s="36">
        <f t="shared" si="40"/>
        <v>7500000</v>
      </c>
      <c r="Z497" s="28">
        <f t="shared" si="41"/>
        <v>0</v>
      </c>
      <c r="AA497" s="40"/>
      <c r="AB497" s="40"/>
      <c r="AC497" s="121">
        <f t="shared" si="42"/>
        <v>2</v>
      </c>
      <c r="AD497" s="121"/>
    </row>
    <row r="498" spans="1:30" ht="62.4" customHeight="1" x14ac:dyDescent="0.3">
      <c r="A498" s="7" t="s">
        <v>1601</v>
      </c>
      <c r="B498" s="6">
        <v>485</v>
      </c>
      <c r="C498" s="7" t="s">
        <v>2020</v>
      </c>
      <c r="D498" s="7" t="s">
        <v>2041</v>
      </c>
      <c r="E498" s="5"/>
      <c r="F498" s="40" t="s">
        <v>3880</v>
      </c>
      <c r="G498" s="7" t="s">
        <v>2043</v>
      </c>
      <c r="H498" s="5"/>
      <c r="I498" s="5"/>
      <c r="J498" s="7" t="s">
        <v>2044</v>
      </c>
      <c r="K498" s="7" t="s">
        <v>24</v>
      </c>
      <c r="L498" s="7" t="s">
        <v>2045</v>
      </c>
      <c r="M498" s="109">
        <v>10000000</v>
      </c>
      <c r="N498" s="111"/>
      <c r="O498" s="109">
        <v>15000000</v>
      </c>
      <c r="P498" s="112">
        <v>72000000</v>
      </c>
      <c r="Q498" s="109">
        <f t="shared" si="38"/>
        <v>97000000</v>
      </c>
      <c r="R498" s="36">
        <v>10000000</v>
      </c>
      <c r="S498" s="5"/>
      <c r="T498" s="30">
        <v>15000000</v>
      </c>
      <c r="U498" s="3">
        <v>72000000</v>
      </c>
      <c r="V498" s="5"/>
      <c r="W498" s="28"/>
      <c r="X498" s="28">
        <f t="shared" si="39"/>
        <v>0</v>
      </c>
      <c r="Y498" s="28">
        <f t="shared" si="40"/>
        <v>0</v>
      </c>
      <c r="Z498" s="28">
        <f t="shared" si="41"/>
        <v>0</v>
      </c>
      <c r="AA498" s="4"/>
      <c r="AB498" s="4"/>
      <c r="AC498">
        <f t="shared" si="42"/>
        <v>2</v>
      </c>
    </row>
    <row r="499" spans="1:30" ht="31.2" x14ac:dyDescent="0.3">
      <c r="A499" s="7" t="s">
        <v>1601</v>
      </c>
      <c r="B499" s="6">
        <v>486</v>
      </c>
      <c r="C499" s="7" t="s">
        <v>2020</v>
      </c>
      <c r="D499" s="7" t="s">
        <v>2046</v>
      </c>
      <c r="E499" s="7" t="s">
        <v>2047</v>
      </c>
      <c r="F499" s="4"/>
      <c r="G499" s="7" t="s">
        <v>2048</v>
      </c>
      <c r="H499" s="7"/>
      <c r="I499" s="7"/>
      <c r="J499" s="7" t="s">
        <v>2049</v>
      </c>
      <c r="K499" s="7" t="s">
        <v>24</v>
      </c>
      <c r="L499" s="7" t="s">
        <v>2050</v>
      </c>
      <c r="M499" s="109">
        <v>34664233908</v>
      </c>
      <c r="N499" s="109">
        <v>21702116352</v>
      </c>
      <c r="O499" s="109">
        <v>7500000</v>
      </c>
      <c r="P499" s="110"/>
      <c r="Q499" s="109">
        <f t="shared" si="38"/>
        <v>56373850260</v>
      </c>
      <c r="R499" s="3">
        <v>34664233908</v>
      </c>
      <c r="S499" s="3">
        <v>21702116352</v>
      </c>
      <c r="T499" s="72"/>
      <c r="U499" s="5"/>
      <c r="V499" s="5"/>
      <c r="W499" s="28"/>
      <c r="X499" s="28">
        <f t="shared" si="39"/>
        <v>0</v>
      </c>
      <c r="Y499" s="36">
        <f t="shared" si="40"/>
        <v>7500000</v>
      </c>
      <c r="Z499" s="28">
        <f t="shared" si="41"/>
        <v>0</v>
      </c>
      <c r="AA499" s="4"/>
      <c r="AB499" s="40"/>
      <c r="AC499" s="121">
        <f t="shared" si="42"/>
        <v>2</v>
      </c>
      <c r="AD499" s="121"/>
    </row>
    <row r="500" spans="1:30" ht="31.2" x14ac:dyDescent="0.3">
      <c r="A500" s="7" t="s">
        <v>53</v>
      </c>
      <c r="B500" s="6">
        <v>487</v>
      </c>
      <c r="C500" s="7" t="s">
        <v>2020</v>
      </c>
      <c r="D500" s="7" t="s">
        <v>2051</v>
      </c>
      <c r="E500" s="7" t="s">
        <v>2052</v>
      </c>
      <c r="F500" s="4"/>
      <c r="G500" s="7" t="s">
        <v>2053</v>
      </c>
      <c r="H500" s="7" t="s">
        <v>2054</v>
      </c>
      <c r="I500" s="5"/>
      <c r="J500" s="7" t="s">
        <v>2055</v>
      </c>
      <c r="K500" s="7" t="s">
        <v>24</v>
      </c>
      <c r="L500" s="7" t="s">
        <v>2056</v>
      </c>
      <c r="M500" s="109">
        <v>7983138800</v>
      </c>
      <c r="N500" s="114">
        <v>4114228044</v>
      </c>
      <c r="O500" s="109">
        <v>7500000</v>
      </c>
      <c r="P500" s="110"/>
      <c r="Q500" s="109">
        <f t="shared" si="38"/>
        <v>12104866844</v>
      </c>
      <c r="R500" s="3">
        <v>7983138800</v>
      </c>
      <c r="S500" s="3">
        <v>4114228044</v>
      </c>
      <c r="T500" s="30">
        <v>7500000</v>
      </c>
      <c r="U500" s="5"/>
      <c r="V500" s="5"/>
      <c r="W500" s="28"/>
      <c r="X500" s="28">
        <f t="shared" si="39"/>
        <v>0</v>
      </c>
      <c r="Y500" s="28">
        <f t="shared" si="40"/>
        <v>0</v>
      </c>
      <c r="Z500" s="28">
        <f t="shared" si="41"/>
        <v>0</v>
      </c>
      <c r="AA500" s="4"/>
      <c r="AB500" s="4"/>
      <c r="AC500">
        <f t="shared" si="42"/>
        <v>2</v>
      </c>
    </row>
    <row r="501" spans="1:30" ht="31.2" x14ac:dyDescent="0.3">
      <c r="A501" s="7" t="s">
        <v>62</v>
      </c>
      <c r="B501" s="6">
        <v>488</v>
      </c>
      <c r="C501" s="7" t="s">
        <v>2020</v>
      </c>
      <c r="D501" s="7" t="s">
        <v>2057</v>
      </c>
      <c r="E501" s="5"/>
      <c r="F501" s="40" t="s">
        <v>2058</v>
      </c>
      <c r="G501" s="7" t="s">
        <v>2059</v>
      </c>
      <c r="H501" s="5"/>
      <c r="I501" s="5"/>
      <c r="J501" s="7" t="s">
        <v>2060</v>
      </c>
      <c r="K501" s="7" t="s">
        <v>24</v>
      </c>
      <c r="L501" s="7" t="s">
        <v>2061</v>
      </c>
      <c r="M501" s="109">
        <v>24488585954</v>
      </c>
      <c r="N501" s="111"/>
      <c r="O501" s="109">
        <v>15000000</v>
      </c>
      <c r="P501" s="112">
        <v>96000000</v>
      </c>
      <c r="Q501" s="109">
        <f t="shared" si="38"/>
        <v>24599585954</v>
      </c>
      <c r="R501" s="3">
        <v>24488585954</v>
      </c>
      <c r="S501" s="5"/>
      <c r="T501" s="30">
        <v>15000000</v>
      </c>
      <c r="U501" s="3">
        <v>96000000</v>
      </c>
      <c r="V501" s="5"/>
      <c r="W501" s="28"/>
      <c r="X501" s="28">
        <f t="shared" si="39"/>
        <v>0</v>
      </c>
      <c r="Y501" s="28">
        <f t="shared" si="40"/>
        <v>0</v>
      </c>
      <c r="Z501" s="28">
        <f t="shared" si="41"/>
        <v>0</v>
      </c>
      <c r="AA501" s="4"/>
      <c r="AB501" s="4"/>
      <c r="AC501">
        <f t="shared" si="42"/>
        <v>2</v>
      </c>
    </row>
    <row r="502" spans="1:30" ht="31.2" x14ac:dyDescent="0.3">
      <c r="A502" s="7" t="s">
        <v>62</v>
      </c>
      <c r="B502" s="6">
        <v>489</v>
      </c>
      <c r="C502" s="7" t="s">
        <v>2020</v>
      </c>
      <c r="D502" s="7" t="s">
        <v>2062</v>
      </c>
      <c r="E502" s="7" t="s">
        <v>2064</v>
      </c>
      <c r="F502" s="40" t="s">
        <v>2063</v>
      </c>
      <c r="G502" s="7" t="s">
        <v>2065</v>
      </c>
      <c r="H502" s="5"/>
      <c r="I502" s="5"/>
      <c r="J502" s="7" t="s">
        <v>2066</v>
      </c>
      <c r="K502" s="7" t="s">
        <v>24</v>
      </c>
      <c r="L502" s="7" t="s">
        <v>2067</v>
      </c>
      <c r="M502" s="109">
        <v>8321720844</v>
      </c>
      <c r="N502" s="109">
        <v>606267120</v>
      </c>
      <c r="O502" s="109">
        <v>15000000</v>
      </c>
      <c r="P502" s="112">
        <v>30000000</v>
      </c>
      <c r="Q502" s="109">
        <f t="shared" si="38"/>
        <v>8972987964</v>
      </c>
      <c r="R502" s="3">
        <v>8321720844</v>
      </c>
      <c r="S502" s="3">
        <v>606267120</v>
      </c>
      <c r="T502" s="30">
        <v>15000000</v>
      </c>
      <c r="U502" s="3">
        <v>30000000</v>
      </c>
      <c r="V502" s="5"/>
      <c r="W502" s="28"/>
      <c r="X502" s="28">
        <f t="shared" si="39"/>
        <v>0</v>
      </c>
      <c r="Y502" s="28">
        <f t="shared" si="40"/>
        <v>0</v>
      </c>
      <c r="Z502" s="28">
        <f t="shared" si="41"/>
        <v>0</v>
      </c>
      <c r="AA502" s="4"/>
      <c r="AB502" s="4"/>
      <c r="AC502">
        <f t="shared" si="42"/>
        <v>2</v>
      </c>
    </row>
    <row r="503" spans="1:30" ht="31.2" x14ac:dyDescent="0.3">
      <c r="A503" s="7" t="s">
        <v>46</v>
      </c>
      <c r="B503" s="6">
        <v>490</v>
      </c>
      <c r="C503" s="7" t="s">
        <v>2020</v>
      </c>
      <c r="D503" s="7" t="s">
        <v>2068</v>
      </c>
      <c r="E503" s="5"/>
      <c r="F503" s="4"/>
      <c r="G503" s="7" t="s">
        <v>2069</v>
      </c>
      <c r="H503" s="5"/>
      <c r="I503" s="5"/>
      <c r="J503" s="7" t="s">
        <v>2070</v>
      </c>
      <c r="K503" s="7" t="s">
        <v>24</v>
      </c>
      <c r="L503" s="7" t="s">
        <v>2071</v>
      </c>
      <c r="M503" s="109">
        <v>75048522880</v>
      </c>
      <c r="N503" s="111"/>
      <c r="O503" s="109">
        <v>7500000</v>
      </c>
      <c r="P503" s="110"/>
      <c r="Q503" s="109">
        <f t="shared" si="38"/>
        <v>75056022880</v>
      </c>
      <c r="R503" s="3">
        <v>75048522880</v>
      </c>
      <c r="S503" s="5"/>
      <c r="T503" s="30">
        <v>7500000</v>
      </c>
      <c r="U503" s="5"/>
      <c r="V503" s="5"/>
      <c r="W503" s="28"/>
      <c r="X503" s="28">
        <f t="shared" si="39"/>
        <v>0</v>
      </c>
      <c r="Y503" s="28">
        <f t="shared" si="40"/>
        <v>0</v>
      </c>
      <c r="Z503" s="28">
        <f t="shared" si="41"/>
        <v>0</v>
      </c>
      <c r="AA503" s="4"/>
      <c r="AB503" s="4"/>
      <c r="AC503">
        <f t="shared" si="42"/>
        <v>2</v>
      </c>
    </row>
    <row r="504" spans="1:30" ht="31.2" x14ac:dyDescent="0.3">
      <c r="A504" s="7" t="s">
        <v>46</v>
      </c>
      <c r="B504" s="6">
        <v>491</v>
      </c>
      <c r="C504" s="7" t="s">
        <v>2020</v>
      </c>
      <c r="D504" s="7" t="s">
        <v>2072</v>
      </c>
      <c r="E504" s="7" t="s">
        <v>2074</v>
      </c>
      <c r="F504" s="40" t="s">
        <v>2073</v>
      </c>
      <c r="G504" s="7" t="s">
        <v>2075</v>
      </c>
      <c r="H504" s="7" t="s">
        <v>2076</v>
      </c>
      <c r="I504" s="5"/>
      <c r="J504" s="7" t="s">
        <v>2077</v>
      </c>
      <c r="K504" s="7" t="s">
        <v>24</v>
      </c>
      <c r="L504" s="7" t="s">
        <v>2078</v>
      </c>
      <c r="M504" s="109">
        <v>1336260530</v>
      </c>
      <c r="N504" s="109">
        <v>1211633920</v>
      </c>
      <c r="O504" s="109">
        <v>15000000</v>
      </c>
      <c r="P504" s="112">
        <v>42000000</v>
      </c>
      <c r="Q504" s="109">
        <f t="shared" si="38"/>
        <v>2604894450</v>
      </c>
      <c r="R504" s="36">
        <v>1336260530</v>
      </c>
      <c r="S504" s="3">
        <v>1211633920</v>
      </c>
      <c r="T504" s="30">
        <v>15000000</v>
      </c>
      <c r="U504" s="3">
        <v>42000000</v>
      </c>
      <c r="V504" s="5"/>
      <c r="W504" s="28"/>
      <c r="X504" s="28">
        <f t="shared" si="39"/>
        <v>0</v>
      </c>
      <c r="Y504" s="28">
        <f t="shared" si="40"/>
        <v>0</v>
      </c>
      <c r="Z504" s="28">
        <f t="shared" si="41"/>
        <v>0</v>
      </c>
      <c r="AA504" s="4"/>
      <c r="AB504" s="4"/>
      <c r="AC504">
        <f t="shared" si="42"/>
        <v>2</v>
      </c>
    </row>
    <row r="505" spans="1:30" ht="31.2" x14ac:dyDescent="0.3">
      <c r="A505" s="7" t="s">
        <v>1601</v>
      </c>
      <c r="B505" s="6">
        <v>492</v>
      </c>
      <c r="C505" s="7" t="s">
        <v>2020</v>
      </c>
      <c r="D505" s="7" t="s">
        <v>2079</v>
      </c>
      <c r="E505" s="7" t="s">
        <v>2080</v>
      </c>
      <c r="F505" s="4"/>
      <c r="G505" s="7" t="s">
        <v>2081</v>
      </c>
      <c r="H505" s="7" t="s">
        <v>2082</v>
      </c>
      <c r="I505" s="7" t="s">
        <v>1355</v>
      </c>
      <c r="J505" s="7" t="s">
        <v>2083</v>
      </c>
      <c r="K505" s="7" t="s">
        <v>24</v>
      </c>
      <c r="L505" s="7" t="s">
        <v>2084</v>
      </c>
      <c r="M505" s="109">
        <v>4066555149</v>
      </c>
      <c r="N505" s="109">
        <v>385272600</v>
      </c>
      <c r="O505" s="109">
        <v>15000000</v>
      </c>
      <c r="P505" s="110"/>
      <c r="Q505" s="109">
        <f t="shared" si="38"/>
        <v>4466827749</v>
      </c>
      <c r="R505" s="36">
        <v>4066555149</v>
      </c>
      <c r="S505" s="3">
        <v>385272600</v>
      </c>
      <c r="T505" s="30">
        <v>15000000</v>
      </c>
      <c r="U505" s="5"/>
      <c r="V505" s="5"/>
      <c r="W505" s="28"/>
      <c r="X505" s="28">
        <f t="shared" si="39"/>
        <v>0</v>
      </c>
      <c r="Y505" s="28">
        <f t="shared" si="40"/>
        <v>0</v>
      </c>
      <c r="Z505" s="28">
        <f t="shared" si="41"/>
        <v>0</v>
      </c>
      <c r="AA505" s="4"/>
      <c r="AB505" s="4"/>
      <c r="AC505">
        <f t="shared" si="42"/>
        <v>2</v>
      </c>
    </row>
    <row r="506" spans="1:30" ht="31.2" x14ac:dyDescent="0.3">
      <c r="A506" s="7" t="s">
        <v>62</v>
      </c>
      <c r="B506" s="6">
        <v>493</v>
      </c>
      <c r="C506" s="7" t="s">
        <v>2020</v>
      </c>
      <c r="D506" s="7" t="s">
        <v>2085</v>
      </c>
      <c r="E506" s="7"/>
      <c r="F506" s="40" t="s">
        <v>637</v>
      </c>
      <c r="G506" s="7" t="s">
        <v>2086</v>
      </c>
      <c r="H506" s="7"/>
      <c r="I506" s="7"/>
      <c r="J506" s="7" t="s">
        <v>2087</v>
      </c>
      <c r="K506" s="7" t="s">
        <v>24</v>
      </c>
      <c r="L506" s="7" t="s">
        <v>2088</v>
      </c>
      <c r="M506" s="109">
        <v>3570553528</v>
      </c>
      <c r="N506" s="111"/>
      <c r="O506" s="109">
        <v>15000000</v>
      </c>
      <c r="P506" s="112">
        <v>30000000</v>
      </c>
      <c r="Q506" s="109">
        <f t="shared" si="38"/>
        <v>3615553528</v>
      </c>
      <c r="R506" s="5"/>
      <c r="S506" s="5"/>
      <c r="T506" s="72"/>
      <c r="U506" s="28">
        <v>30000000</v>
      </c>
      <c r="V506" s="5"/>
      <c r="W506" s="28">
        <v>3570553528</v>
      </c>
      <c r="X506" s="28">
        <f t="shared" si="39"/>
        <v>0</v>
      </c>
      <c r="Y506" s="36">
        <f t="shared" si="40"/>
        <v>15000000</v>
      </c>
      <c r="Z506" s="28">
        <f t="shared" si="41"/>
        <v>0</v>
      </c>
      <c r="AA506" s="10">
        <v>3570553528</v>
      </c>
      <c r="AB506" s="40"/>
      <c r="AC506" s="121">
        <f t="shared" si="42"/>
        <v>2</v>
      </c>
      <c r="AD506" s="121"/>
    </row>
    <row r="507" spans="1:30" ht="62.4" customHeight="1" x14ac:dyDescent="0.3">
      <c r="A507" s="7" t="s">
        <v>18</v>
      </c>
      <c r="B507" s="6">
        <v>494</v>
      </c>
      <c r="C507" s="7" t="s">
        <v>2020</v>
      </c>
      <c r="D507" s="7" t="s">
        <v>2089</v>
      </c>
      <c r="E507" s="5"/>
      <c r="F507" s="40" t="s">
        <v>1597</v>
      </c>
      <c r="G507" s="7" t="s">
        <v>2090</v>
      </c>
      <c r="H507" s="5"/>
      <c r="I507" s="5"/>
      <c r="J507" s="7" t="s">
        <v>2091</v>
      </c>
      <c r="K507" s="7" t="s">
        <v>24</v>
      </c>
      <c r="L507" s="7" t="s">
        <v>2092</v>
      </c>
      <c r="M507" s="109">
        <v>10000000</v>
      </c>
      <c r="N507" s="111"/>
      <c r="O507" s="109">
        <v>15000000</v>
      </c>
      <c r="P507" s="112">
        <v>72000000</v>
      </c>
      <c r="Q507" s="109">
        <f t="shared" si="38"/>
        <v>97000000</v>
      </c>
      <c r="R507" s="28">
        <v>10000000</v>
      </c>
      <c r="S507" s="5"/>
      <c r="T507" s="31">
        <v>15000000</v>
      </c>
      <c r="U507" s="28">
        <v>72000000</v>
      </c>
      <c r="V507" s="5"/>
      <c r="W507" s="28"/>
      <c r="X507" s="28">
        <f t="shared" si="39"/>
        <v>0</v>
      </c>
      <c r="Y507" s="28">
        <f t="shared" si="40"/>
        <v>0</v>
      </c>
      <c r="Z507" s="28">
        <f t="shared" si="41"/>
        <v>0</v>
      </c>
      <c r="AA507" s="8"/>
      <c r="AB507" s="4"/>
      <c r="AC507">
        <f t="shared" si="42"/>
        <v>2</v>
      </c>
    </row>
    <row r="508" spans="1:30" ht="46.8" x14ac:dyDescent="0.3">
      <c r="A508" s="7" t="s">
        <v>18</v>
      </c>
      <c r="B508" s="6">
        <v>495</v>
      </c>
      <c r="C508" s="7" t="s">
        <v>2020</v>
      </c>
      <c r="D508" s="7" t="s">
        <v>2093</v>
      </c>
      <c r="E508" s="43" t="s">
        <v>2052</v>
      </c>
      <c r="F508" s="40" t="s">
        <v>2094</v>
      </c>
      <c r="G508" s="7" t="s">
        <v>2095</v>
      </c>
      <c r="H508" s="7" t="s">
        <v>766</v>
      </c>
      <c r="I508" s="5"/>
      <c r="J508" s="7" t="s">
        <v>2096</v>
      </c>
      <c r="K508" s="7" t="s">
        <v>24</v>
      </c>
      <c r="L508" s="7" t="s">
        <v>2097</v>
      </c>
      <c r="M508" s="109">
        <v>6407680720</v>
      </c>
      <c r="N508" s="115">
        <v>2970696540</v>
      </c>
      <c r="O508" s="109">
        <v>15000000</v>
      </c>
      <c r="P508" s="112">
        <v>54000000</v>
      </c>
      <c r="Q508" s="109">
        <f t="shared" si="38"/>
        <v>9447377260</v>
      </c>
      <c r="R508" s="9">
        <v>6407680720</v>
      </c>
      <c r="S508" s="3">
        <v>2970696540</v>
      </c>
      <c r="T508" s="30">
        <v>15000000</v>
      </c>
      <c r="U508" s="3">
        <v>54000000</v>
      </c>
      <c r="V508" s="5"/>
      <c r="W508" s="28"/>
      <c r="X508" s="28">
        <f t="shared" si="39"/>
        <v>0</v>
      </c>
      <c r="Y508" s="28">
        <f t="shared" si="40"/>
        <v>0</v>
      </c>
      <c r="Z508" s="28">
        <f t="shared" si="41"/>
        <v>0</v>
      </c>
      <c r="AA508" s="4"/>
      <c r="AB508" s="4"/>
      <c r="AC508">
        <f t="shared" si="42"/>
        <v>2</v>
      </c>
    </row>
    <row r="509" spans="1:30" ht="46.8" x14ac:dyDescent="0.3">
      <c r="A509" s="7" t="s">
        <v>46</v>
      </c>
      <c r="B509" s="6">
        <v>496</v>
      </c>
      <c r="C509" s="7" t="s">
        <v>2020</v>
      </c>
      <c r="D509" s="7" t="s">
        <v>2098</v>
      </c>
      <c r="E509" s="7"/>
      <c r="F509" s="4"/>
      <c r="G509" s="7" t="s">
        <v>2099</v>
      </c>
      <c r="H509" s="7"/>
      <c r="I509" s="7"/>
      <c r="J509" s="7" t="s">
        <v>1010</v>
      </c>
      <c r="K509" s="7" t="s">
        <v>24</v>
      </c>
      <c r="L509" s="7" t="s">
        <v>2100</v>
      </c>
      <c r="M509" s="109">
        <v>537732800</v>
      </c>
      <c r="N509" s="111"/>
      <c r="O509" s="109">
        <v>7500000</v>
      </c>
      <c r="P509" s="110"/>
      <c r="Q509" s="109">
        <f t="shared" si="38"/>
        <v>545232800</v>
      </c>
      <c r="R509" s="3">
        <v>537732800</v>
      </c>
      <c r="S509" s="5"/>
      <c r="T509" s="72"/>
      <c r="U509" s="5"/>
      <c r="V509" s="5"/>
      <c r="W509" s="28"/>
      <c r="X509" s="28">
        <f t="shared" si="39"/>
        <v>0</v>
      </c>
      <c r="Y509" s="36">
        <f t="shared" si="40"/>
        <v>7500000</v>
      </c>
      <c r="Z509" s="28">
        <f t="shared" si="41"/>
        <v>0</v>
      </c>
      <c r="AA509" s="4"/>
      <c r="AB509" s="40"/>
      <c r="AC509" s="121">
        <f t="shared" si="42"/>
        <v>2</v>
      </c>
      <c r="AD509" s="121"/>
    </row>
    <row r="510" spans="1:30" ht="31.2" x14ac:dyDescent="0.3">
      <c r="A510" s="7" t="s">
        <v>18</v>
      </c>
      <c r="B510" s="6">
        <v>497</v>
      </c>
      <c r="C510" s="7" t="s">
        <v>2020</v>
      </c>
      <c r="D510" s="7" t="s">
        <v>2101</v>
      </c>
      <c r="E510" s="5"/>
      <c r="F510" s="4"/>
      <c r="G510" s="7" t="s">
        <v>2102</v>
      </c>
      <c r="H510" s="5"/>
      <c r="I510" s="5"/>
      <c r="J510" s="7" t="s">
        <v>2103</v>
      </c>
      <c r="K510" s="7" t="s">
        <v>24</v>
      </c>
      <c r="L510" s="7" t="s">
        <v>2104</v>
      </c>
      <c r="M510" s="109">
        <v>642104448</v>
      </c>
      <c r="N510" s="111"/>
      <c r="O510" s="109">
        <v>7500000</v>
      </c>
      <c r="P510" s="110"/>
      <c r="Q510" s="109">
        <f t="shared" si="38"/>
        <v>649604448</v>
      </c>
      <c r="R510" s="3">
        <v>642104448</v>
      </c>
      <c r="S510" s="5"/>
      <c r="T510" s="30">
        <v>7500000</v>
      </c>
      <c r="U510" s="5"/>
      <c r="V510" s="5"/>
      <c r="W510" s="28"/>
      <c r="X510" s="28">
        <f t="shared" si="39"/>
        <v>0</v>
      </c>
      <c r="Y510" s="28">
        <f t="shared" si="40"/>
        <v>0</v>
      </c>
      <c r="Z510" s="28">
        <f t="shared" si="41"/>
        <v>0</v>
      </c>
      <c r="AA510" s="4"/>
      <c r="AB510" s="4"/>
      <c r="AC510">
        <f t="shared" si="42"/>
        <v>2</v>
      </c>
    </row>
    <row r="511" spans="1:30" ht="46.8" x14ac:dyDescent="0.3">
      <c r="A511" s="7" t="s">
        <v>46</v>
      </c>
      <c r="B511" s="6">
        <v>498</v>
      </c>
      <c r="C511" s="7" t="s">
        <v>2020</v>
      </c>
      <c r="D511" s="7" t="s">
        <v>2105</v>
      </c>
      <c r="E511" s="5"/>
      <c r="F511" s="4"/>
      <c r="G511" s="7" t="s">
        <v>2106</v>
      </c>
      <c r="H511" s="5"/>
      <c r="I511" s="5"/>
      <c r="J511" s="7" t="s">
        <v>2107</v>
      </c>
      <c r="K511" s="7" t="s">
        <v>24</v>
      </c>
      <c r="L511" s="7" t="s">
        <v>2108</v>
      </c>
      <c r="M511" s="109">
        <v>3193098044</v>
      </c>
      <c r="N511" s="111"/>
      <c r="O511" s="109">
        <v>15000000</v>
      </c>
      <c r="P511" s="110"/>
      <c r="Q511" s="109">
        <f t="shared" si="38"/>
        <v>3208098044</v>
      </c>
      <c r="R511" s="3">
        <v>3193098044</v>
      </c>
      <c r="S511" s="5"/>
      <c r="T511" s="30">
        <v>15000000</v>
      </c>
      <c r="U511" s="5"/>
      <c r="V511" s="5"/>
      <c r="W511" s="28"/>
      <c r="X511" s="28">
        <f t="shared" si="39"/>
        <v>0</v>
      </c>
      <c r="Y511" s="28">
        <f t="shared" si="40"/>
        <v>0</v>
      </c>
      <c r="Z511" s="28">
        <f t="shared" si="41"/>
        <v>0</v>
      </c>
      <c r="AA511" s="4"/>
      <c r="AB511" s="4"/>
      <c r="AC511">
        <f t="shared" si="42"/>
        <v>2</v>
      </c>
    </row>
    <row r="512" spans="1:30" ht="31.2" x14ac:dyDescent="0.3">
      <c r="A512" s="7" t="s">
        <v>62</v>
      </c>
      <c r="B512" s="6">
        <v>499</v>
      </c>
      <c r="C512" s="7" t="s">
        <v>2020</v>
      </c>
      <c r="D512" s="7" t="s">
        <v>2109</v>
      </c>
      <c r="E512" s="5"/>
      <c r="F512" s="4"/>
      <c r="G512" s="7" t="s">
        <v>2110</v>
      </c>
      <c r="H512" s="5"/>
      <c r="I512" s="5"/>
      <c r="J512" s="7" t="s">
        <v>2111</v>
      </c>
      <c r="K512" s="7" t="s">
        <v>24</v>
      </c>
      <c r="L512" s="7" t="s">
        <v>2112</v>
      </c>
      <c r="M512" s="109">
        <v>1244988472</v>
      </c>
      <c r="N512" s="111"/>
      <c r="O512" s="109">
        <v>7500000</v>
      </c>
      <c r="P512" s="110"/>
      <c r="Q512" s="109">
        <f t="shared" si="38"/>
        <v>1252488472</v>
      </c>
      <c r="R512" s="3">
        <v>1244988472</v>
      </c>
      <c r="S512" s="5"/>
      <c r="T512" s="30">
        <v>7500000</v>
      </c>
      <c r="U512" s="5"/>
      <c r="V512" s="5"/>
      <c r="W512" s="28"/>
      <c r="X512" s="28">
        <f t="shared" si="39"/>
        <v>0</v>
      </c>
      <c r="Y512" s="28">
        <f t="shared" si="40"/>
        <v>0</v>
      </c>
      <c r="Z512" s="28">
        <f t="shared" si="41"/>
        <v>0</v>
      </c>
      <c r="AA512" s="4"/>
      <c r="AB512" s="4"/>
      <c r="AC512">
        <f t="shared" si="42"/>
        <v>2</v>
      </c>
    </row>
    <row r="513" spans="1:30" ht="46.8" x14ac:dyDescent="0.3">
      <c r="A513" s="7" t="s">
        <v>53</v>
      </c>
      <c r="B513" s="6">
        <v>500</v>
      </c>
      <c r="C513" s="7" t="s">
        <v>2020</v>
      </c>
      <c r="D513" s="7" t="s">
        <v>2113</v>
      </c>
      <c r="E513" s="5"/>
      <c r="F513" s="4"/>
      <c r="G513" s="7" t="s">
        <v>2114</v>
      </c>
      <c r="H513" s="5"/>
      <c r="I513" s="5"/>
      <c r="J513" s="7" t="s">
        <v>2115</v>
      </c>
      <c r="K513" s="7" t="s">
        <v>24</v>
      </c>
      <c r="L513" s="7" t="s">
        <v>2116</v>
      </c>
      <c r="M513" s="109">
        <v>2224532404</v>
      </c>
      <c r="N513" s="111"/>
      <c r="O513" s="109">
        <v>15000000</v>
      </c>
      <c r="P513" s="110"/>
      <c r="Q513" s="109">
        <f t="shared" si="38"/>
        <v>2239532404</v>
      </c>
      <c r="R513" s="3">
        <v>2224532404</v>
      </c>
      <c r="S513" s="5"/>
      <c r="T513" s="30">
        <v>15000000</v>
      </c>
      <c r="U513" s="5"/>
      <c r="V513" s="5"/>
      <c r="W513" s="28"/>
      <c r="X513" s="28">
        <f t="shared" si="39"/>
        <v>0</v>
      </c>
      <c r="Y513" s="28">
        <f t="shared" si="40"/>
        <v>0</v>
      </c>
      <c r="Z513" s="28">
        <f t="shared" si="41"/>
        <v>0</v>
      </c>
      <c r="AA513" s="4"/>
      <c r="AB513" s="4"/>
      <c r="AC513">
        <f t="shared" si="42"/>
        <v>2</v>
      </c>
    </row>
    <row r="514" spans="1:30" ht="31.2" x14ac:dyDescent="0.3">
      <c r="A514" s="7" t="s">
        <v>53</v>
      </c>
      <c r="B514" s="6">
        <v>501</v>
      </c>
      <c r="C514" s="7" t="s">
        <v>2020</v>
      </c>
      <c r="D514" s="7" t="s">
        <v>2117</v>
      </c>
      <c r="E514" s="5"/>
      <c r="F514" s="4"/>
      <c r="G514" s="7" t="s">
        <v>2118</v>
      </c>
      <c r="H514" s="5"/>
      <c r="I514" s="5"/>
      <c r="J514" s="7" t="s">
        <v>2119</v>
      </c>
      <c r="K514" s="7" t="s">
        <v>24</v>
      </c>
      <c r="L514" s="7" t="s">
        <v>2120</v>
      </c>
      <c r="M514" s="109">
        <v>3356354008</v>
      </c>
      <c r="N514" s="111"/>
      <c r="O514" s="109">
        <v>15000000</v>
      </c>
      <c r="P514" s="110"/>
      <c r="Q514" s="109">
        <f t="shared" si="38"/>
        <v>3371354008</v>
      </c>
      <c r="R514" s="3">
        <v>3356354008</v>
      </c>
      <c r="S514" s="5"/>
      <c r="T514" s="30">
        <v>15000000</v>
      </c>
      <c r="U514" s="5"/>
      <c r="V514" s="5"/>
      <c r="W514" s="28"/>
      <c r="X514" s="28">
        <f t="shared" si="39"/>
        <v>0</v>
      </c>
      <c r="Y514" s="28">
        <f t="shared" si="40"/>
        <v>0</v>
      </c>
      <c r="Z514" s="28">
        <f t="shared" si="41"/>
        <v>0</v>
      </c>
      <c r="AA514" s="4"/>
      <c r="AB514" s="4"/>
      <c r="AC514">
        <f t="shared" si="42"/>
        <v>2</v>
      </c>
    </row>
    <row r="515" spans="1:30" ht="31.2" x14ac:dyDescent="0.3">
      <c r="A515" s="7" t="s">
        <v>1601</v>
      </c>
      <c r="B515" s="6">
        <v>502</v>
      </c>
      <c r="C515" s="7" t="s">
        <v>2020</v>
      </c>
      <c r="D515" s="7" t="s">
        <v>2121</v>
      </c>
      <c r="E515" s="7" t="s">
        <v>1209</v>
      </c>
      <c r="F515" s="4"/>
      <c r="G515" s="7" t="s">
        <v>2122</v>
      </c>
      <c r="H515" s="7" t="s">
        <v>2123</v>
      </c>
      <c r="I515" s="5"/>
      <c r="J515" s="7" t="s">
        <v>2124</v>
      </c>
      <c r="K515" s="7" t="s">
        <v>24</v>
      </c>
      <c r="L515" s="7" t="s">
        <v>2125</v>
      </c>
      <c r="M515" s="109">
        <v>5266510920</v>
      </c>
      <c r="N515" s="109">
        <v>737485460</v>
      </c>
      <c r="O515" s="109">
        <v>7500000</v>
      </c>
      <c r="P515" s="110"/>
      <c r="Q515" s="109">
        <f t="shared" si="38"/>
        <v>6011496380</v>
      </c>
      <c r="R515" s="3">
        <v>5266510920</v>
      </c>
      <c r="S515" s="3">
        <v>737485460</v>
      </c>
      <c r="T515" s="30">
        <v>7500000</v>
      </c>
      <c r="U515" s="5"/>
      <c r="V515" s="5"/>
      <c r="W515" s="28"/>
      <c r="X515" s="28">
        <f t="shared" si="39"/>
        <v>0</v>
      </c>
      <c r="Y515" s="28">
        <f t="shared" si="40"/>
        <v>0</v>
      </c>
      <c r="Z515" s="28">
        <f t="shared" si="41"/>
        <v>0</v>
      </c>
      <c r="AA515" s="4"/>
      <c r="AB515" s="4"/>
      <c r="AC515">
        <f t="shared" si="42"/>
        <v>2</v>
      </c>
    </row>
    <row r="516" spans="1:30" ht="31.2" x14ac:dyDescent="0.3">
      <c r="A516" s="7" t="s">
        <v>46</v>
      </c>
      <c r="B516" s="6">
        <v>503</v>
      </c>
      <c r="C516" s="7" t="s">
        <v>2020</v>
      </c>
      <c r="D516" s="7" t="s">
        <v>2126</v>
      </c>
      <c r="E516" s="7" t="s">
        <v>3873</v>
      </c>
      <c r="F516" s="40" t="s">
        <v>1162</v>
      </c>
      <c r="G516" s="7" t="s">
        <v>2127</v>
      </c>
      <c r="H516" s="7" t="s">
        <v>3901</v>
      </c>
      <c r="I516" s="7"/>
      <c r="J516" s="7" t="s">
        <v>2128</v>
      </c>
      <c r="K516" s="7" t="s">
        <v>24</v>
      </c>
      <c r="L516" s="7" t="s">
        <v>2129</v>
      </c>
      <c r="M516" s="109">
        <v>6096414328</v>
      </c>
      <c r="N516" s="74">
        <v>570602880</v>
      </c>
      <c r="O516" s="109">
        <v>15000000</v>
      </c>
      <c r="P516" s="112">
        <v>48000000</v>
      </c>
      <c r="Q516" s="109">
        <f t="shared" si="38"/>
        <v>6730017208</v>
      </c>
      <c r="R516" s="5"/>
      <c r="S516" s="7"/>
      <c r="T516" s="72"/>
      <c r="U516" s="5"/>
      <c r="V516" s="5"/>
      <c r="W516" s="28">
        <v>6096414328</v>
      </c>
      <c r="X516" s="36">
        <f t="shared" si="39"/>
        <v>570602880</v>
      </c>
      <c r="Y516" s="36">
        <f t="shared" si="40"/>
        <v>15000000</v>
      </c>
      <c r="Z516" s="28">
        <f t="shared" si="41"/>
        <v>48000000</v>
      </c>
      <c r="AA516" s="10">
        <v>6096414328</v>
      </c>
      <c r="AB516" s="40"/>
      <c r="AC516" s="121">
        <f t="shared" si="42"/>
        <v>2</v>
      </c>
      <c r="AD516" s="121"/>
    </row>
    <row r="517" spans="1:30" ht="31.2" x14ac:dyDescent="0.3">
      <c r="A517" s="7" t="s">
        <v>18</v>
      </c>
      <c r="B517" s="6">
        <v>504</v>
      </c>
      <c r="C517" s="7" t="s">
        <v>2020</v>
      </c>
      <c r="D517" s="7" t="s">
        <v>2130</v>
      </c>
      <c r="E517" s="7"/>
      <c r="F517" s="4"/>
      <c r="G517" s="7" t="s">
        <v>2131</v>
      </c>
      <c r="H517" s="7"/>
      <c r="I517" s="7"/>
      <c r="J517" s="7" t="s">
        <v>2132</v>
      </c>
      <c r="K517" s="7" t="s">
        <v>24</v>
      </c>
      <c r="L517" s="7" t="s">
        <v>2133</v>
      </c>
      <c r="M517" s="109">
        <v>754321600</v>
      </c>
      <c r="N517" s="111"/>
      <c r="O517" s="109">
        <v>15000000</v>
      </c>
      <c r="P517" s="110"/>
      <c r="Q517" s="109">
        <f t="shared" si="38"/>
        <v>769321600</v>
      </c>
      <c r="R517" s="3">
        <v>754321600</v>
      </c>
      <c r="S517" s="5"/>
      <c r="T517" s="72"/>
      <c r="U517" s="5"/>
      <c r="V517" s="5"/>
      <c r="W517" s="28"/>
      <c r="X517" s="28">
        <f t="shared" si="39"/>
        <v>0</v>
      </c>
      <c r="Y517" s="36">
        <f t="shared" si="40"/>
        <v>15000000</v>
      </c>
      <c r="Z517" s="28">
        <f t="shared" si="41"/>
        <v>0</v>
      </c>
      <c r="AA517" s="4"/>
      <c r="AB517" s="40"/>
      <c r="AC517" s="121">
        <f t="shared" si="42"/>
        <v>2</v>
      </c>
      <c r="AD517" s="121"/>
    </row>
    <row r="518" spans="1:30" ht="31.2" x14ac:dyDescent="0.3">
      <c r="A518" s="7" t="s">
        <v>1601</v>
      </c>
      <c r="B518" s="6">
        <v>505</v>
      </c>
      <c r="C518" s="7" t="s">
        <v>2020</v>
      </c>
      <c r="D518" s="7" t="s">
        <v>2134</v>
      </c>
      <c r="E518" s="5"/>
      <c r="F518" s="4"/>
      <c r="G518" s="7" t="s">
        <v>2135</v>
      </c>
      <c r="H518" s="5"/>
      <c r="I518" s="5"/>
      <c r="J518" s="7" t="s">
        <v>2136</v>
      </c>
      <c r="K518" s="7" t="s">
        <v>24</v>
      </c>
      <c r="L518" s="7" t="s">
        <v>2137</v>
      </c>
      <c r="M518" s="109">
        <v>1084083840</v>
      </c>
      <c r="N518" s="111"/>
      <c r="O518" s="109">
        <v>7500000</v>
      </c>
      <c r="P518" s="110"/>
      <c r="Q518" s="109">
        <f t="shared" si="38"/>
        <v>1091583840</v>
      </c>
      <c r="R518" s="3">
        <v>1084083840</v>
      </c>
      <c r="S518" s="5"/>
      <c r="T518" s="30">
        <v>7500000</v>
      </c>
      <c r="U518" s="5"/>
      <c r="V518" s="5"/>
      <c r="W518" s="28"/>
      <c r="X518" s="28">
        <f t="shared" si="39"/>
        <v>0</v>
      </c>
      <c r="Y518" s="28">
        <f t="shared" si="40"/>
        <v>0</v>
      </c>
      <c r="Z518" s="28">
        <f t="shared" si="41"/>
        <v>0</v>
      </c>
      <c r="AA518" s="4"/>
      <c r="AB518" s="4"/>
      <c r="AC518">
        <f t="shared" si="42"/>
        <v>2</v>
      </c>
    </row>
    <row r="519" spans="1:30" ht="78" customHeight="1" x14ac:dyDescent="0.3">
      <c r="A519" s="7" t="s">
        <v>53</v>
      </c>
      <c r="B519" s="6">
        <v>506</v>
      </c>
      <c r="C519" s="7" t="s">
        <v>2020</v>
      </c>
      <c r="D519" s="7" t="s">
        <v>2138</v>
      </c>
      <c r="E519" s="5"/>
      <c r="F519" s="40" t="s">
        <v>3881</v>
      </c>
      <c r="G519" s="7" t="s">
        <v>2140</v>
      </c>
      <c r="H519" s="5"/>
      <c r="I519" s="5"/>
      <c r="J519" s="7" t="s">
        <v>2141</v>
      </c>
      <c r="K519" s="7" t="s">
        <v>24</v>
      </c>
      <c r="L519" s="7" t="s">
        <v>2142</v>
      </c>
      <c r="M519" s="109">
        <v>3890846788</v>
      </c>
      <c r="N519" s="111"/>
      <c r="O519" s="109">
        <v>15000000</v>
      </c>
      <c r="P519" s="112">
        <v>72000000</v>
      </c>
      <c r="Q519" s="109">
        <f t="shared" si="38"/>
        <v>3977846788</v>
      </c>
      <c r="R519" s="3">
        <v>3890846788</v>
      </c>
      <c r="S519" s="5"/>
      <c r="T519" s="30">
        <v>15000000</v>
      </c>
      <c r="U519" s="3">
        <v>72000000</v>
      </c>
      <c r="V519" s="5"/>
      <c r="W519" s="28"/>
      <c r="X519" s="28">
        <f t="shared" si="39"/>
        <v>0</v>
      </c>
      <c r="Y519" s="28">
        <f t="shared" si="40"/>
        <v>0</v>
      </c>
      <c r="Z519" s="28">
        <f t="shared" si="41"/>
        <v>0</v>
      </c>
      <c r="AA519" s="4"/>
      <c r="AB519" s="4"/>
      <c r="AC519">
        <f t="shared" si="42"/>
        <v>2</v>
      </c>
    </row>
    <row r="520" spans="1:30" ht="31.2" x14ac:dyDescent="0.3">
      <c r="A520" s="7" t="s">
        <v>53</v>
      </c>
      <c r="B520" s="6">
        <v>507</v>
      </c>
      <c r="C520" s="7" t="s">
        <v>2020</v>
      </c>
      <c r="D520" s="7" t="s">
        <v>2143</v>
      </c>
      <c r="E520" s="5"/>
      <c r="F520" s="4"/>
      <c r="G520" s="7" t="s">
        <v>2144</v>
      </c>
      <c r="H520" s="5"/>
      <c r="I520" s="5"/>
      <c r="J520" s="7" t="s">
        <v>2145</v>
      </c>
      <c r="K520" s="7" t="s">
        <v>24</v>
      </c>
      <c r="L520" s="7" t="s">
        <v>2146</v>
      </c>
      <c r="M520" s="109">
        <v>4157817700</v>
      </c>
      <c r="N520" s="111"/>
      <c r="O520" s="109">
        <v>15000000</v>
      </c>
      <c r="P520" s="110"/>
      <c r="Q520" s="109">
        <f t="shared" si="38"/>
        <v>4172817700</v>
      </c>
      <c r="R520" s="3">
        <v>4157817700</v>
      </c>
      <c r="S520" s="5"/>
      <c r="T520" s="30">
        <v>15000000</v>
      </c>
      <c r="U520" s="5"/>
      <c r="V520" s="5"/>
      <c r="W520" s="28"/>
      <c r="X520" s="28">
        <f t="shared" si="39"/>
        <v>0</v>
      </c>
      <c r="Y520" s="28">
        <f t="shared" si="40"/>
        <v>0</v>
      </c>
      <c r="Z520" s="28">
        <f t="shared" si="41"/>
        <v>0</v>
      </c>
      <c r="AA520" s="4"/>
      <c r="AB520" s="4"/>
      <c r="AC520">
        <f t="shared" si="42"/>
        <v>2</v>
      </c>
    </row>
    <row r="521" spans="1:30" ht="31.2" x14ac:dyDescent="0.3">
      <c r="A521" s="7" t="s">
        <v>18</v>
      </c>
      <c r="B521" s="6">
        <v>508</v>
      </c>
      <c r="C521" s="7" t="s">
        <v>2020</v>
      </c>
      <c r="D521" s="7" t="s">
        <v>2147</v>
      </c>
      <c r="E521" s="5"/>
      <c r="F521" s="4"/>
      <c r="G521" s="7" t="s">
        <v>2148</v>
      </c>
      <c r="H521" s="5"/>
      <c r="I521" s="5"/>
      <c r="J521" s="7" t="s">
        <v>2149</v>
      </c>
      <c r="K521" s="7" t="s">
        <v>24</v>
      </c>
      <c r="L521" s="7" t="s">
        <v>2150</v>
      </c>
      <c r="M521" s="109">
        <v>2456562500</v>
      </c>
      <c r="N521" s="111"/>
      <c r="O521" s="109">
        <v>15000000</v>
      </c>
      <c r="P521" s="110"/>
      <c r="Q521" s="109">
        <f t="shared" si="38"/>
        <v>2471562500</v>
      </c>
      <c r="R521" s="3">
        <v>2456562500</v>
      </c>
      <c r="S521" s="5"/>
      <c r="T521" s="30">
        <v>15000000</v>
      </c>
      <c r="U521" s="5"/>
      <c r="V521" s="5"/>
      <c r="W521" s="28"/>
      <c r="X521" s="28">
        <f t="shared" si="39"/>
        <v>0</v>
      </c>
      <c r="Y521" s="28">
        <f t="shared" si="40"/>
        <v>0</v>
      </c>
      <c r="Z521" s="28">
        <f t="shared" si="41"/>
        <v>0</v>
      </c>
      <c r="AA521" s="4"/>
      <c r="AB521" s="4"/>
      <c r="AC521">
        <f t="shared" si="42"/>
        <v>2</v>
      </c>
    </row>
    <row r="522" spans="1:30" ht="31.2" x14ac:dyDescent="0.3">
      <c r="A522" s="7" t="s">
        <v>18</v>
      </c>
      <c r="B522" s="6">
        <v>509</v>
      </c>
      <c r="C522" s="7" t="s">
        <v>2020</v>
      </c>
      <c r="D522" s="7" t="s">
        <v>2151</v>
      </c>
      <c r="E522" s="5"/>
      <c r="F522" s="4"/>
      <c r="G522" s="7" t="s">
        <v>2152</v>
      </c>
      <c r="H522" s="5"/>
      <c r="I522" s="5"/>
      <c r="J522" s="7" t="s">
        <v>2153</v>
      </c>
      <c r="K522" s="7" t="s">
        <v>24</v>
      </c>
      <c r="L522" s="7" t="s">
        <v>2154</v>
      </c>
      <c r="M522" s="109">
        <v>6601856928</v>
      </c>
      <c r="N522" s="111"/>
      <c r="O522" s="109">
        <v>7500000</v>
      </c>
      <c r="P522" s="110"/>
      <c r="Q522" s="109">
        <f t="shared" si="38"/>
        <v>6609356928</v>
      </c>
      <c r="R522" s="3">
        <v>6601856928</v>
      </c>
      <c r="S522" s="5"/>
      <c r="T522" s="30">
        <v>7500000</v>
      </c>
      <c r="U522" s="5"/>
      <c r="V522" s="5"/>
      <c r="W522" s="28"/>
      <c r="X522" s="28">
        <f t="shared" si="39"/>
        <v>0</v>
      </c>
      <c r="Y522" s="28">
        <f t="shared" si="40"/>
        <v>0</v>
      </c>
      <c r="Z522" s="28">
        <f t="shared" si="41"/>
        <v>0</v>
      </c>
      <c r="AA522" s="4"/>
      <c r="AB522" s="4"/>
      <c r="AC522">
        <f t="shared" si="42"/>
        <v>2</v>
      </c>
    </row>
    <row r="523" spans="1:30" ht="31.2" x14ac:dyDescent="0.3">
      <c r="A523" s="7" t="s">
        <v>46</v>
      </c>
      <c r="B523" s="6">
        <v>510</v>
      </c>
      <c r="C523" s="7" t="s">
        <v>2020</v>
      </c>
      <c r="D523" s="7" t="s">
        <v>2155</v>
      </c>
      <c r="E523" s="7" t="s">
        <v>2156</v>
      </c>
      <c r="F523" s="4"/>
      <c r="G523" s="7" t="s">
        <v>2157</v>
      </c>
      <c r="H523" s="7" t="s">
        <v>2158</v>
      </c>
      <c r="I523" s="7" t="s">
        <v>28</v>
      </c>
      <c r="J523" s="7" t="s">
        <v>2159</v>
      </c>
      <c r="K523" s="7" t="s">
        <v>24</v>
      </c>
      <c r="L523" s="7" t="s">
        <v>2160</v>
      </c>
      <c r="M523" s="109">
        <v>0</v>
      </c>
      <c r="N523" s="109">
        <v>14059528830</v>
      </c>
      <c r="O523" s="109">
        <v>3750000</v>
      </c>
      <c r="P523" s="110"/>
      <c r="Q523" s="109">
        <f t="shared" si="38"/>
        <v>14063278830</v>
      </c>
      <c r="R523" s="6">
        <v>0</v>
      </c>
      <c r="S523" s="3">
        <v>14059528830</v>
      </c>
      <c r="T523" s="31">
        <v>3750000</v>
      </c>
      <c r="U523" s="5"/>
      <c r="V523" s="5"/>
      <c r="W523" s="28"/>
      <c r="X523" s="28">
        <f t="shared" si="39"/>
        <v>0</v>
      </c>
      <c r="Y523" s="28">
        <f t="shared" si="40"/>
        <v>0</v>
      </c>
      <c r="Z523" s="28">
        <f t="shared" si="41"/>
        <v>0</v>
      </c>
      <c r="AA523" s="4"/>
      <c r="AB523" s="4"/>
      <c r="AC523">
        <f t="shared" si="42"/>
        <v>2</v>
      </c>
    </row>
    <row r="524" spans="1:30" ht="31.2" x14ac:dyDescent="0.3">
      <c r="A524" s="7" t="s">
        <v>53</v>
      </c>
      <c r="B524" s="6">
        <v>511</v>
      </c>
      <c r="C524" s="7" t="s">
        <v>2020</v>
      </c>
      <c r="D524" s="7" t="s">
        <v>2161</v>
      </c>
      <c r="E524" s="5"/>
      <c r="F524" s="40" t="s">
        <v>2162</v>
      </c>
      <c r="G524" s="7" t="s">
        <v>2163</v>
      </c>
      <c r="H524" s="5"/>
      <c r="I524" s="5"/>
      <c r="J524" s="7" t="s">
        <v>2164</v>
      </c>
      <c r="K524" s="7" t="s">
        <v>24</v>
      </c>
      <c r="L524" s="7" t="s">
        <v>2165</v>
      </c>
      <c r="M524" s="109">
        <v>1160551680</v>
      </c>
      <c r="N524" s="111"/>
      <c r="O524" s="109">
        <v>15000000</v>
      </c>
      <c r="P524" s="112">
        <v>24000000</v>
      </c>
      <c r="Q524" s="109">
        <f t="shared" si="38"/>
        <v>1199551680</v>
      </c>
      <c r="R524" s="3">
        <v>1160551680</v>
      </c>
      <c r="S524" s="5"/>
      <c r="T524" s="30">
        <v>15000000</v>
      </c>
      <c r="U524" s="3">
        <v>24000000</v>
      </c>
      <c r="V524" s="5"/>
      <c r="W524" s="28"/>
      <c r="X524" s="28">
        <f t="shared" si="39"/>
        <v>0</v>
      </c>
      <c r="Y524" s="28">
        <f t="shared" si="40"/>
        <v>0</v>
      </c>
      <c r="Z524" s="28">
        <f t="shared" si="41"/>
        <v>0</v>
      </c>
      <c r="AA524" s="4"/>
      <c r="AB524" s="4"/>
      <c r="AC524">
        <f t="shared" si="42"/>
        <v>2</v>
      </c>
    </row>
    <row r="525" spans="1:30" ht="31.2" x14ac:dyDescent="0.3">
      <c r="A525" s="7" t="s">
        <v>53</v>
      </c>
      <c r="B525" s="6">
        <v>512</v>
      </c>
      <c r="C525" s="7" t="s">
        <v>2020</v>
      </c>
      <c r="D525" s="7" t="s">
        <v>2166</v>
      </c>
      <c r="E525" s="7"/>
      <c r="F525" s="40" t="s">
        <v>182</v>
      </c>
      <c r="G525" s="7" t="s">
        <v>2167</v>
      </c>
      <c r="H525" s="7"/>
      <c r="I525" s="7"/>
      <c r="J525" s="7" t="s">
        <v>2168</v>
      </c>
      <c r="K525" s="7" t="s">
        <v>24</v>
      </c>
      <c r="L525" s="7" t="s">
        <v>2169</v>
      </c>
      <c r="M525" s="109">
        <v>15083899760</v>
      </c>
      <c r="N525" s="111"/>
      <c r="O525" s="109">
        <v>15000000</v>
      </c>
      <c r="P525" s="112">
        <v>60000000</v>
      </c>
      <c r="Q525" s="109">
        <f t="shared" si="38"/>
        <v>15158899760</v>
      </c>
      <c r="R525" s="3">
        <v>15083899760</v>
      </c>
      <c r="S525" s="5"/>
      <c r="T525" s="72"/>
      <c r="U525" s="5"/>
      <c r="V525" s="5"/>
      <c r="W525" s="28"/>
      <c r="X525" s="28">
        <f t="shared" si="39"/>
        <v>0</v>
      </c>
      <c r="Y525" s="36">
        <f t="shared" si="40"/>
        <v>15000000</v>
      </c>
      <c r="Z525" s="28">
        <f t="shared" si="41"/>
        <v>60000000</v>
      </c>
      <c r="AA525" s="4"/>
      <c r="AB525" s="40"/>
      <c r="AC525" s="121">
        <f t="shared" si="42"/>
        <v>2</v>
      </c>
      <c r="AD525" s="121"/>
    </row>
    <row r="526" spans="1:30" ht="31.2" x14ac:dyDescent="0.3">
      <c r="A526" s="7" t="s">
        <v>1601</v>
      </c>
      <c r="B526" s="6">
        <v>513</v>
      </c>
      <c r="C526" s="7" t="s">
        <v>2020</v>
      </c>
      <c r="D526" s="7" t="s">
        <v>2170</v>
      </c>
      <c r="E526" s="7"/>
      <c r="F526" s="4"/>
      <c r="G526" s="7" t="s">
        <v>2171</v>
      </c>
      <c r="H526" s="7"/>
      <c r="I526" s="7"/>
      <c r="J526" s="7" t="s">
        <v>2172</v>
      </c>
      <c r="K526" s="7" t="s">
        <v>24</v>
      </c>
      <c r="L526" s="7" t="s">
        <v>2173</v>
      </c>
      <c r="M526" s="109">
        <v>8035637053</v>
      </c>
      <c r="N526" s="111"/>
      <c r="O526" s="109">
        <v>15000000</v>
      </c>
      <c r="P526" s="110"/>
      <c r="Q526" s="109">
        <f t="shared" si="38"/>
        <v>8050637053</v>
      </c>
      <c r="R526" s="5"/>
      <c r="S526" s="5"/>
      <c r="T526" s="72"/>
      <c r="U526" s="5"/>
      <c r="V526" s="5"/>
      <c r="W526" s="28">
        <v>8035637053</v>
      </c>
      <c r="X526" s="28">
        <f t="shared" si="39"/>
        <v>0</v>
      </c>
      <c r="Y526" s="36">
        <f t="shared" si="40"/>
        <v>15000000</v>
      </c>
      <c r="Z526" s="28">
        <f t="shared" si="41"/>
        <v>0</v>
      </c>
      <c r="AA526" s="8">
        <v>8035637053</v>
      </c>
      <c r="AB526" s="40"/>
      <c r="AC526" s="121">
        <f t="shared" si="42"/>
        <v>2</v>
      </c>
      <c r="AD526" s="121"/>
    </row>
    <row r="527" spans="1:30" ht="31.2" x14ac:dyDescent="0.3">
      <c r="A527" s="7" t="s">
        <v>18</v>
      </c>
      <c r="B527" s="6">
        <v>514</v>
      </c>
      <c r="C527" s="7" t="s">
        <v>2020</v>
      </c>
      <c r="D527" s="7" t="s">
        <v>2174</v>
      </c>
      <c r="E527" s="5"/>
      <c r="F527" s="4"/>
      <c r="G527" s="7" t="s">
        <v>2175</v>
      </c>
      <c r="H527" s="5"/>
      <c r="I527" s="5"/>
      <c r="J527" s="7" t="s">
        <v>2176</v>
      </c>
      <c r="K527" s="7" t="s">
        <v>24</v>
      </c>
      <c r="L527" s="7" t="s">
        <v>2150</v>
      </c>
      <c r="M527" s="109">
        <v>3779809872</v>
      </c>
      <c r="N527" s="111"/>
      <c r="O527" s="109">
        <v>15000000</v>
      </c>
      <c r="P527" s="110"/>
      <c r="Q527" s="109">
        <f t="shared" ref="Q527:Q590" si="43">M527+N527+O527+P527</f>
        <v>3794809872</v>
      </c>
      <c r="R527" s="3">
        <v>3779809872</v>
      </c>
      <c r="S527" s="5"/>
      <c r="T527" s="30">
        <v>15000000</v>
      </c>
      <c r="U527" s="5"/>
      <c r="V527" s="5"/>
      <c r="W527" s="28"/>
      <c r="X527" s="28">
        <f t="shared" ref="X527:X590" si="44">N527-S527</f>
        <v>0</v>
      </c>
      <c r="Y527" s="28">
        <f t="shared" ref="Y527:Y590" si="45">O527-T527</f>
        <v>0</v>
      </c>
      <c r="Z527" s="28">
        <f t="shared" ref="Z527:Z590" si="46">P527-U527</f>
        <v>0</v>
      </c>
      <c r="AA527" s="4"/>
      <c r="AB527" s="4"/>
      <c r="AC527">
        <f t="shared" ref="AC527:AC590" si="47">IF(AB527=G527,1,2)</f>
        <v>2</v>
      </c>
    </row>
    <row r="528" spans="1:30" ht="31.2" x14ac:dyDescent="0.3">
      <c r="A528" s="7" t="s">
        <v>62</v>
      </c>
      <c r="B528" s="6">
        <v>515</v>
      </c>
      <c r="C528" s="7" t="s">
        <v>2020</v>
      </c>
      <c r="D528" s="7" t="s">
        <v>2177</v>
      </c>
      <c r="E528" s="7" t="s">
        <v>2178</v>
      </c>
      <c r="F528" s="4"/>
      <c r="G528" s="7" t="s">
        <v>2179</v>
      </c>
      <c r="H528" s="7" t="s">
        <v>2180</v>
      </c>
      <c r="I528" s="5"/>
      <c r="J528" s="7" t="s">
        <v>2181</v>
      </c>
      <c r="K528" s="7" t="s">
        <v>24</v>
      </c>
      <c r="L528" s="7" t="s">
        <v>2182</v>
      </c>
      <c r="M528" s="109">
        <v>8381892826</v>
      </c>
      <c r="N528" s="109">
        <v>2048106900</v>
      </c>
      <c r="O528" s="109">
        <v>15000000</v>
      </c>
      <c r="P528" s="110"/>
      <c r="Q528" s="109">
        <f t="shared" si="43"/>
        <v>10444999726</v>
      </c>
      <c r="R528" s="3">
        <v>8381892826</v>
      </c>
      <c r="S528" s="3">
        <v>2048106900</v>
      </c>
      <c r="T528" s="30">
        <v>15000000</v>
      </c>
      <c r="U528" s="5"/>
      <c r="V528" s="5"/>
      <c r="W528" s="28"/>
      <c r="X528" s="28">
        <f t="shared" si="44"/>
        <v>0</v>
      </c>
      <c r="Y528" s="28">
        <f t="shared" si="45"/>
        <v>0</v>
      </c>
      <c r="Z528" s="28">
        <f t="shared" si="46"/>
        <v>0</v>
      </c>
      <c r="AA528" s="4"/>
      <c r="AB528" s="4"/>
      <c r="AC528">
        <f t="shared" si="47"/>
        <v>2</v>
      </c>
    </row>
    <row r="529" spans="1:30" ht="31.2" x14ac:dyDescent="0.3">
      <c r="A529" s="7" t="s">
        <v>62</v>
      </c>
      <c r="B529" s="6">
        <v>516</v>
      </c>
      <c r="C529" s="7" t="s">
        <v>2020</v>
      </c>
      <c r="D529" s="7" t="s">
        <v>2183</v>
      </c>
      <c r="E529" s="7" t="s">
        <v>3874</v>
      </c>
      <c r="F529" s="4"/>
      <c r="G529" s="7" t="s">
        <v>2184</v>
      </c>
      <c r="H529" s="7" t="s">
        <v>3902</v>
      </c>
      <c r="I529" s="5"/>
      <c r="J529" s="7" t="s">
        <v>2185</v>
      </c>
      <c r="K529" s="7" t="s">
        <v>24</v>
      </c>
      <c r="L529" s="7" t="s">
        <v>2186</v>
      </c>
      <c r="M529" s="109">
        <v>2219205004</v>
      </c>
      <c r="N529" s="74">
        <v>267226114</v>
      </c>
      <c r="O529" s="109">
        <v>7500000</v>
      </c>
      <c r="P529" s="110"/>
      <c r="Q529" s="109">
        <f t="shared" si="43"/>
        <v>2493931118</v>
      </c>
      <c r="R529" s="3">
        <v>2219205004</v>
      </c>
      <c r="S529" s="36">
        <v>267226114</v>
      </c>
      <c r="T529" s="30">
        <v>7500000</v>
      </c>
      <c r="U529" s="5"/>
      <c r="V529" s="5"/>
      <c r="W529" s="28"/>
      <c r="X529" s="36">
        <f t="shared" si="44"/>
        <v>0</v>
      </c>
      <c r="Y529" s="28">
        <f t="shared" si="45"/>
        <v>0</v>
      </c>
      <c r="Z529" s="28">
        <f t="shared" si="46"/>
        <v>0</v>
      </c>
      <c r="AA529" s="40"/>
      <c r="AB529" s="40"/>
      <c r="AC529" s="61">
        <f t="shared" si="47"/>
        <v>2</v>
      </c>
      <c r="AD529" s="61"/>
    </row>
    <row r="530" spans="1:30" ht="31.2" x14ac:dyDescent="0.3">
      <c r="A530" s="7" t="s">
        <v>53</v>
      </c>
      <c r="B530" s="6">
        <v>517</v>
      </c>
      <c r="C530" s="7" t="s">
        <v>2020</v>
      </c>
      <c r="D530" s="7" t="s">
        <v>2187</v>
      </c>
      <c r="E530" s="7" t="s">
        <v>2188</v>
      </c>
      <c r="F530" s="4"/>
      <c r="G530" s="7" t="s">
        <v>2189</v>
      </c>
      <c r="H530" s="7" t="s">
        <v>2190</v>
      </c>
      <c r="I530" s="5"/>
      <c r="J530" s="7" t="s">
        <v>2191</v>
      </c>
      <c r="K530" s="7" t="s">
        <v>24</v>
      </c>
      <c r="L530" s="7" t="s">
        <v>2192</v>
      </c>
      <c r="M530" s="109">
        <v>2003285520</v>
      </c>
      <c r="N530" s="109">
        <v>13015264</v>
      </c>
      <c r="O530" s="109">
        <v>7500000</v>
      </c>
      <c r="P530" s="110"/>
      <c r="Q530" s="109">
        <f t="shared" si="43"/>
        <v>2023800784</v>
      </c>
      <c r="R530" s="3">
        <v>2003285520</v>
      </c>
      <c r="S530" s="28">
        <v>13015264</v>
      </c>
      <c r="T530" s="30">
        <v>7500000</v>
      </c>
      <c r="U530" s="5"/>
      <c r="V530" s="5"/>
      <c r="W530" s="28"/>
      <c r="X530" s="28">
        <f t="shared" si="44"/>
        <v>0</v>
      </c>
      <c r="Y530" s="28">
        <f t="shared" si="45"/>
        <v>0</v>
      </c>
      <c r="Z530" s="28">
        <f t="shared" si="46"/>
        <v>0</v>
      </c>
      <c r="AA530" s="4"/>
      <c r="AB530" s="4"/>
      <c r="AC530">
        <f t="shared" si="47"/>
        <v>2</v>
      </c>
    </row>
    <row r="531" spans="1:30" ht="31.2" x14ac:dyDescent="0.3">
      <c r="A531" s="7" t="s">
        <v>46</v>
      </c>
      <c r="B531" s="6">
        <v>518</v>
      </c>
      <c r="C531" s="7" t="s">
        <v>2020</v>
      </c>
      <c r="D531" s="7" t="s">
        <v>2193</v>
      </c>
      <c r="E531" s="5"/>
      <c r="F531" s="40" t="s">
        <v>691</v>
      </c>
      <c r="G531" s="7" t="s">
        <v>2194</v>
      </c>
      <c r="H531" s="5"/>
      <c r="I531" s="5"/>
      <c r="J531" s="7" t="s">
        <v>2195</v>
      </c>
      <c r="K531" s="7" t="s">
        <v>24</v>
      </c>
      <c r="L531" s="7" t="s">
        <v>2196</v>
      </c>
      <c r="M531" s="109">
        <v>6145577620</v>
      </c>
      <c r="N531" s="111"/>
      <c r="O531" s="109">
        <v>15000000</v>
      </c>
      <c r="P531" s="112">
        <v>38666675</v>
      </c>
      <c r="Q531" s="109">
        <f t="shared" si="43"/>
        <v>6199244295</v>
      </c>
      <c r="R531" s="3">
        <v>6145577620</v>
      </c>
      <c r="S531" s="5"/>
      <c r="T531" s="30">
        <v>15000000</v>
      </c>
      <c r="U531" s="3">
        <v>38666675</v>
      </c>
      <c r="V531" s="5"/>
      <c r="W531" s="28"/>
      <c r="X531" s="28">
        <f t="shared" si="44"/>
        <v>0</v>
      </c>
      <c r="Y531" s="28">
        <f t="shared" si="45"/>
        <v>0</v>
      </c>
      <c r="Z531" s="28">
        <f t="shared" si="46"/>
        <v>0</v>
      </c>
      <c r="AA531" s="4"/>
      <c r="AB531" s="4"/>
      <c r="AC531">
        <f t="shared" si="47"/>
        <v>2</v>
      </c>
    </row>
    <row r="532" spans="1:30" ht="31.2" x14ac:dyDescent="0.3">
      <c r="A532" s="7" t="s">
        <v>1601</v>
      </c>
      <c r="B532" s="6">
        <v>519</v>
      </c>
      <c r="C532" s="7" t="s">
        <v>2020</v>
      </c>
      <c r="D532" s="7" t="s">
        <v>2197</v>
      </c>
      <c r="E532" s="5"/>
      <c r="F532" s="4"/>
      <c r="G532" s="7" t="s">
        <v>2198</v>
      </c>
      <c r="H532" s="5"/>
      <c r="I532" s="5"/>
      <c r="J532" s="7" t="s">
        <v>2199</v>
      </c>
      <c r="K532" s="7" t="s">
        <v>24</v>
      </c>
      <c r="L532" s="7" t="s">
        <v>2200</v>
      </c>
      <c r="M532" s="109">
        <v>3246566830</v>
      </c>
      <c r="N532" s="111"/>
      <c r="O532" s="109">
        <v>15000000</v>
      </c>
      <c r="P532" s="110"/>
      <c r="Q532" s="109">
        <f t="shared" si="43"/>
        <v>3261566830</v>
      </c>
      <c r="R532" s="36">
        <v>3246566830</v>
      </c>
      <c r="S532" s="5"/>
      <c r="T532" s="30">
        <v>15000000</v>
      </c>
      <c r="U532" s="5"/>
      <c r="V532" s="5"/>
      <c r="W532" s="28"/>
      <c r="X532" s="28">
        <f t="shared" si="44"/>
        <v>0</v>
      </c>
      <c r="Y532" s="28">
        <f t="shared" si="45"/>
        <v>0</v>
      </c>
      <c r="Z532" s="28">
        <f t="shared" si="46"/>
        <v>0</v>
      </c>
      <c r="AA532" s="4"/>
      <c r="AB532" s="4"/>
      <c r="AC532">
        <f t="shared" si="47"/>
        <v>2</v>
      </c>
    </row>
    <row r="533" spans="1:30" ht="31.2" x14ac:dyDescent="0.3">
      <c r="A533" s="7" t="s">
        <v>18</v>
      </c>
      <c r="B533" s="6">
        <v>520</v>
      </c>
      <c r="C533" s="7" t="s">
        <v>2020</v>
      </c>
      <c r="D533" s="7" t="s">
        <v>2201</v>
      </c>
      <c r="E533" s="5"/>
      <c r="F533" s="4"/>
      <c r="G533" s="7" t="s">
        <v>2202</v>
      </c>
      <c r="H533" s="5"/>
      <c r="I533" s="5"/>
      <c r="J533" s="7" t="s">
        <v>2203</v>
      </c>
      <c r="K533" s="7" t="s">
        <v>24</v>
      </c>
      <c r="L533" s="7" t="s">
        <v>2204</v>
      </c>
      <c r="M533" s="109">
        <v>223729420</v>
      </c>
      <c r="N533" s="111"/>
      <c r="O533" s="109">
        <v>7500000</v>
      </c>
      <c r="P533" s="110"/>
      <c r="Q533" s="109">
        <f t="shared" si="43"/>
        <v>231229420</v>
      </c>
      <c r="R533" s="9">
        <v>223729420</v>
      </c>
      <c r="S533" s="5"/>
      <c r="T533" s="30">
        <v>7500000</v>
      </c>
      <c r="U533" s="5"/>
      <c r="V533" s="5"/>
      <c r="W533" s="28"/>
      <c r="X533" s="28">
        <f t="shared" si="44"/>
        <v>0</v>
      </c>
      <c r="Y533" s="28">
        <f t="shared" si="45"/>
        <v>0</v>
      </c>
      <c r="Z533" s="28">
        <f t="shared" si="46"/>
        <v>0</v>
      </c>
      <c r="AA533" s="4"/>
      <c r="AB533" s="4"/>
      <c r="AC533">
        <f t="shared" si="47"/>
        <v>2</v>
      </c>
    </row>
    <row r="534" spans="1:30" ht="31.2" x14ac:dyDescent="0.3">
      <c r="A534" s="7" t="s">
        <v>18</v>
      </c>
      <c r="B534" s="6">
        <v>521</v>
      </c>
      <c r="C534" s="7" t="s">
        <v>2020</v>
      </c>
      <c r="D534" s="7" t="s">
        <v>2205</v>
      </c>
      <c r="E534" s="5"/>
      <c r="F534" s="4"/>
      <c r="G534" s="7" t="s">
        <v>2206</v>
      </c>
      <c r="H534" s="5"/>
      <c r="I534" s="5"/>
      <c r="J534" s="7" t="s">
        <v>2207</v>
      </c>
      <c r="K534" s="7" t="s">
        <v>24</v>
      </c>
      <c r="L534" s="7" t="s">
        <v>2208</v>
      </c>
      <c r="M534" s="109">
        <v>1285007664</v>
      </c>
      <c r="N534" s="111"/>
      <c r="O534" s="109">
        <v>7500000</v>
      </c>
      <c r="P534" s="110"/>
      <c r="Q534" s="109">
        <f t="shared" si="43"/>
        <v>1292507664</v>
      </c>
      <c r="R534" s="3">
        <v>1285007664</v>
      </c>
      <c r="S534" s="5"/>
      <c r="T534" s="30">
        <v>7500000</v>
      </c>
      <c r="U534" s="5"/>
      <c r="V534" s="5"/>
      <c r="W534" s="28"/>
      <c r="X534" s="28">
        <f t="shared" si="44"/>
        <v>0</v>
      </c>
      <c r="Y534" s="28">
        <f t="shared" si="45"/>
        <v>0</v>
      </c>
      <c r="Z534" s="28">
        <f t="shared" si="46"/>
        <v>0</v>
      </c>
      <c r="AA534" s="4"/>
      <c r="AB534" s="4"/>
      <c r="AC534">
        <f t="shared" si="47"/>
        <v>2</v>
      </c>
    </row>
    <row r="535" spans="1:30" ht="31.2" x14ac:dyDescent="0.3">
      <c r="A535" s="7" t="s">
        <v>1601</v>
      </c>
      <c r="B535" s="6">
        <v>522</v>
      </c>
      <c r="C535" s="7" t="s">
        <v>2020</v>
      </c>
      <c r="D535" s="7" t="s">
        <v>2209</v>
      </c>
      <c r="E535" s="5"/>
      <c r="F535" s="4"/>
      <c r="G535" s="7" t="s">
        <v>2210</v>
      </c>
      <c r="H535" s="5"/>
      <c r="I535" s="5"/>
      <c r="J535" s="7" t="s">
        <v>780</v>
      </c>
      <c r="K535" s="7" t="s">
        <v>24</v>
      </c>
      <c r="L535" s="7" t="s">
        <v>2211</v>
      </c>
      <c r="M535" s="109">
        <v>5627434044</v>
      </c>
      <c r="N535" s="111"/>
      <c r="O535" s="109">
        <v>7500000</v>
      </c>
      <c r="P535" s="110"/>
      <c r="Q535" s="109">
        <f t="shared" si="43"/>
        <v>5634934044</v>
      </c>
      <c r="R535" s="36">
        <v>5627434044</v>
      </c>
      <c r="S535" s="5"/>
      <c r="T535" s="30">
        <v>7500000</v>
      </c>
      <c r="U535" s="5"/>
      <c r="V535" s="5"/>
      <c r="W535" s="28"/>
      <c r="X535" s="28">
        <f t="shared" si="44"/>
        <v>0</v>
      </c>
      <c r="Y535" s="28">
        <f t="shared" si="45"/>
        <v>0</v>
      </c>
      <c r="Z535" s="28">
        <f t="shared" si="46"/>
        <v>0</v>
      </c>
      <c r="AA535" s="4"/>
      <c r="AB535" s="4"/>
      <c r="AC535">
        <f t="shared" si="47"/>
        <v>2</v>
      </c>
    </row>
    <row r="536" spans="1:30" ht="31.2" x14ac:dyDescent="0.3">
      <c r="A536" s="7" t="s">
        <v>18</v>
      </c>
      <c r="B536" s="6">
        <v>523</v>
      </c>
      <c r="C536" s="7" t="s">
        <v>2020</v>
      </c>
      <c r="D536" s="7" t="s">
        <v>2212</v>
      </c>
      <c r="E536" s="5"/>
      <c r="F536" s="4"/>
      <c r="G536" s="7" t="s">
        <v>2213</v>
      </c>
      <c r="H536" s="5"/>
      <c r="I536" s="5"/>
      <c r="J536" s="7" t="s">
        <v>2214</v>
      </c>
      <c r="K536" s="7" t="s">
        <v>24</v>
      </c>
      <c r="L536" s="7" t="s">
        <v>2215</v>
      </c>
      <c r="M536" s="109">
        <v>538201300</v>
      </c>
      <c r="N536" s="111"/>
      <c r="O536" s="109">
        <v>7500000</v>
      </c>
      <c r="P536" s="110"/>
      <c r="Q536" s="109">
        <f t="shared" si="43"/>
        <v>545701300</v>
      </c>
      <c r="R536" s="3">
        <v>538201300</v>
      </c>
      <c r="S536" s="5"/>
      <c r="T536" s="30">
        <v>7500000</v>
      </c>
      <c r="U536" s="5"/>
      <c r="V536" s="5"/>
      <c r="W536" s="28"/>
      <c r="X536" s="28">
        <f t="shared" si="44"/>
        <v>0</v>
      </c>
      <c r="Y536" s="28">
        <f t="shared" si="45"/>
        <v>0</v>
      </c>
      <c r="Z536" s="28">
        <f t="shared" si="46"/>
        <v>0</v>
      </c>
      <c r="AA536" s="4"/>
      <c r="AB536" s="4"/>
      <c r="AC536">
        <f t="shared" si="47"/>
        <v>2</v>
      </c>
    </row>
    <row r="537" spans="1:30" ht="31.2" x14ac:dyDescent="0.3">
      <c r="A537" s="7" t="s">
        <v>53</v>
      </c>
      <c r="B537" s="6">
        <v>524</v>
      </c>
      <c r="C537" s="7" t="s">
        <v>2020</v>
      </c>
      <c r="D537" s="7" t="s">
        <v>2216</v>
      </c>
      <c r="E537" s="7"/>
      <c r="F537" s="4"/>
      <c r="G537" s="7" t="s">
        <v>2217</v>
      </c>
      <c r="H537" s="7"/>
      <c r="I537" s="7"/>
      <c r="J537" s="7" t="s">
        <v>2218</v>
      </c>
      <c r="K537" s="7" t="s">
        <v>24</v>
      </c>
      <c r="L537" s="7" t="s">
        <v>2219</v>
      </c>
      <c r="M537" s="109">
        <v>10000000</v>
      </c>
      <c r="N537" s="111"/>
      <c r="O537" s="109">
        <v>15000000</v>
      </c>
      <c r="P537" s="110"/>
      <c r="Q537" s="109">
        <f t="shared" si="43"/>
        <v>25000000</v>
      </c>
      <c r="R537" s="5"/>
      <c r="S537" s="5"/>
      <c r="T537" s="72"/>
      <c r="U537" s="5"/>
      <c r="V537" s="5"/>
      <c r="W537" s="28">
        <v>10000000</v>
      </c>
      <c r="X537" s="28">
        <f t="shared" si="44"/>
        <v>0</v>
      </c>
      <c r="Y537" s="36">
        <f t="shared" si="45"/>
        <v>15000000</v>
      </c>
      <c r="Z537" s="28">
        <f t="shared" si="46"/>
        <v>0</v>
      </c>
      <c r="AA537" s="10">
        <v>10000000</v>
      </c>
      <c r="AB537" s="40"/>
      <c r="AC537" s="121">
        <f t="shared" si="47"/>
        <v>2</v>
      </c>
      <c r="AD537" s="121"/>
    </row>
    <row r="538" spans="1:30" ht="31.2" x14ac:dyDescent="0.3">
      <c r="A538" s="7" t="s">
        <v>62</v>
      </c>
      <c r="B538" s="6">
        <v>525</v>
      </c>
      <c r="C538" s="7" t="s">
        <v>2020</v>
      </c>
      <c r="D538" s="7" t="s">
        <v>2220</v>
      </c>
      <c r="E538" s="5"/>
      <c r="F538" s="4"/>
      <c r="G538" s="7" t="s">
        <v>2221</v>
      </c>
      <c r="H538" s="5"/>
      <c r="I538" s="5"/>
      <c r="J538" s="7" t="s">
        <v>2222</v>
      </c>
      <c r="K538" s="7" t="s">
        <v>24</v>
      </c>
      <c r="L538" s="7" t="s">
        <v>2223</v>
      </c>
      <c r="M538" s="109">
        <v>4378292398</v>
      </c>
      <c r="N538" s="111"/>
      <c r="O538" s="109">
        <v>15000000</v>
      </c>
      <c r="P538" s="110"/>
      <c r="Q538" s="109">
        <f t="shared" si="43"/>
        <v>4393292398</v>
      </c>
      <c r="R538" s="3">
        <v>4378292398</v>
      </c>
      <c r="S538" s="5"/>
      <c r="T538" s="30">
        <v>15000000</v>
      </c>
      <c r="U538" s="5"/>
      <c r="V538" s="5"/>
      <c r="W538" s="28"/>
      <c r="X538" s="28">
        <f t="shared" si="44"/>
        <v>0</v>
      </c>
      <c r="Y538" s="28">
        <f t="shared" si="45"/>
        <v>0</v>
      </c>
      <c r="Z538" s="28">
        <f t="shared" si="46"/>
        <v>0</v>
      </c>
      <c r="AA538" s="4"/>
      <c r="AB538" s="4"/>
      <c r="AC538">
        <f t="shared" si="47"/>
        <v>2</v>
      </c>
    </row>
    <row r="539" spans="1:30" ht="31.2" x14ac:dyDescent="0.3">
      <c r="A539" s="7" t="s">
        <v>62</v>
      </c>
      <c r="B539" s="6">
        <v>526</v>
      </c>
      <c r="C539" s="7" t="s">
        <v>2020</v>
      </c>
      <c r="D539" s="7" t="s">
        <v>2224</v>
      </c>
      <c r="E539" s="7" t="s">
        <v>2225</v>
      </c>
      <c r="F539" s="4"/>
      <c r="G539" s="7" t="s">
        <v>2226</v>
      </c>
      <c r="H539" s="7" t="s">
        <v>2227</v>
      </c>
      <c r="I539" s="5"/>
      <c r="J539" s="7" t="s">
        <v>2228</v>
      </c>
      <c r="K539" s="7" t="s">
        <v>24</v>
      </c>
      <c r="L539" s="7" t="s">
        <v>2229</v>
      </c>
      <c r="M539" s="109">
        <v>2656684480</v>
      </c>
      <c r="N539" s="109">
        <v>485244740</v>
      </c>
      <c r="O539" s="109">
        <v>15000000</v>
      </c>
      <c r="P539" s="110"/>
      <c r="Q539" s="109">
        <f t="shared" si="43"/>
        <v>3156929220</v>
      </c>
      <c r="R539" s="3">
        <v>2656684480</v>
      </c>
      <c r="S539" s="3">
        <v>485244740</v>
      </c>
      <c r="T539" s="30">
        <v>15000000</v>
      </c>
      <c r="U539" s="5"/>
      <c r="V539" s="5"/>
      <c r="W539" s="28"/>
      <c r="X539" s="28">
        <f t="shared" si="44"/>
        <v>0</v>
      </c>
      <c r="Y539" s="28">
        <f t="shared" si="45"/>
        <v>0</v>
      </c>
      <c r="Z539" s="28">
        <f t="shared" si="46"/>
        <v>0</v>
      </c>
      <c r="AA539" s="4"/>
      <c r="AB539" s="4"/>
      <c r="AC539">
        <f t="shared" si="47"/>
        <v>2</v>
      </c>
    </row>
    <row r="540" spans="1:30" ht="31.2" x14ac:dyDescent="0.3">
      <c r="A540" s="7" t="s">
        <v>62</v>
      </c>
      <c r="B540" s="6">
        <v>527</v>
      </c>
      <c r="C540" s="7" t="s">
        <v>2020</v>
      </c>
      <c r="D540" s="7" t="s">
        <v>2230</v>
      </c>
      <c r="E540" s="5"/>
      <c r="F540" s="4"/>
      <c r="G540" s="7" t="s">
        <v>2231</v>
      </c>
      <c r="H540" s="5"/>
      <c r="I540" s="5"/>
      <c r="J540" s="7" t="s">
        <v>2232</v>
      </c>
      <c r="K540" s="7" t="s">
        <v>24</v>
      </c>
      <c r="L540" s="7" t="s">
        <v>2233</v>
      </c>
      <c r="M540" s="109">
        <v>4868496144</v>
      </c>
      <c r="N540" s="111"/>
      <c r="O540" s="109">
        <v>15000000</v>
      </c>
      <c r="P540" s="110"/>
      <c r="Q540" s="109">
        <f t="shared" si="43"/>
        <v>4883496144</v>
      </c>
      <c r="R540" s="3">
        <v>4868496144</v>
      </c>
      <c r="S540" s="5"/>
      <c r="T540" s="30">
        <v>15000000</v>
      </c>
      <c r="U540" s="5"/>
      <c r="V540" s="5"/>
      <c r="W540" s="28"/>
      <c r="X540" s="28">
        <f t="shared" si="44"/>
        <v>0</v>
      </c>
      <c r="Y540" s="28">
        <f t="shared" si="45"/>
        <v>0</v>
      </c>
      <c r="Z540" s="28">
        <f t="shared" si="46"/>
        <v>0</v>
      </c>
      <c r="AA540" s="4"/>
      <c r="AB540" s="4"/>
      <c r="AC540">
        <f t="shared" si="47"/>
        <v>2</v>
      </c>
    </row>
    <row r="541" spans="1:30" ht="31.2" x14ac:dyDescent="0.3">
      <c r="A541" s="7" t="s">
        <v>46</v>
      </c>
      <c r="B541" s="6">
        <v>528</v>
      </c>
      <c r="C541" s="7" t="s">
        <v>2020</v>
      </c>
      <c r="D541" s="7" t="s">
        <v>2234</v>
      </c>
      <c r="E541" s="4"/>
      <c r="F541" s="40" t="s">
        <v>378</v>
      </c>
      <c r="G541" s="7" t="s">
        <v>2235</v>
      </c>
      <c r="H541" s="5"/>
      <c r="I541" s="5"/>
      <c r="J541" s="7" t="s">
        <v>2236</v>
      </c>
      <c r="K541" s="7" t="s">
        <v>24</v>
      </c>
      <c r="L541" s="7" t="s">
        <v>2237</v>
      </c>
      <c r="M541" s="109">
        <v>4199771950</v>
      </c>
      <c r="N541" s="111"/>
      <c r="O541" s="109">
        <v>15000000</v>
      </c>
      <c r="P541" s="112">
        <v>144000000</v>
      </c>
      <c r="Q541" s="109">
        <f t="shared" si="43"/>
        <v>4358771950</v>
      </c>
      <c r="R541" s="3">
        <v>4199771950</v>
      </c>
      <c r="S541" s="5"/>
      <c r="T541" s="30">
        <v>15000000</v>
      </c>
      <c r="U541" s="3">
        <v>144000000</v>
      </c>
      <c r="V541" s="5"/>
      <c r="W541" s="28"/>
      <c r="X541" s="28">
        <f t="shared" si="44"/>
        <v>0</v>
      </c>
      <c r="Y541" s="28">
        <f t="shared" si="45"/>
        <v>0</v>
      </c>
      <c r="Z541" s="28">
        <f t="shared" si="46"/>
        <v>0</v>
      </c>
      <c r="AA541" s="4"/>
      <c r="AB541" s="4"/>
      <c r="AC541">
        <f t="shared" si="47"/>
        <v>2</v>
      </c>
    </row>
    <row r="542" spans="1:30" ht="31.2" x14ac:dyDescent="0.3">
      <c r="A542" s="7" t="s">
        <v>1601</v>
      </c>
      <c r="B542" s="6">
        <v>529</v>
      </c>
      <c r="C542" s="7" t="s">
        <v>2020</v>
      </c>
      <c r="D542" s="7" t="s">
        <v>2238</v>
      </c>
      <c r="E542" s="4"/>
      <c r="F542" s="4"/>
      <c r="G542" s="7" t="s">
        <v>2239</v>
      </c>
      <c r="H542" s="5"/>
      <c r="I542" s="5"/>
      <c r="J542" s="7" t="s">
        <v>2240</v>
      </c>
      <c r="K542" s="7" t="s">
        <v>24</v>
      </c>
      <c r="L542" s="7" t="s">
        <v>2241</v>
      </c>
      <c r="M542" s="109">
        <v>4858859695</v>
      </c>
      <c r="N542" s="111"/>
      <c r="O542" s="109">
        <v>15000000</v>
      </c>
      <c r="P542" s="110"/>
      <c r="Q542" s="109">
        <f t="shared" si="43"/>
        <v>4873859695</v>
      </c>
      <c r="R542" s="36">
        <v>4858859695</v>
      </c>
      <c r="S542" s="5"/>
      <c r="T542" s="30">
        <v>15000000</v>
      </c>
      <c r="U542" s="5"/>
      <c r="V542" s="5"/>
      <c r="W542" s="28"/>
      <c r="X542" s="28">
        <f t="shared" si="44"/>
        <v>0</v>
      </c>
      <c r="Y542" s="28">
        <f t="shared" si="45"/>
        <v>0</v>
      </c>
      <c r="Z542" s="28">
        <f t="shared" si="46"/>
        <v>0</v>
      </c>
      <c r="AA542" s="4"/>
      <c r="AB542" s="4"/>
      <c r="AC542">
        <f t="shared" si="47"/>
        <v>2</v>
      </c>
    </row>
    <row r="543" spans="1:30" ht="31.2" x14ac:dyDescent="0.3">
      <c r="A543" s="7" t="s">
        <v>46</v>
      </c>
      <c r="B543" s="6">
        <v>530</v>
      </c>
      <c r="C543" s="7" t="s">
        <v>2020</v>
      </c>
      <c r="D543" s="7" t="s">
        <v>2242</v>
      </c>
      <c r="E543" s="4"/>
      <c r="F543" s="40" t="s">
        <v>378</v>
      </c>
      <c r="G543" s="7" t="s">
        <v>2243</v>
      </c>
      <c r="H543" s="5"/>
      <c r="I543" s="5"/>
      <c r="J543" s="7" t="s">
        <v>2244</v>
      </c>
      <c r="K543" s="7" t="s">
        <v>24</v>
      </c>
      <c r="L543" s="7" t="s">
        <v>2245</v>
      </c>
      <c r="M543" s="109">
        <v>4879415244</v>
      </c>
      <c r="N543" s="111"/>
      <c r="O543" s="109">
        <v>15000000</v>
      </c>
      <c r="P543" s="112">
        <v>72000000</v>
      </c>
      <c r="Q543" s="109">
        <f t="shared" si="43"/>
        <v>4966415244</v>
      </c>
      <c r="R543" s="3">
        <v>4879415244</v>
      </c>
      <c r="S543" s="5"/>
      <c r="T543" s="30">
        <v>15000000</v>
      </c>
      <c r="U543" s="3">
        <v>72000000</v>
      </c>
      <c r="V543" s="5"/>
      <c r="W543" s="28"/>
      <c r="X543" s="28">
        <f t="shared" si="44"/>
        <v>0</v>
      </c>
      <c r="Y543" s="28">
        <f t="shared" si="45"/>
        <v>0</v>
      </c>
      <c r="Z543" s="28">
        <f t="shared" si="46"/>
        <v>0</v>
      </c>
      <c r="AA543" s="4"/>
      <c r="AB543" s="4"/>
      <c r="AC543">
        <f t="shared" si="47"/>
        <v>2</v>
      </c>
    </row>
    <row r="544" spans="1:30" ht="31.2" x14ac:dyDescent="0.3">
      <c r="A544" s="7" t="s">
        <v>62</v>
      </c>
      <c r="B544" s="6">
        <v>531</v>
      </c>
      <c r="C544" s="7" t="s">
        <v>2020</v>
      </c>
      <c r="D544" s="7" t="s">
        <v>2246</v>
      </c>
      <c r="E544" s="5"/>
      <c r="F544" s="4"/>
      <c r="G544" s="7" t="s">
        <v>2247</v>
      </c>
      <c r="H544" s="5"/>
      <c r="I544" s="5"/>
      <c r="J544" s="7" t="s">
        <v>2248</v>
      </c>
      <c r="K544" s="7" t="s">
        <v>24</v>
      </c>
      <c r="L544" s="7" t="s">
        <v>2249</v>
      </c>
      <c r="M544" s="109">
        <v>31202908807</v>
      </c>
      <c r="N544" s="111"/>
      <c r="O544" s="109">
        <v>15000000</v>
      </c>
      <c r="P544" s="110"/>
      <c r="Q544" s="109">
        <f t="shared" si="43"/>
        <v>31217908807</v>
      </c>
      <c r="R544" s="3">
        <v>31202908807</v>
      </c>
      <c r="S544" s="5"/>
      <c r="T544" s="30">
        <v>15000000</v>
      </c>
      <c r="U544" s="5"/>
      <c r="V544" s="5"/>
      <c r="W544" s="28"/>
      <c r="X544" s="28">
        <f t="shared" si="44"/>
        <v>0</v>
      </c>
      <c r="Y544" s="28">
        <f t="shared" si="45"/>
        <v>0</v>
      </c>
      <c r="Z544" s="28">
        <f t="shared" si="46"/>
        <v>0</v>
      </c>
      <c r="AA544" s="4"/>
      <c r="AB544" s="4"/>
      <c r="AC544">
        <f t="shared" si="47"/>
        <v>2</v>
      </c>
    </row>
    <row r="545" spans="1:30" ht="31.2" x14ac:dyDescent="0.3">
      <c r="A545" s="7" t="s">
        <v>62</v>
      </c>
      <c r="B545" s="6">
        <v>532</v>
      </c>
      <c r="C545" s="7" t="s">
        <v>2250</v>
      </c>
      <c r="D545" s="7" t="s">
        <v>2251</v>
      </c>
      <c r="E545" s="5"/>
      <c r="F545" s="4"/>
      <c r="G545" s="7" t="s">
        <v>2252</v>
      </c>
      <c r="H545" s="5"/>
      <c r="I545" s="7" t="s">
        <v>1707</v>
      </c>
      <c r="J545" s="7" t="s">
        <v>2253</v>
      </c>
      <c r="K545" s="7" t="s">
        <v>24</v>
      </c>
      <c r="L545" s="7" t="s">
        <v>2254</v>
      </c>
      <c r="M545" s="114">
        <v>8812588488</v>
      </c>
      <c r="N545" s="111"/>
      <c r="O545" s="114">
        <v>15000000</v>
      </c>
      <c r="P545" s="110"/>
      <c r="Q545" s="109">
        <f t="shared" si="43"/>
        <v>8827588488</v>
      </c>
      <c r="R545" s="14">
        <v>8812588488</v>
      </c>
      <c r="S545" s="5"/>
      <c r="T545" s="33">
        <v>15000000</v>
      </c>
      <c r="U545" s="5"/>
      <c r="V545" s="5"/>
      <c r="W545" s="28"/>
      <c r="X545" s="28">
        <f t="shared" si="44"/>
        <v>0</v>
      </c>
      <c r="Y545" s="28">
        <f t="shared" si="45"/>
        <v>0</v>
      </c>
      <c r="Z545" s="28">
        <f t="shared" si="46"/>
        <v>0</v>
      </c>
      <c r="AA545" s="4"/>
      <c r="AB545" s="4"/>
      <c r="AC545">
        <f t="shared" si="47"/>
        <v>2</v>
      </c>
    </row>
    <row r="546" spans="1:30" ht="31.2" x14ac:dyDescent="0.3">
      <c r="A546" s="7" t="s">
        <v>1601</v>
      </c>
      <c r="B546" s="6">
        <v>533</v>
      </c>
      <c r="C546" s="7" t="s">
        <v>2250</v>
      </c>
      <c r="D546" s="7" t="s">
        <v>2255</v>
      </c>
      <c r="E546" s="5"/>
      <c r="F546" s="4"/>
      <c r="G546" s="7" t="s">
        <v>2256</v>
      </c>
      <c r="H546" s="5"/>
      <c r="I546" s="7" t="s">
        <v>1707</v>
      </c>
      <c r="J546" s="7" t="s">
        <v>2257</v>
      </c>
      <c r="K546" s="7" t="s">
        <v>24</v>
      </c>
      <c r="L546" s="7" t="s">
        <v>2258</v>
      </c>
      <c r="M546" s="114">
        <v>4149891920</v>
      </c>
      <c r="N546" s="111"/>
      <c r="O546" s="114">
        <v>15000000</v>
      </c>
      <c r="P546" s="110"/>
      <c r="Q546" s="109">
        <f t="shared" si="43"/>
        <v>4164891920</v>
      </c>
      <c r="R546" s="36">
        <v>4149891920</v>
      </c>
      <c r="S546" s="5"/>
      <c r="T546" s="30">
        <v>15000000</v>
      </c>
      <c r="U546" s="5"/>
      <c r="V546" s="5"/>
      <c r="W546" s="28"/>
      <c r="X546" s="28">
        <f t="shared" si="44"/>
        <v>0</v>
      </c>
      <c r="Y546" s="28">
        <f t="shared" si="45"/>
        <v>0</v>
      </c>
      <c r="Z546" s="28">
        <f t="shared" si="46"/>
        <v>0</v>
      </c>
      <c r="AA546" s="4"/>
      <c r="AB546" s="4"/>
      <c r="AC546">
        <f t="shared" si="47"/>
        <v>2</v>
      </c>
    </row>
    <row r="547" spans="1:30" ht="31.2" x14ac:dyDescent="0.4">
      <c r="A547" s="7" t="s">
        <v>46</v>
      </c>
      <c r="B547" s="6">
        <v>534</v>
      </c>
      <c r="C547" s="7" t="s">
        <v>2250</v>
      </c>
      <c r="D547" s="7" t="s">
        <v>2259</v>
      </c>
      <c r="E547" s="7"/>
      <c r="F547" s="4"/>
      <c r="G547" s="7" t="s">
        <v>2260</v>
      </c>
      <c r="H547" s="7"/>
      <c r="I547" s="7" t="s">
        <v>1707</v>
      </c>
      <c r="J547" s="7" t="s">
        <v>2261</v>
      </c>
      <c r="K547" s="7" t="s">
        <v>24</v>
      </c>
      <c r="L547" s="7" t="s">
        <v>2219</v>
      </c>
      <c r="M547" s="114">
        <v>10000000</v>
      </c>
      <c r="N547" s="111"/>
      <c r="O547" s="109">
        <v>7500000</v>
      </c>
      <c r="P547" s="110"/>
      <c r="Q547" s="109">
        <f t="shared" si="43"/>
        <v>17500000</v>
      </c>
      <c r="R547" s="5"/>
      <c r="S547" s="5"/>
      <c r="T547" s="72"/>
      <c r="U547" s="5"/>
      <c r="V547" s="5"/>
      <c r="W547" s="28">
        <v>10000000</v>
      </c>
      <c r="X547" s="28">
        <f t="shared" si="44"/>
        <v>0</v>
      </c>
      <c r="Y547" s="36">
        <f t="shared" si="45"/>
        <v>7500000</v>
      </c>
      <c r="Z547" s="28">
        <f t="shared" si="46"/>
        <v>0</v>
      </c>
      <c r="AA547" s="16">
        <v>10000000</v>
      </c>
      <c r="AB547" s="40"/>
      <c r="AC547" s="121">
        <f t="shared" si="47"/>
        <v>2</v>
      </c>
      <c r="AD547" s="121"/>
    </row>
    <row r="548" spans="1:30" ht="31.2" x14ac:dyDescent="0.3">
      <c r="A548" s="7" t="s">
        <v>46</v>
      </c>
      <c r="B548" s="6">
        <v>535</v>
      </c>
      <c r="C548" s="7" t="s">
        <v>2250</v>
      </c>
      <c r="D548" s="7" t="s">
        <v>2262</v>
      </c>
      <c r="E548" s="7" t="s">
        <v>2188</v>
      </c>
      <c r="F548" s="4"/>
      <c r="G548" s="7" t="s">
        <v>2263</v>
      </c>
      <c r="H548" s="7" t="s">
        <v>2264</v>
      </c>
      <c r="I548" s="7" t="s">
        <v>1707</v>
      </c>
      <c r="J548" s="7" t="s">
        <v>2265</v>
      </c>
      <c r="K548" s="7" t="s">
        <v>24</v>
      </c>
      <c r="L548" s="7" t="s">
        <v>2266</v>
      </c>
      <c r="M548" s="114">
        <v>1379679648</v>
      </c>
      <c r="N548" s="109">
        <v>3820831</v>
      </c>
      <c r="O548" s="114">
        <v>7500000</v>
      </c>
      <c r="P548" s="110"/>
      <c r="Q548" s="109">
        <f t="shared" si="43"/>
        <v>1391000479</v>
      </c>
      <c r="R548" s="14">
        <v>1379679648</v>
      </c>
      <c r="S548" s="3">
        <v>3820831</v>
      </c>
      <c r="T548" s="30">
        <v>7500000</v>
      </c>
      <c r="U548" s="5"/>
      <c r="V548" s="5"/>
      <c r="W548" s="28"/>
      <c r="X548" s="28">
        <f t="shared" si="44"/>
        <v>0</v>
      </c>
      <c r="Y548" s="28">
        <f t="shared" si="45"/>
        <v>0</v>
      </c>
      <c r="Z548" s="28">
        <f t="shared" si="46"/>
        <v>0</v>
      </c>
      <c r="AA548" s="4"/>
      <c r="AB548" s="4"/>
      <c r="AC548">
        <f t="shared" si="47"/>
        <v>2</v>
      </c>
    </row>
    <row r="549" spans="1:30" ht="31.2" x14ac:dyDescent="0.3">
      <c r="A549" s="7" t="s">
        <v>46</v>
      </c>
      <c r="B549" s="6">
        <v>536</v>
      </c>
      <c r="C549" s="7" t="s">
        <v>2250</v>
      </c>
      <c r="D549" s="7" t="s">
        <v>2267</v>
      </c>
      <c r="E549" s="7" t="s">
        <v>2268</v>
      </c>
      <c r="F549" s="4"/>
      <c r="G549" s="7" t="s">
        <v>2269</v>
      </c>
      <c r="H549" s="7" t="s">
        <v>2270</v>
      </c>
      <c r="I549" s="7" t="s">
        <v>1707</v>
      </c>
      <c r="J549" s="7" t="s">
        <v>2271</v>
      </c>
      <c r="K549" s="7" t="s">
        <v>24</v>
      </c>
      <c r="L549" s="7" t="s">
        <v>2272</v>
      </c>
      <c r="M549" s="109">
        <v>5979511743</v>
      </c>
      <c r="N549" s="109">
        <v>745875</v>
      </c>
      <c r="O549" s="114">
        <v>7500000</v>
      </c>
      <c r="P549" s="110"/>
      <c r="Q549" s="109">
        <f t="shared" si="43"/>
        <v>5987757618</v>
      </c>
      <c r="R549" s="14">
        <v>5979511743</v>
      </c>
      <c r="S549" s="7"/>
      <c r="T549" s="30">
        <v>7500000</v>
      </c>
      <c r="U549" s="5"/>
      <c r="V549" s="5"/>
      <c r="W549" s="28"/>
      <c r="X549" s="36">
        <f t="shared" si="44"/>
        <v>745875</v>
      </c>
      <c r="Y549" s="28">
        <f t="shared" si="45"/>
        <v>0</v>
      </c>
      <c r="Z549" s="28">
        <f t="shared" si="46"/>
        <v>0</v>
      </c>
      <c r="AA549" s="40"/>
      <c r="AB549" s="40"/>
      <c r="AC549" s="61">
        <f t="shared" si="47"/>
        <v>2</v>
      </c>
      <c r="AD549" s="61"/>
    </row>
    <row r="550" spans="1:30" ht="31.2" x14ac:dyDescent="0.3">
      <c r="A550" s="7" t="s">
        <v>62</v>
      </c>
      <c r="B550" s="6">
        <v>537</v>
      </c>
      <c r="C550" s="7" t="s">
        <v>2250</v>
      </c>
      <c r="D550" s="7" t="s">
        <v>2273</v>
      </c>
      <c r="E550" s="5"/>
      <c r="F550" s="4"/>
      <c r="G550" s="7" t="s">
        <v>2274</v>
      </c>
      <c r="H550" s="5"/>
      <c r="I550" s="7" t="s">
        <v>1707</v>
      </c>
      <c r="J550" s="7" t="s">
        <v>2275</v>
      </c>
      <c r="K550" s="7" t="s">
        <v>24</v>
      </c>
      <c r="L550" s="7" t="s">
        <v>2276</v>
      </c>
      <c r="M550" s="114">
        <v>5710253116</v>
      </c>
      <c r="N550" s="111"/>
      <c r="O550" s="114">
        <v>15000000</v>
      </c>
      <c r="P550" s="110"/>
      <c r="Q550" s="109">
        <f t="shared" si="43"/>
        <v>5725253116</v>
      </c>
      <c r="R550" s="14">
        <v>5710253116</v>
      </c>
      <c r="S550" s="5"/>
      <c r="T550" s="33">
        <v>15000000</v>
      </c>
      <c r="U550" s="5"/>
      <c r="V550" s="5"/>
      <c r="W550" s="28"/>
      <c r="X550" s="28">
        <f t="shared" si="44"/>
        <v>0</v>
      </c>
      <c r="Y550" s="28">
        <f t="shared" si="45"/>
        <v>0</v>
      </c>
      <c r="Z550" s="28">
        <f t="shared" si="46"/>
        <v>0</v>
      </c>
      <c r="AA550" s="4"/>
      <c r="AB550" s="4"/>
      <c r="AC550">
        <f t="shared" si="47"/>
        <v>2</v>
      </c>
    </row>
    <row r="551" spans="1:30" ht="31.2" x14ac:dyDescent="0.3">
      <c r="A551" s="7" t="s">
        <v>1601</v>
      </c>
      <c r="B551" s="6">
        <v>538</v>
      </c>
      <c r="C551" s="7" t="s">
        <v>2250</v>
      </c>
      <c r="D551" s="7" t="s">
        <v>2277</v>
      </c>
      <c r="E551" s="7"/>
      <c r="F551" s="4"/>
      <c r="G551" s="7" t="s">
        <v>2278</v>
      </c>
      <c r="H551" s="7"/>
      <c r="I551" s="7"/>
      <c r="J551" s="7" t="s">
        <v>1708</v>
      </c>
      <c r="K551" s="7" t="s">
        <v>24</v>
      </c>
      <c r="L551" s="7" t="s">
        <v>2279</v>
      </c>
      <c r="M551" s="114">
        <v>1184198060</v>
      </c>
      <c r="N551" s="111"/>
      <c r="O551" s="109">
        <v>7500000</v>
      </c>
      <c r="P551" s="110"/>
      <c r="Q551" s="109">
        <f t="shared" si="43"/>
        <v>1191698060</v>
      </c>
      <c r="R551" s="36">
        <v>1184198060</v>
      </c>
      <c r="S551" s="5"/>
      <c r="T551" s="72"/>
      <c r="U551" s="5"/>
      <c r="V551" s="5"/>
      <c r="W551" s="28"/>
      <c r="X551" s="28">
        <f t="shared" si="44"/>
        <v>0</v>
      </c>
      <c r="Y551" s="36">
        <f t="shared" si="45"/>
        <v>7500000</v>
      </c>
      <c r="Z551" s="28">
        <f t="shared" si="46"/>
        <v>0</v>
      </c>
      <c r="AA551" s="4"/>
      <c r="AB551" s="40"/>
      <c r="AC551" s="121">
        <f t="shared" si="47"/>
        <v>2</v>
      </c>
      <c r="AD551" s="121"/>
    </row>
    <row r="552" spans="1:30" ht="46.8" customHeight="1" x14ac:dyDescent="0.3">
      <c r="A552" s="7" t="s">
        <v>1601</v>
      </c>
      <c r="B552" s="6">
        <v>539</v>
      </c>
      <c r="C552" s="7" t="s">
        <v>2250</v>
      </c>
      <c r="D552" s="7" t="s">
        <v>2280</v>
      </c>
      <c r="E552" s="5"/>
      <c r="F552" s="4"/>
      <c r="G552" s="7" t="s">
        <v>2281</v>
      </c>
      <c r="H552" s="5"/>
      <c r="I552" s="7" t="s">
        <v>1707</v>
      </c>
      <c r="J552" s="7" t="s">
        <v>2282</v>
      </c>
      <c r="K552" s="7" t="s">
        <v>24</v>
      </c>
      <c r="L552" s="7" t="s">
        <v>2283</v>
      </c>
      <c r="M552" s="114">
        <v>124624714</v>
      </c>
      <c r="N552" s="111"/>
      <c r="O552" s="114">
        <v>7500000</v>
      </c>
      <c r="P552" s="110"/>
      <c r="Q552" s="109">
        <f t="shared" si="43"/>
        <v>132124714</v>
      </c>
      <c r="R552" s="36">
        <v>124624714</v>
      </c>
      <c r="S552" s="5"/>
      <c r="T552" s="30">
        <v>7500000</v>
      </c>
      <c r="U552" s="5"/>
      <c r="V552" s="5"/>
      <c r="W552" s="28"/>
      <c r="X552" s="28">
        <f t="shared" si="44"/>
        <v>0</v>
      </c>
      <c r="Y552" s="28">
        <f t="shared" si="45"/>
        <v>0</v>
      </c>
      <c r="Z552" s="28">
        <f t="shared" si="46"/>
        <v>0</v>
      </c>
      <c r="AA552" s="4"/>
      <c r="AB552" s="4"/>
      <c r="AC552">
        <f t="shared" si="47"/>
        <v>2</v>
      </c>
    </row>
    <row r="553" spans="1:30" ht="31.2" x14ac:dyDescent="0.3">
      <c r="A553" s="7" t="s">
        <v>46</v>
      </c>
      <c r="B553" s="6">
        <v>540</v>
      </c>
      <c r="C553" s="7" t="s">
        <v>2250</v>
      </c>
      <c r="D553" s="7" t="s">
        <v>2284</v>
      </c>
      <c r="E553" s="7" t="s">
        <v>2285</v>
      </c>
      <c r="F553" s="4"/>
      <c r="G553" s="7" t="s">
        <v>2286</v>
      </c>
      <c r="H553" s="7" t="s">
        <v>2287</v>
      </c>
      <c r="I553" s="7" t="s">
        <v>1707</v>
      </c>
      <c r="J553" s="21" t="s">
        <v>2288</v>
      </c>
      <c r="K553" s="7" t="s">
        <v>24</v>
      </c>
      <c r="L553" s="7" t="s">
        <v>2289</v>
      </c>
      <c r="M553" s="114">
        <v>11205643442</v>
      </c>
      <c r="N553" s="114">
        <v>412168376</v>
      </c>
      <c r="O553" s="114">
        <v>15000000</v>
      </c>
      <c r="P553" s="110"/>
      <c r="Q553" s="109">
        <f t="shared" si="43"/>
        <v>11632811818</v>
      </c>
      <c r="R553" s="14">
        <v>11205643442</v>
      </c>
      <c r="S553" s="14">
        <v>412168376</v>
      </c>
      <c r="T553" s="30">
        <v>15000000</v>
      </c>
      <c r="U553" s="5"/>
      <c r="V553" s="5"/>
      <c r="W553" s="28"/>
      <c r="X553" s="28">
        <f t="shared" si="44"/>
        <v>0</v>
      </c>
      <c r="Y553" s="28">
        <f t="shared" si="45"/>
        <v>0</v>
      </c>
      <c r="Z553" s="28">
        <f t="shared" si="46"/>
        <v>0</v>
      </c>
      <c r="AA553" s="4"/>
      <c r="AB553" s="4"/>
      <c r="AC553">
        <f t="shared" si="47"/>
        <v>2</v>
      </c>
    </row>
    <row r="554" spans="1:30" ht="42" x14ac:dyDescent="0.3">
      <c r="A554" s="7" t="s">
        <v>2290</v>
      </c>
      <c r="B554" s="6">
        <v>541</v>
      </c>
      <c r="C554" s="7" t="s">
        <v>2250</v>
      </c>
      <c r="D554" s="7" t="s">
        <v>2291</v>
      </c>
      <c r="E554" s="7" t="s">
        <v>1106</v>
      </c>
      <c r="F554" s="4"/>
      <c r="G554" s="7" t="s">
        <v>2292</v>
      </c>
      <c r="H554" s="7" t="s">
        <v>251</v>
      </c>
      <c r="I554" s="5"/>
      <c r="J554" s="21" t="s">
        <v>2293</v>
      </c>
      <c r="K554" s="7" t="s">
        <v>24</v>
      </c>
      <c r="L554" s="7" t="s">
        <v>2294</v>
      </c>
      <c r="M554" s="114">
        <v>3903175140</v>
      </c>
      <c r="N554" s="114">
        <v>752143200</v>
      </c>
      <c r="O554" s="114">
        <v>7500000</v>
      </c>
      <c r="P554" s="110"/>
      <c r="Q554" s="109">
        <f t="shared" si="43"/>
        <v>4662818340</v>
      </c>
      <c r="R554" s="14">
        <v>3903175140</v>
      </c>
      <c r="S554" s="14">
        <v>752143200</v>
      </c>
      <c r="T554" s="30">
        <v>7500000</v>
      </c>
      <c r="U554" s="5"/>
      <c r="V554" s="5"/>
      <c r="W554" s="28"/>
      <c r="X554" s="28">
        <f t="shared" si="44"/>
        <v>0</v>
      </c>
      <c r="Y554" s="28">
        <f t="shared" si="45"/>
        <v>0</v>
      </c>
      <c r="Z554" s="28">
        <f t="shared" si="46"/>
        <v>0</v>
      </c>
      <c r="AA554" s="4"/>
      <c r="AB554" s="4"/>
      <c r="AC554">
        <f t="shared" si="47"/>
        <v>2</v>
      </c>
    </row>
    <row r="555" spans="1:30" ht="31.2" x14ac:dyDescent="0.3">
      <c r="A555" s="7" t="s">
        <v>18</v>
      </c>
      <c r="B555" s="6">
        <v>542</v>
      </c>
      <c r="C555" s="7" t="s">
        <v>2250</v>
      </c>
      <c r="D555" s="7" t="s">
        <v>2295</v>
      </c>
      <c r="E555" s="7"/>
      <c r="F555" s="4"/>
      <c r="G555" s="7" t="s">
        <v>2296</v>
      </c>
      <c r="H555" s="7"/>
      <c r="I555" s="7"/>
      <c r="J555" s="7" t="s">
        <v>2297</v>
      </c>
      <c r="K555" s="7" t="s">
        <v>24</v>
      </c>
      <c r="L555" s="7" t="s">
        <v>2298</v>
      </c>
      <c r="M555" s="114">
        <v>32247210000</v>
      </c>
      <c r="N555" s="111"/>
      <c r="O555" s="109">
        <v>15000000</v>
      </c>
      <c r="P555" s="110"/>
      <c r="Q555" s="109">
        <f t="shared" si="43"/>
        <v>32262210000</v>
      </c>
      <c r="R555" s="14">
        <v>32247210000</v>
      </c>
      <c r="S555" s="5"/>
      <c r="T555" s="72"/>
      <c r="U555" s="5"/>
      <c r="V555" s="5"/>
      <c r="W555" s="28"/>
      <c r="X555" s="28">
        <f t="shared" si="44"/>
        <v>0</v>
      </c>
      <c r="Y555" s="36">
        <f t="shared" si="45"/>
        <v>15000000</v>
      </c>
      <c r="Z555" s="28">
        <f t="shared" si="46"/>
        <v>0</v>
      </c>
      <c r="AA555" s="4"/>
      <c r="AB555" s="40"/>
      <c r="AC555" s="121">
        <f t="shared" si="47"/>
        <v>2</v>
      </c>
      <c r="AD555" s="121"/>
    </row>
    <row r="556" spans="1:30" ht="62.4" customHeight="1" x14ac:dyDescent="0.3">
      <c r="A556" s="7" t="s">
        <v>18</v>
      </c>
      <c r="B556" s="6">
        <v>543</v>
      </c>
      <c r="C556" s="7" t="s">
        <v>2250</v>
      </c>
      <c r="D556" s="7" t="s">
        <v>2299</v>
      </c>
      <c r="E556" s="5"/>
      <c r="F556" s="40" t="s">
        <v>953</v>
      </c>
      <c r="G556" s="7" t="s">
        <v>2300</v>
      </c>
      <c r="H556" s="5"/>
      <c r="I556" s="5"/>
      <c r="J556" s="21" t="s">
        <v>2301</v>
      </c>
      <c r="K556" s="7" t="s">
        <v>24</v>
      </c>
      <c r="L556" s="7" t="s">
        <v>2302</v>
      </c>
      <c r="M556" s="114">
        <v>3019503424</v>
      </c>
      <c r="N556" s="111"/>
      <c r="O556" s="114">
        <v>15000000</v>
      </c>
      <c r="P556" s="112">
        <v>240000000</v>
      </c>
      <c r="Q556" s="109">
        <f t="shared" si="43"/>
        <v>3274503424</v>
      </c>
      <c r="R556" s="14">
        <v>3019503424</v>
      </c>
      <c r="S556" s="5"/>
      <c r="T556" s="30">
        <v>15000000</v>
      </c>
      <c r="U556" s="3">
        <v>240000000</v>
      </c>
      <c r="V556" s="5"/>
      <c r="W556" s="28"/>
      <c r="X556" s="28">
        <f t="shared" si="44"/>
        <v>0</v>
      </c>
      <c r="Y556" s="28">
        <f t="shared" si="45"/>
        <v>0</v>
      </c>
      <c r="Z556" s="28">
        <f t="shared" si="46"/>
        <v>0</v>
      </c>
      <c r="AA556" s="4"/>
      <c r="AB556" s="4"/>
      <c r="AC556">
        <f t="shared" si="47"/>
        <v>2</v>
      </c>
    </row>
    <row r="557" spans="1:30" ht="62.4" customHeight="1" x14ac:dyDescent="0.3">
      <c r="A557" s="7" t="s">
        <v>18</v>
      </c>
      <c r="B557" s="6">
        <v>544</v>
      </c>
      <c r="C557" s="7" t="s">
        <v>2250</v>
      </c>
      <c r="D557" s="7" t="s">
        <v>2303</v>
      </c>
      <c r="E557" s="7" t="s">
        <v>1349</v>
      </c>
      <c r="F557" s="40" t="s">
        <v>1716</v>
      </c>
      <c r="G557" s="7" t="s">
        <v>2304</v>
      </c>
      <c r="H557" s="5"/>
      <c r="I557" s="5"/>
      <c r="J557" s="21" t="s">
        <v>2305</v>
      </c>
      <c r="K557" s="7" t="s">
        <v>24</v>
      </c>
      <c r="L557" s="7" t="s">
        <v>2306</v>
      </c>
      <c r="M557" s="114">
        <v>4492043428</v>
      </c>
      <c r="N557" s="115">
        <v>1612138368</v>
      </c>
      <c r="O557" s="114">
        <v>15000000</v>
      </c>
      <c r="P557" s="112">
        <v>72000000</v>
      </c>
      <c r="Q557" s="109">
        <f t="shared" si="43"/>
        <v>6191181796</v>
      </c>
      <c r="R557" s="14">
        <v>4492043428</v>
      </c>
      <c r="S557" s="3">
        <v>1612138368</v>
      </c>
      <c r="T557" s="30">
        <v>15000000</v>
      </c>
      <c r="U557" s="3">
        <v>72000000</v>
      </c>
      <c r="V557" s="5"/>
      <c r="W557" s="28"/>
      <c r="X557" s="28">
        <f t="shared" si="44"/>
        <v>0</v>
      </c>
      <c r="Y557" s="28">
        <f t="shared" si="45"/>
        <v>0</v>
      </c>
      <c r="Z557" s="28">
        <f t="shared" si="46"/>
        <v>0</v>
      </c>
      <c r="AA557" s="4"/>
      <c r="AB557" s="4"/>
      <c r="AC557">
        <f t="shared" si="47"/>
        <v>2</v>
      </c>
    </row>
    <row r="558" spans="1:30" ht="31.2" x14ac:dyDescent="0.3">
      <c r="A558" s="7" t="s">
        <v>46</v>
      </c>
      <c r="B558" s="6">
        <v>545</v>
      </c>
      <c r="C558" s="7" t="s">
        <v>2250</v>
      </c>
      <c r="D558" s="7" t="s">
        <v>2307</v>
      </c>
      <c r="E558" s="5"/>
      <c r="F558" s="4"/>
      <c r="G558" s="7" t="s">
        <v>2308</v>
      </c>
      <c r="H558" s="5"/>
      <c r="I558" s="7" t="s">
        <v>1707</v>
      </c>
      <c r="J558" s="21" t="s">
        <v>2309</v>
      </c>
      <c r="K558" s="7" t="s">
        <v>24</v>
      </c>
      <c r="L558" s="7" t="s">
        <v>2112</v>
      </c>
      <c r="M558" s="114">
        <v>4323287659</v>
      </c>
      <c r="N558" s="111"/>
      <c r="O558" s="114">
        <v>7500000</v>
      </c>
      <c r="P558" s="110"/>
      <c r="Q558" s="109">
        <f t="shared" si="43"/>
        <v>4330787659</v>
      </c>
      <c r="R558" s="14">
        <v>4323287659</v>
      </c>
      <c r="S558" s="5"/>
      <c r="T558" s="30">
        <v>7500000</v>
      </c>
      <c r="U558" s="5"/>
      <c r="V558" s="5"/>
      <c r="W558" s="28"/>
      <c r="X558" s="28">
        <f t="shared" si="44"/>
        <v>0</v>
      </c>
      <c r="Y558" s="28">
        <f t="shared" si="45"/>
        <v>0</v>
      </c>
      <c r="Z558" s="28">
        <f t="shared" si="46"/>
        <v>0</v>
      </c>
      <c r="AA558" s="4"/>
      <c r="AB558" s="4"/>
      <c r="AC558">
        <f t="shared" si="47"/>
        <v>2</v>
      </c>
    </row>
    <row r="559" spans="1:30" ht="31.2" x14ac:dyDescent="0.3">
      <c r="A559" s="7" t="s">
        <v>62</v>
      </c>
      <c r="B559" s="6">
        <v>546</v>
      </c>
      <c r="C559" s="7" t="s">
        <v>2250</v>
      </c>
      <c r="D559" s="7" t="s">
        <v>2310</v>
      </c>
      <c r="E559" s="7"/>
      <c r="F559" s="40" t="s">
        <v>378</v>
      </c>
      <c r="G559" s="7" t="s">
        <v>2311</v>
      </c>
      <c r="H559" s="7"/>
      <c r="I559" s="7" t="s">
        <v>1707</v>
      </c>
      <c r="J559" s="7" t="s">
        <v>2312</v>
      </c>
      <c r="K559" s="7" t="s">
        <v>24</v>
      </c>
      <c r="L559" s="7" t="s">
        <v>2313</v>
      </c>
      <c r="M559" s="114">
        <v>5670213620</v>
      </c>
      <c r="N559" s="111"/>
      <c r="O559" s="109">
        <v>15000000</v>
      </c>
      <c r="P559" s="112">
        <v>42000000</v>
      </c>
      <c r="Q559" s="109">
        <f t="shared" si="43"/>
        <v>5727213620</v>
      </c>
      <c r="R559" s="14">
        <v>5670213620</v>
      </c>
      <c r="S559" s="5"/>
      <c r="T559" s="72"/>
      <c r="U559" s="5"/>
      <c r="V559" s="5"/>
      <c r="W559" s="28"/>
      <c r="X559" s="28">
        <f t="shared" si="44"/>
        <v>0</v>
      </c>
      <c r="Y559" s="36">
        <f t="shared" si="45"/>
        <v>15000000</v>
      </c>
      <c r="Z559" s="28">
        <f t="shared" si="46"/>
        <v>42000000</v>
      </c>
      <c r="AA559" s="4"/>
      <c r="AB559" s="40"/>
      <c r="AC559" s="121">
        <f t="shared" si="47"/>
        <v>2</v>
      </c>
      <c r="AD559" s="121"/>
    </row>
    <row r="560" spans="1:30" ht="31.2" x14ac:dyDescent="0.3">
      <c r="A560" s="7" t="s">
        <v>46</v>
      </c>
      <c r="B560" s="6">
        <v>547</v>
      </c>
      <c r="C560" s="7" t="s">
        <v>2250</v>
      </c>
      <c r="D560" s="7" t="s">
        <v>2314</v>
      </c>
      <c r="E560" s="5"/>
      <c r="F560" s="4"/>
      <c r="G560" s="7" t="s">
        <v>2315</v>
      </c>
      <c r="H560" s="5"/>
      <c r="I560" s="7" t="s">
        <v>1707</v>
      </c>
      <c r="J560" s="21" t="s">
        <v>2316</v>
      </c>
      <c r="K560" s="7" t="s">
        <v>24</v>
      </c>
      <c r="L560" s="7" t="s">
        <v>2317</v>
      </c>
      <c r="M560" s="114">
        <v>2859676109</v>
      </c>
      <c r="N560" s="111"/>
      <c r="O560" s="114">
        <v>7500000</v>
      </c>
      <c r="P560" s="110"/>
      <c r="Q560" s="109">
        <f t="shared" si="43"/>
        <v>2867176109</v>
      </c>
      <c r="R560" s="14">
        <v>2859676109</v>
      </c>
      <c r="S560" s="5"/>
      <c r="T560" s="33">
        <v>7500000</v>
      </c>
      <c r="U560" s="5"/>
      <c r="V560" s="5"/>
      <c r="W560" s="28"/>
      <c r="X560" s="28">
        <f t="shared" si="44"/>
        <v>0</v>
      </c>
      <c r="Y560" s="28">
        <f t="shared" si="45"/>
        <v>0</v>
      </c>
      <c r="Z560" s="28">
        <f t="shared" si="46"/>
        <v>0</v>
      </c>
      <c r="AA560" s="4"/>
      <c r="AB560" s="4"/>
      <c r="AC560">
        <f t="shared" si="47"/>
        <v>2</v>
      </c>
    </row>
    <row r="561" spans="1:29" ht="31.2" x14ac:dyDescent="0.3">
      <c r="A561" s="7" t="s">
        <v>2318</v>
      </c>
      <c r="B561" s="6">
        <v>548</v>
      </c>
      <c r="C561" s="7" t="s">
        <v>2250</v>
      </c>
      <c r="D561" s="7" t="s">
        <v>2319</v>
      </c>
      <c r="E561" s="5"/>
      <c r="F561" s="40" t="s">
        <v>182</v>
      </c>
      <c r="G561" s="7" t="s">
        <v>2320</v>
      </c>
      <c r="H561" s="5"/>
      <c r="I561" s="5"/>
      <c r="J561" s="21" t="s">
        <v>2321</v>
      </c>
      <c r="K561" s="7" t="s">
        <v>24</v>
      </c>
      <c r="L561" s="7" t="s">
        <v>2322</v>
      </c>
      <c r="M561" s="114">
        <v>8344894680</v>
      </c>
      <c r="N561" s="111"/>
      <c r="O561" s="114">
        <v>15000000</v>
      </c>
      <c r="P561" s="112">
        <v>120000000</v>
      </c>
      <c r="Q561" s="109">
        <f t="shared" si="43"/>
        <v>8479894680</v>
      </c>
      <c r="R561" s="14">
        <v>8344894680</v>
      </c>
      <c r="S561" s="5"/>
      <c r="T561" s="30">
        <v>15000000</v>
      </c>
      <c r="U561" s="14">
        <v>120000000</v>
      </c>
      <c r="V561" s="5"/>
      <c r="W561" s="28"/>
      <c r="X561" s="28">
        <f t="shared" si="44"/>
        <v>0</v>
      </c>
      <c r="Y561" s="28">
        <f t="shared" si="45"/>
        <v>0</v>
      </c>
      <c r="Z561" s="28">
        <f t="shared" si="46"/>
        <v>0</v>
      </c>
      <c r="AA561" s="4"/>
      <c r="AB561" s="4"/>
      <c r="AC561">
        <f t="shared" si="47"/>
        <v>2</v>
      </c>
    </row>
    <row r="562" spans="1:29" ht="105" x14ac:dyDescent="0.3">
      <c r="A562" s="7" t="s">
        <v>46</v>
      </c>
      <c r="B562" s="6">
        <v>549</v>
      </c>
      <c r="C562" s="7" t="s">
        <v>2323</v>
      </c>
      <c r="D562" s="7" t="s">
        <v>2324</v>
      </c>
      <c r="E562" s="7" t="s">
        <v>2325</v>
      </c>
      <c r="F562" s="4"/>
      <c r="G562" s="7" t="s">
        <v>2326</v>
      </c>
      <c r="H562" s="7" t="s">
        <v>2327</v>
      </c>
      <c r="I562" s="5"/>
      <c r="J562" s="21" t="s">
        <v>2328</v>
      </c>
      <c r="K562" s="7" t="s">
        <v>24</v>
      </c>
      <c r="L562" s="7" t="s">
        <v>2329</v>
      </c>
      <c r="M562" s="114">
        <v>3029579080</v>
      </c>
      <c r="N562" s="114">
        <v>1093270920</v>
      </c>
      <c r="O562" s="114">
        <v>15000000</v>
      </c>
      <c r="P562" s="110"/>
      <c r="Q562" s="109">
        <f t="shared" si="43"/>
        <v>4137850000</v>
      </c>
      <c r="R562" s="14">
        <v>3029579080</v>
      </c>
      <c r="S562" s="14">
        <v>1093270920</v>
      </c>
      <c r="T562" s="33">
        <v>15000000</v>
      </c>
      <c r="U562" s="5"/>
      <c r="V562" s="5"/>
      <c r="W562" s="28"/>
      <c r="X562" s="28">
        <f t="shared" si="44"/>
        <v>0</v>
      </c>
      <c r="Y562" s="28">
        <f t="shared" si="45"/>
        <v>0</v>
      </c>
      <c r="Z562" s="28">
        <f t="shared" si="46"/>
        <v>0</v>
      </c>
      <c r="AA562" s="4"/>
      <c r="AB562" s="4"/>
      <c r="AC562">
        <f t="shared" si="47"/>
        <v>2</v>
      </c>
    </row>
    <row r="563" spans="1:29" ht="31.2" x14ac:dyDescent="0.3">
      <c r="A563" s="7" t="s">
        <v>2290</v>
      </c>
      <c r="B563" s="6">
        <v>550</v>
      </c>
      <c r="C563" s="7" t="s">
        <v>2323</v>
      </c>
      <c r="D563" s="7" t="s">
        <v>2330</v>
      </c>
      <c r="E563" s="5"/>
      <c r="F563" s="4"/>
      <c r="G563" s="7" t="s">
        <v>2331</v>
      </c>
      <c r="H563" s="5"/>
      <c r="I563" s="5"/>
      <c r="J563" s="21" t="s">
        <v>2332</v>
      </c>
      <c r="K563" s="7" t="s">
        <v>24</v>
      </c>
      <c r="L563" s="7" t="s">
        <v>2333</v>
      </c>
      <c r="M563" s="114">
        <v>3126839264</v>
      </c>
      <c r="N563" s="111"/>
      <c r="O563" s="114">
        <v>15000000</v>
      </c>
      <c r="P563" s="110"/>
      <c r="Q563" s="109">
        <f t="shared" si="43"/>
        <v>3141839264</v>
      </c>
      <c r="R563" s="14">
        <v>3126839264</v>
      </c>
      <c r="S563" s="5"/>
      <c r="T563" s="33">
        <v>15000000</v>
      </c>
      <c r="U563" s="5"/>
      <c r="V563" s="5"/>
      <c r="W563" s="28"/>
      <c r="X563" s="28">
        <f t="shared" si="44"/>
        <v>0</v>
      </c>
      <c r="Y563" s="28">
        <f t="shared" si="45"/>
        <v>0</v>
      </c>
      <c r="Z563" s="28">
        <f t="shared" si="46"/>
        <v>0</v>
      </c>
      <c r="AA563" s="4"/>
      <c r="AB563" s="4"/>
      <c r="AC563">
        <f t="shared" si="47"/>
        <v>2</v>
      </c>
    </row>
    <row r="564" spans="1:29" ht="42" x14ac:dyDescent="0.3">
      <c r="A564" s="7" t="s">
        <v>2290</v>
      </c>
      <c r="B564" s="6">
        <v>551</v>
      </c>
      <c r="C564" s="7" t="s">
        <v>2323</v>
      </c>
      <c r="D564" s="7" t="s">
        <v>2334</v>
      </c>
      <c r="E564" s="5"/>
      <c r="F564" s="4"/>
      <c r="G564" s="7" t="s">
        <v>2335</v>
      </c>
      <c r="H564" s="5"/>
      <c r="I564" s="5"/>
      <c r="J564" s="21" t="s">
        <v>2336</v>
      </c>
      <c r="K564" s="7" t="s">
        <v>24</v>
      </c>
      <c r="L564" s="7" t="s">
        <v>2337</v>
      </c>
      <c r="M564" s="114">
        <v>4445642144</v>
      </c>
      <c r="N564" s="111"/>
      <c r="O564" s="114">
        <v>15000000</v>
      </c>
      <c r="P564" s="110"/>
      <c r="Q564" s="109">
        <f t="shared" si="43"/>
        <v>4460642144</v>
      </c>
      <c r="R564" s="14">
        <v>4445642144</v>
      </c>
      <c r="S564" s="5"/>
      <c r="T564" s="33">
        <v>15000000</v>
      </c>
      <c r="U564" s="5"/>
      <c r="V564" s="5"/>
      <c r="W564" s="28"/>
      <c r="X564" s="28">
        <f t="shared" si="44"/>
        <v>0</v>
      </c>
      <c r="Y564" s="28">
        <f t="shared" si="45"/>
        <v>0</v>
      </c>
      <c r="Z564" s="28">
        <f t="shared" si="46"/>
        <v>0</v>
      </c>
      <c r="AA564" s="4"/>
      <c r="AB564" s="4"/>
      <c r="AC564">
        <f t="shared" si="47"/>
        <v>2</v>
      </c>
    </row>
    <row r="565" spans="1:29" ht="63" x14ac:dyDescent="0.3">
      <c r="A565" s="7" t="s">
        <v>46</v>
      </c>
      <c r="B565" s="6">
        <v>552</v>
      </c>
      <c r="C565" s="7" t="s">
        <v>2323</v>
      </c>
      <c r="D565" s="7" t="s">
        <v>2338</v>
      </c>
      <c r="E565" s="5"/>
      <c r="F565" s="4"/>
      <c r="G565" s="7" t="s">
        <v>2339</v>
      </c>
      <c r="H565" s="5"/>
      <c r="I565" s="5"/>
      <c r="J565" s="21" t="s">
        <v>2340</v>
      </c>
      <c r="K565" s="7" t="s">
        <v>24</v>
      </c>
      <c r="L565" s="7" t="s">
        <v>2341</v>
      </c>
      <c r="M565" s="114">
        <v>1583134434</v>
      </c>
      <c r="N565" s="111"/>
      <c r="O565" s="114">
        <v>7500000</v>
      </c>
      <c r="P565" s="110"/>
      <c r="Q565" s="109">
        <f t="shared" si="43"/>
        <v>1590634434</v>
      </c>
      <c r="R565" s="14">
        <v>1583134434</v>
      </c>
      <c r="S565" s="5"/>
      <c r="T565" s="30">
        <v>7500000</v>
      </c>
      <c r="U565" s="5"/>
      <c r="V565" s="5"/>
      <c r="W565" s="28"/>
      <c r="X565" s="28">
        <f t="shared" si="44"/>
        <v>0</v>
      </c>
      <c r="Y565" s="28">
        <f t="shared" si="45"/>
        <v>0</v>
      </c>
      <c r="Z565" s="28">
        <f t="shared" si="46"/>
        <v>0</v>
      </c>
      <c r="AA565" s="4"/>
      <c r="AB565" s="4"/>
      <c r="AC565">
        <f t="shared" si="47"/>
        <v>2</v>
      </c>
    </row>
    <row r="566" spans="1:29" ht="42" x14ac:dyDescent="0.3">
      <c r="A566" s="7" t="s">
        <v>2290</v>
      </c>
      <c r="B566" s="6">
        <v>553</v>
      </c>
      <c r="C566" s="7" t="s">
        <v>2323</v>
      </c>
      <c r="D566" s="7" t="s">
        <v>2342</v>
      </c>
      <c r="E566" s="7" t="s">
        <v>2343</v>
      </c>
      <c r="F566" s="4"/>
      <c r="G566" s="7" t="s">
        <v>2344</v>
      </c>
      <c r="H566" s="7" t="s">
        <v>2345</v>
      </c>
      <c r="I566" s="5"/>
      <c r="J566" s="21" t="s">
        <v>2346</v>
      </c>
      <c r="K566" s="7" t="s">
        <v>24</v>
      </c>
      <c r="L566" s="7" t="s">
        <v>2347</v>
      </c>
      <c r="M566" s="114">
        <v>4323930590</v>
      </c>
      <c r="N566" s="114">
        <v>575679508</v>
      </c>
      <c r="O566" s="114">
        <v>7500000</v>
      </c>
      <c r="P566" s="110"/>
      <c r="Q566" s="109">
        <f t="shared" si="43"/>
        <v>4907110098</v>
      </c>
      <c r="R566" s="14">
        <v>4323930590</v>
      </c>
      <c r="S566" s="14">
        <v>575679508</v>
      </c>
      <c r="T566" s="31">
        <v>7500000</v>
      </c>
      <c r="U566" s="5"/>
      <c r="V566" s="5"/>
      <c r="W566" s="28"/>
      <c r="X566" s="28">
        <f t="shared" si="44"/>
        <v>0</v>
      </c>
      <c r="Y566" s="28">
        <f t="shared" si="45"/>
        <v>0</v>
      </c>
      <c r="Z566" s="28">
        <f t="shared" si="46"/>
        <v>0</v>
      </c>
      <c r="AA566" s="4"/>
      <c r="AB566" s="4"/>
      <c r="AC566">
        <f t="shared" si="47"/>
        <v>2</v>
      </c>
    </row>
    <row r="567" spans="1:29" ht="42" x14ac:dyDescent="0.3">
      <c r="A567" s="7" t="s">
        <v>18</v>
      </c>
      <c r="B567" s="6">
        <v>554</v>
      </c>
      <c r="C567" s="7" t="s">
        <v>2323</v>
      </c>
      <c r="D567" s="7" t="s">
        <v>2348</v>
      </c>
      <c r="E567" s="5"/>
      <c r="F567" s="40" t="s">
        <v>182</v>
      </c>
      <c r="G567" s="7" t="s">
        <v>2349</v>
      </c>
      <c r="H567" s="5"/>
      <c r="I567" s="5"/>
      <c r="J567" s="21" t="s">
        <v>2350</v>
      </c>
      <c r="K567" s="7" t="s">
        <v>24</v>
      </c>
      <c r="L567" s="7" t="s">
        <v>2351</v>
      </c>
      <c r="M567" s="114">
        <v>13618798440</v>
      </c>
      <c r="N567" s="111"/>
      <c r="O567" s="114">
        <v>15000000</v>
      </c>
      <c r="P567" s="112">
        <v>144000000</v>
      </c>
      <c r="Q567" s="109">
        <f t="shared" si="43"/>
        <v>13777798440</v>
      </c>
      <c r="R567" s="14">
        <v>13618798440</v>
      </c>
      <c r="S567" s="5"/>
      <c r="T567" s="30">
        <v>15000000</v>
      </c>
      <c r="U567" s="14">
        <v>144000000</v>
      </c>
      <c r="V567" s="5"/>
      <c r="W567" s="28"/>
      <c r="X567" s="28">
        <f t="shared" si="44"/>
        <v>0</v>
      </c>
      <c r="Y567" s="28">
        <f t="shared" si="45"/>
        <v>0</v>
      </c>
      <c r="Z567" s="28">
        <f t="shared" si="46"/>
        <v>0</v>
      </c>
      <c r="AA567" s="4"/>
      <c r="AB567" s="4"/>
      <c r="AC567">
        <f t="shared" si="47"/>
        <v>2</v>
      </c>
    </row>
    <row r="568" spans="1:29" ht="63" x14ac:dyDescent="0.3">
      <c r="A568" s="7" t="s">
        <v>18</v>
      </c>
      <c r="B568" s="6">
        <v>555</v>
      </c>
      <c r="C568" s="7" t="s">
        <v>2323</v>
      </c>
      <c r="D568" s="7" t="s">
        <v>2352</v>
      </c>
      <c r="E568" s="5"/>
      <c r="F568" s="4"/>
      <c r="G568" s="7" t="s">
        <v>2353</v>
      </c>
      <c r="H568" s="5"/>
      <c r="I568" s="5"/>
      <c r="J568" s="21" t="s">
        <v>2354</v>
      </c>
      <c r="K568" s="7" t="s">
        <v>24</v>
      </c>
      <c r="L568" s="7" t="s">
        <v>2355</v>
      </c>
      <c r="M568" s="114">
        <v>7567136540</v>
      </c>
      <c r="N568" s="111"/>
      <c r="O568" s="114">
        <v>15000000</v>
      </c>
      <c r="P568" s="110"/>
      <c r="Q568" s="109">
        <f t="shared" si="43"/>
        <v>7582136540</v>
      </c>
      <c r="R568" s="14">
        <v>7567136540</v>
      </c>
      <c r="S568" s="5"/>
      <c r="T568" s="30">
        <v>15000000</v>
      </c>
      <c r="U568" s="5"/>
      <c r="V568" s="5"/>
      <c r="W568" s="28"/>
      <c r="X568" s="28">
        <f t="shared" si="44"/>
        <v>0</v>
      </c>
      <c r="Y568" s="28">
        <f t="shared" si="45"/>
        <v>0</v>
      </c>
      <c r="Z568" s="28">
        <f t="shared" si="46"/>
        <v>0</v>
      </c>
      <c r="AA568" s="4"/>
      <c r="AB568" s="4"/>
      <c r="AC568">
        <f t="shared" si="47"/>
        <v>2</v>
      </c>
    </row>
    <row r="569" spans="1:29" ht="42" x14ac:dyDescent="0.3">
      <c r="A569" s="7" t="s">
        <v>46</v>
      </c>
      <c r="B569" s="6">
        <v>556</v>
      </c>
      <c r="C569" s="7" t="s">
        <v>2323</v>
      </c>
      <c r="D569" s="7" t="s">
        <v>2356</v>
      </c>
      <c r="E569" s="5"/>
      <c r="F569" s="4"/>
      <c r="G569" s="7" t="s">
        <v>2357</v>
      </c>
      <c r="H569" s="5"/>
      <c r="I569" s="5"/>
      <c r="J569" s="21" t="s">
        <v>2358</v>
      </c>
      <c r="K569" s="7" t="s">
        <v>24</v>
      </c>
      <c r="L569" s="7" t="s">
        <v>1696</v>
      </c>
      <c r="M569" s="114">
        <v>5507929500</v>
      </c>
      <c r="N569" s="111"/>
      <c r="O569" s="114">
        <v>7500000</v>
      </c>
      <c r="P569" s="110"/>
      <c r="Q569" s="109">
        <f t="shared" si="43"/>
        <v>5515429500</v>
      </c>
      <c r="R569" s="14">
        <v>5507929500</v>
      </c>
      <c r="S569" s="5"/>
      <c r="T569" s="30">
        <v>7500000</v>
      </c>
      <c r="U569" s="5"/>
      <c r="V569" s="5"/>
      <c r="W569" s="28"/>
      <c r="X569" s="28">
        <f t="shared" si="44"/>
        <v>0</v>
      </c>
      <c r="Y569" s="28">
        <f t="shared" si="45"/>
        <v>0</v>
      </c>
      <c r="Z569" s="28">
        <f t="shared" si="46"/>
        <v>0</v>
      </c>
      <c r="AA569" s="4"/>
      <c r="AB569" s="4"/>
      <c r="AC569">
        <f t="shared" si="47"/>
        <v>2</v>
      </c>
    </row>
    <row r="570" spans="1:29" ht="31.2" x14ac:dyDescent="0.3">
      <c r="A570" s="7" t="s">
        <v>62</v>
      </c>
      <c r="B570" s="6">
        <v>557</v>
      </c>
      <c r="C570" s="7" t="s">
        <v>2323</v>
      </c>
      <c r="D570" s="7" t="s">
        <v>2359</v>
      </c>
      <c r="E570" s="7" t="s">
        <v>2360</v>
      </c>
      <c r="F570" s="4"/>
      <c r="G570" s="7" t="s">
        <v>2361</v>
      </c>
      <c r="H570" s="7" t="s">
        <v>2362</v>
      </c>
      <c r="I570" s="5"/>
      <c r="J570" s="21" t="s">
        <v>2363</v>
      </c>
      <c r="K570" s="7" t="s">
        <v>24</v>
      </c>
      <c r="L570" s="7" t="s">
        <v>2364</v>
      </c>
      <c r="M570" s="114">
        <v>3526135072</v>
      </c>
      <c r="N570" s="114">
        <v>192607800</v>
      </c>
      <c r="O570" s="114">
        <v>15000000</v>
      </c>
      <c r="P570" s="110"/>
      <c r="Q570" s="109">
        <f t="shared" si="43"/>
        <v>3733742872</v>
      </c>
      <c r="R570" s="14">
        <v>3526135072</v>
      </c>
      <c r="S570" s="14">
        <v>192607800</v>
      </c>
      <c r="T570" s="30">
        <v>15000000</v>
      </c>
      <c r="U570" s="5"/>
      <c r="V570" s="5"/>
      <c r="W570" s="28"/>
      <c r="X570" s="28">
        <f t="shared" si="44"/>
        <v>0</v>
      </c>
      <c r="Y570" s="28">
        <f t="shared" si="45"/>
        <v>0</v>
      </c>
      <c r="Z570" s="28">
        <f t="shared" si="46"/>
        <v>0</v>
      </c>
      <c r="AA570" s="4"/>
      <c r="AB570" s="4"/>
      <c r="AC570">
        <f t="shared" si="47"/>
        <v>2</v>
      </c>
    </row>
    <row r="571" spans="1:29" ht="31.2" x14ac:dyDescent="0.3">
      <c r="A571" s="7" t="s">
        <v>62</v>
      </c>
      <c r="B571" s="6">
        <v>558</v>
      </c>
      <c r="C571" s="7" t="s">
        <v>2323</v>
      </c>
      <c r="D571" s="7" t="s">
        <v>2365</v>
      </c>
      <c r="E571" s="5"/>
      <c r="F571" s="4"/>
      <c r="G571" s="7" t="s">
        <v>2366</v>
      </c>
      <c r="H571" s="5"/>
      <c r="I571" s="5"/>
      <c r="J571" s="21" t="s">
        <v>2367</v>
      </c>
      <c r="K571" s="7" t="s">
        <v>24</v>
      </c>
      <c r="L571" s="7" t="s">
        <v>2368</v>
      </c>
      <c r="M571" s="114">
        <v>3090219698</v>
      </c>
      <c r="N571" s="111"/>
      <c r="O571" s="114">
        <v>15000000</v>
      </c>
      <c r="P571" s="110"/>
      <c r="Q571" s="109">
        <f t="shared" si="43"/>
        <v>3105219698</v>
      </c>
      <c r="R571" s="14">
        <v>3090219698</v>
      </c>
      <c r="S571" s="5"/>
      <c r="T571" s="33">
        <v>15000000</v>
      </c>
      <c r="U571" s="5"/>
      <c r="V571" s="5"/>
      <c r="W571" s="28"/>
      <c r="X571" s="28">
        <f t="shared" si="44"/>
        <v>0</v>
      </c>
      <c r="Y571" s="28">
        <f t="shared" si="45"/>
        <v>0</v>
      </c>
      <c r="Z571" s="28">
        <f t="shared" si="46"/>
        <v>0</v>
      </c>
      <c r="AA571" s="4"/>
      <c r="AB571" s="4"/>
      <c r="AC571">
        <f t="shared" si="47"/>
        <v>2</v>
      </c>
    </row>
    <row r="572" spans="1:29" ht="42" x14ac:dyDescent="0.3">
      <c r="A572" s="7" t="s">
        <v>62</v>
      </c>
      <c r="B572" s="6">
        <v>559</v>
      </c>
      <c r="C572" s="7" t="s">
        <v>2323</v>
      </c>
      <c r="D572" s="7" t="s">
        <v>2369</v>
      </c>
      <c r="E572" s="5"/>
      <c r="F572" s="40" t="s">
        <v>1269</v>
      </c>
      <c r="G572" s="7" t="s">
        <v>2370</v>
      </c>
      <c r="H572" s="5"/>
      <c r="I572" s="5"/>
      <c r="J572" s="21" t="s">
        <v>2371</v>
      </c>
      <c r="K572" s="7" t="s">
        <v>24</v>
      </c>
      <c r="L572" s="7" t="s">
        <v>2372</v>
      </c>
      <c r="M572" s="114">
        <v>1153919632</v>
      </c>
      <c r="N572" s="111"/>
      <c r="O572" s="114">
        <v>15000000</v>
      </c>
      <c r="P572" s="112">
        <v>8000000</v>
      </c>
      <c r="Q572" s="109">
        <f t="shared" si="43"/>
        <v>1176919632</v>
      </c>
      <c r="R572" s="14">
        <v>1153919632</v>
      </c>
      <c r="S572" s="5"/>
      <c r="T572" s="30">
        <v>15000000</v>
      </c>
      <c r="U572" s="14">
        <v>8000000</v>
      </c>
      <c r="V572" s="5"/>
      <c r="W572" s="28"/>
      <c r="X572" s="28">
        <f t="shared" si="44"/>
        <v>0</v>
      </c>
      <c r="Y572" s="28">
        <f t="shared" si="45"/>
        <v>0</v>
      </c>
      <c r="Z572" s="28">
        <f t="shared" si="46"/>
        <v>0</v>
      </c>
      <c r="AA572" s="4"/>
      <c r="AB572" s="4"/>
      <c r="AC572">
        <f t="shared" si="47"/>
        <v>2</v>
      </c>
    </row>
    <row r="573" spans="1:29" ht="42" x14ac:dyDescent="0.3">
      <c r="A573" s="7" t="s">
        <v>62</v>
      </c>
      <c r="B573" s="6">
        <v>560</v>
      </c>
      <c r="C573" s="7" t="s">
        <v>2323</v>
      </c>
      <c r="D573" s="7" t="s">
        <v>2373</v>
      </c>
      <c r="E573" s="5"/>
      <c r="F573" s="4"/>
      <c r="G573" s="7" t="s">
        <v>2374</v>
      </c>
      <c r="H573" s="5"/>
      <c r="I573" s="5"/>
      <c r="J573" s="21" t="s">
        <v>2375</v>
      </c>
      <c r="K573" s="7" t="s">
        <v>24</v>
      </c>
      <c r="L573" s="7" t="s">
        <v>2376</v>
      </c>
      <c r="M573" s="114">
        <v>8227078695</v>
      </c>
      <c r="N573" s="111"/>
      <c r="O573" s="114">
        <v>15000000</v>
      </c>
      <c r="P573" s="110"/>
      <c r="Q573" s="109">
        <f t="shared" si="43"/>
        <v>8242078695</v>
      </c>
      <c r="R573" s="14">
        <v>8227078695</v>
      </c>
      <c r="S573" s="5"/>
      <c r="T573" s="33">
        <v>15000000</v>
      </c>
      <c r="U573" s="5"/>
      <c r="V573" s="5"/>
      <c r="W573" s="28"/>
      <c r="X573" s="28">
        <f t="shared" si="44"/>
        <v>0</v>
      </c>
      <c r="Y573" s="28">
        <f t="shared" si="45"/>
        <v>0</v>
      </c>
      <c r="Z573" s="28">
        <f t="shared" si="46"/>
        <v>0</v>
      </c>
      <c r="AA573" s="4"/>
      <c r="AB573" s="4"/>
      <c r="AC573">
        <f t="shared" si="47"/>
        <v>2</v>
      </c>
    </row>
    <row r="574" spans="1:29" ht="31.2" x14ac:dyDescent="0.3">
      <c r="A574" s="7" t="s">
        <v>1601</v>
      </c>
      <c r="B574" s="6">
        <v>561</v>
      </c>
      <c r="C574" s="7" t="s">
        <v>2323</v>
      </c>
      <c r="D574" s="7" t="s">
        <v>2377</v>
      </c>
      <c r="E574" s="5"/>
      <c r="F574" s="4"/>
      <c r="G574" s="7" t="s">
        <v>2378</v>
      </c>
      <c r="H574" s="5"/>
      <c r="I574" s="5"/>
      <c r="J574" s="21" t="s">
        <v>2379</v>
      </c>
      <c r="K574" s="7" t="s">
        <v>24</v>
      </c>
      <c r="L574" s="7" t="s">
        <v>2380</v>
      </c>
      <c r="M574" s="114">
        <v>5211174260</v>
      </c>
      <c r="N574" s="111"/>
      <c r="O574" s="114">
        <v>15000000</v>
      </c>
      <c r="P574" s="110"/>
      <c r="Q574" s="109">
        <f t="shared" si="43"/>
        <v>5226174260</v>
      </c>
      <c r="R574" s="36">
        <v>5211174260</v>
      </c>
      <c r="S574" s="5"/>
      <c r="T574" s="30">
        <v>15000000</v>
      </c>
      <c r="U574" s="5"/>
      <c r="V574" s="5"/>
      <c r="W574" s="28"/>
      <c r="X574" s="28">
        <f t="shared" si="44"/>
        <v>0</v>
      </c>
      <c r="Y574" s="28">
        <f t="shared" si="45"/>
        <v>0</v>
      </c>
      <c r="Z574" s="28">
        <f t="shared" si="46"/>
        <v>0</v>
      </c>
      <c r="AA574" s="4"/>
      <c r="AB574" s="4"/>
      <c r="AC574">
        <f t="shared" si="47"/>
        <v>2</v>
      </c>
    </row>
    <row r="575" spans="1:29" ht="63" x14ac:dyDescent="0.3">
      <c r="A575" s="7" t="s">
        <v>62</v>
      </c>
      <c r="B575" s="6">
        <v>562</v>
      </c>
      <c r="C575" s="7" t="s">
        <v>2323</v>
      </c>
      <c r="D575" s="7" t="s">
        <v>2381</v>
      </c>
      <c r="E575" s="5"/>
      <c r="F575" s="40" t="s">
        <v>2382</v>
      </c>
      <c r="G575" s="7" t="s">
        <v>2383</v>
      </c>
      <c r="H575" s="5"/>
      <c r="I575" s="5"/>
      <c r="J575" s="21" t="s">
        <v>3859</v>
      </c>
      <c r="K575" s="7" t="s">
        <v>24</v>
      </c>
      <c r="L575" s="7" t="s">
        <v>2384</v>
      </c>
      <c r="M575" s="114">
        <v>1118352476</v>
      </c>
      <c r="N575" s="111"/>
      <c r="O575" s="114">
        <v>15000000</v>
      </c>
      <c r="P575" s="112">
        <v>108000000</v>
      </c>
      <c r="Q575" s="109">
        <f t="shared" si="43"/>
        <v>1241352476</v>
      </c>
      <c r="R575" s="14">
        <v>1118352476</v>
      </c>
      <c r="S575" s="5"/>
      <c r="T575" s="30">
        <v>15000000</v>
      </c>
      <c r="U575" s="28">
        <v>108000000</v>
      </c>
      <c r="V575" s="5"/>
      <c r="W575" s="28"/>
      <c r="X575" s="28">
        <f t="shared" si="44"/>
        <v>0</v>
      </c>
      <c r="Y575" s="28">
        <f t="shared" si="45"/>
        <v>0</v>
      </c>
      <c r="Z575" s="28">
        <f t="shared" si="46"/>
        <v>0</v>
      </c>
      <c r="AA575" s="4"/>
      <c r="AB575" s="4"/>
      <c r="AC575">
        <f t="shared" si="47"/>
        <v>2</v>
      </c>
    </row>
    <row r="576" spans="1:29" ht="42" x14ac:dyDescent="0.3">
      <c r="A576" s="7" t="s">
        <v>62</v>
      </c>
      <c r="B576" s="6">
        <v>563</v>
      </c>
      <c r="C576" s="7" t="s">
        <v>2323</v>
      </c>
      <c r="D576" s="7" t="s">
        <v>2385</v>
      </c>
      <c r="E576" s="5"/>
      <c r="F576" s="4"/>
      <c r="G576" s="7" t="s">
        <v>2386</v>
      </c>
      <c r="H576" s="5"/>
      <c r="I576" s="5"/>
      <c r="J576" s="21" t="s">
        <v>2387</v>
      </c>
      <c r="K576" s="7" t="s">
        <v>24</v>
      </c>
      <c r="L576" s="7" t="s">
        <v>2388</v>
      </c>
      <c r="M576" s="114">
        <v>4009786804</v>
      </c>
      <c r="N576" s="111"/>
      <c r="O576" s="114">
        <v>7500000</v>
      </c>
      <c r="P576" s="110"/>
      <c r="Q576" s="109">
        <f t="shared" si="43"/>
        <v>4017286804</v>
      </c>
      <c r="R576" s="14">
        <v>4009786804</v>
      </c>
      <c r="S576" s="5"/>
      <c r="T576" s="33">
        <v>7500000</v>
      </c>
      <c r="U576" s="5"/>
      <c r="V576" s="5"/>
      <c r="W576" s="28"/>
      <c r="X576" s="28">
        <f t="shared" si="44"/>
        <v>0</v>
      </c>
      <c r="Y576" s="28">
        <f t="shared" si="45"/>
        <v>0</v>
      </c>
      <c r="Z576" s="28">
        <f t="shared" si="46"/>
        <v>0</v>
      </c>
      <c r="AA576" s="4"/>
      <c r="AB576" s="4"/>
      <c r="AC576">
        <f t="shared" si="47"/>
        <v>2</v>
      </c>
    </row>
    <row r="577" spans="1:30" ht="42" x14ac:dyDescent="0.3">
      <c r="A577" s="7" t="s">
        <v>62</v>
      </c>
      <c r="B577" s="6">
        <v>564</v>
      </c>
      <c r="C577" s="7" t="s">
        <v>2323</v>
      </c>
      <c r="D577" s="7" t="s">
        <v>2389</v>
      </c>
      <c r="E577" s="5"/>
      <c r="F577" s="4"/>
      <c r="G577" s="7" t="s">
        <v>2390</v>
      </c>
      <c r="H577" s="5"/>
      <c r="I577" s="5"/>
      <c r="J577" s="21" t="s">
        <v>2391</v>
      </c>
      <c r="K577" s="7" t="s">
        <v>24</v>
      </c>
      <c r="L577" s="7" t="s">
        <v>2392</v>
      </c>
      <c r="M577" s="114">
        <v>1650178250</v>
      </c>
      <c r="N577" s="111"/>
      <c r="O577" s="114">
        <v>7500000</v>
      </c>
      <c r="P577" s="110"/>
      <c r="Q577" s="109">
        <f t="shared" si="43"/>
        <v>1657678250</v>
      </c>
      <c r="R577" s="14">
        <v>1650178250</v>
      </c>
      <c r="S577" s="5"/>
      <c r="T577" s="33">
        <v>7500000</v>
      </c>
      <c r="U577" s="5"/>
      <c r="V577" s="5"/>
      <c r="W577" s="28"/>
      <c r="X577" s="28">
        <f t="shared" si="44"/>
        <v>0</v>
      </c>
      <c r="Y577" s="28">
        <f t="shared" si="45"/>
        <v>0</v>
      </c>
      <c r="Z577" s="28">
        <f t="shared" si="46"/>
        <v>0</v>
      </c>
      <c r="AA577" s="4"/>
      <c r="AB577" s="4"/>
      <c r="AC577">
        <f t="shared" si="47"/>
        <v>2</v>
      </c>
    </row>
    <row r="578" spans="1:30" ht="31.2" x14ac:dyDescent="0.3">
      <c r="A578" s="7" t="s">
        <v>46</v>
      </c>
      <c r="B578" s="6">
        <v>565</v>
      </c>
      <c r="C578" s="7" t="s">
        <v>2323</v>
      </c>
      <c r="D578" s="7" t="s">
        <v>2393</v>
      </c>
      <c r="E578" s="5"/>
      <c r="F578" s="40" t="s">
        <v>858</v>
      </c>
      <c r="G578" s="7" t="s">
        <v>2394</v>
      </c>
      <c r="H578" s="5"/>
      <c r="I578" s="5"/>
      <c r="J578" s="21" t="s">
        <v>2395</v>
      </c>
      <c r="K578" s="7" t="s">
        <v>24</v>
      </c>
      <c r="L578" s="7" t="s">
        <v>2396</v>
      </c>
      <c r="M578" s="114">
        <v>1871632320</v>
      </c>
      <c r="N578" s="111"/>
      <c r="O578" s="114">
        <v>15000000</v>
      </c>
      <c r="P578" s="112">
        <v>24000000</v>
      </c>
      <c r="Q578" s="109">
        <f t="shared" si="43"/>
        <v>1910632320</v>
      </c>
      <c r="R578" s="14">
        <v>1871632320</v>
      </c>
      <c r="S578" s="5"/>
      <c r="T578" s="30">
        <v>15000000</v>
      </c>
      <c r="U578" s="14">
        <v>24000000</v>
      </c>
      <c r="V578" s="5"/>
      <c r="W578" s="28"/>
      <c r="X578" s="28">
        <f t="shared" si="44"/>
        <v>0</v>
      </c>
      <c r="Y578" s="28">
        <f t="shared" si="45"/>
        <v>0</v>
      </c>
      <c r="Z578" s="28">
        <f t="shared" si="46"/>
        <v>0</v>
      </c>
      <c r="AA578" s="4"/>
      <c r="AB578" s="4"/>
      <c r="AC578">
        <f t="shared" si="47"/>
        <v>2</v>
      </c>
    </row>
    <row r="579" spans="1:30" ht="31.2" x14ac:dyDescent="0.3">
      <c r="A579" s="7" t="s">
        <v>18</v>
      </c>
      <c r="B579" s="6">
        <v>566</v>
      </c>
      <c r="C579" s="7" t="s">
        <v>2323</v>
      </c>
      <c r="D579" s="7" t="s">
        <v>2397</v>
      </c>
      <c r="E579" s="7"/>
      <c r="F579" s="4"/>
      <c r="G579" s="7" t="s">
        <v>2398</v>
      </c>
      <c r="H579" s="7"/>
      <c r="I579" s="7"/>
      <c r="J579" s="7" t="s">
        <v>2399</v>
      </c>
      <c r="K579" s="7" t="s">
        <v>24</v>
      </c>
      <c r="L579" s="7" t="s">
        <v>2400</v>
      </c>
      <c r="M579" s="114">
        <v>41760857447</v>
      </c>
      <c r="N579" s="111"/>
      <c r="O579" s="109">
        <v>15000000</v>
      </c>
      <c r="P579" s="110"/>
      <c r="Q579" s="109">
        <f t="shared" si="43"/>
        <v>41775857447</v>
      </c>
      <c r="R579" s="14">
        <v>41760857447</v>
      </c>
      <c r="S579" s="5"/>
      <c r="T579" s="72"/>
      <c r="U579" s="5"/>
      <c r="V579" s="5"/>
      <c r="W579" s="28"/>
      <c r="X579" s="28">
        <f t="shared" si="44"/>
        <v>0</v>
      </c>
      <c r="Y579" s="36">
        <f t="shared" si="45"/>
        <v>15000000</v>
      </c>
      <c r="Z579" s="28">
        <f t="shared" si="46"/>
        <v>0</v>
      </c>
      <c r="AA579" s="4"/>
      <c r="AB579" s="40"/>
      <c r="AC579" s="121">
        <f t="shared" si="47"/>
        <v>2</v>
      </c>
      <c r="AD579" s="121"/>
    </row>
    <row r="580" spans="1:30" ht="63" x14ac:dyDescent="0.3">
      <c r="A580" s="7" t="s">
        <v>2290</v>
      </c>
      <c r="B580" s="6">
        <v>567</v>
      </c>
      <c r="C580" s="7" t="s">
        <v>2323</v>
      </c>
      <c r="D580" s="7" t="s">
        <v>2401</v>
      </c>
      <c r="E580" s="7" t="s">
        <v>2402</v>
      </c>
      <c r="F580" s="4"/>
      <c r="G580" s="7" t="s">
        <v>2403</v>
      </c>
      <c r="H580" s="5"/>
      <c r="I580" s="5"/>
      <c r="J580" s="21" t="s">
        <v>2404</v>
      </c>
      <c r="K580" s="7" t="s">
        <v>24</v>
      </c>
      <c r="L580" s="7" t="s">
        <v>2405</v>
      </c>
      <c r="M580" s="114">
        <v>2967127072</v>
      </c>
      <c r="N580" s="114">
        <v>394557580</v>
      </c>
      <c r="O580" s="114">
        <v>15000000</v>
      </c>
      <c r="P580" s="110"/>
      <c r="Q580" s="109">
        <f t="shared" si="43"/>
        <v>3376684652</v>
      </c>
      <c r="R580" s="14">
        <v>2967127072</v>
      </c>
      <c r="S580" s="14">
        <v>394557580</v>
      </c>
      <c r="T580" s="30">
        <v>15000000</v>
      </c>
      <c r="U580" s="5"/>
      <c r="V580" s="5"/>
      <c r="W580" s="28"/>
      <c r="X580" s="28">
        <f t="shared" si="44"/>
        <v>0</v>
      </c>
      <c r="Y580" s="28">
        <f t="shared" si="45"/>
        <v>0</v>
      </c>
      <c r="Z580" s="28">
        <f t="shared" si="46"/>
        <v>0</v>
      </c>
      <c r="AA580" s="4"/>
      <c r="AB580" s="4"/>
      <c r="AC580">
        <f t="shared" si="47"/>
        <v>2</v>
      </c>
    </row>
    <row r="581" spans="1:30" ht="62.4" customHeight="1" x14ac:dyDescent="0.3">
      <c r="A581" s="7" t="s">
        <v>18</v>
      </c>
      <c r="B581" s="6">
        <v>568</v>
      </c>
      <c r="C581" s="7" t="s">
        <v>2323</v>
      </c>
      <c r="D581" s="7" t="s">
        <v>2406</v>
      </c>
      <c r="E581" s="5"/>
      <c r="F581" s="40" t="s">
        <v>2407</v>
      </c>
      <c r="G581" s="7" t="s">
        <v>2408</v>
      </c>
      <c r="H581" s="5"/>
      <c r="I581" s="5"/>
      <c r="J581" s="21" t="s">
        <v>2409</v>
      </c>
      <c r="K581" s="7" t="s">
        <v>24</v>
      </c>
      <c r="L581" s="7" t="s">
        <v>2410</v>
      </c>
      <c r="M581" s="114">
        <v>3684148720</v>
      </c>
      <c r="N581" s="111"/>
      <c r="O581" s="114">
        <v>15000000</v>
      </c>
      <c r="P581" s="112">
        <v>72000000</v>
      </c>
      <c r="Q581" s="109">
        <f t="shared" si="43"/>
        <v>3771148720</v>
      </c>
      <c r="R581" s="14">
        <v>3684148720</v>
      </c>
      <c r="S581" s="5"/>
      <c r="T581" s="30">
        <v>15000000</v>
      </c>
      <c r="U581" s="14">
        <v>72000000</v>
      </c>
      <c r="V581" s="5"/>
      <c r="W581" s="28"/>
      <c r="X581" s="28">
        <f t="shared" si="44"/>
        <v>0</v>
      </c>
      <c r="Y581" s="28">
        <f t="shared" si="45"/>
        <v>0</v>
      </c>
      <c r="Z581" s="28">
        <f t="shared" si="46"/>
        <v>0</v>
      </c>
      <c r="AA581" s="4"/>
      <c r="AB581" s="4"/>
      <c r="AC581">
        <f t="shared" si="47"/>
        <v>2</v>
      </c>
    </row>
    <row r="582" spans="1:30" ht="42" x14ac:dyDescent="0.3">
      <c r="A582" s="7" t="s">
        <v>18</v>
      </c>
      <c r="B582" s="6">
        <v>569</v>
      </c>
      <c r="C582" s="7" t="s">
        <v>2323</v>
      </c>
      <c r="D582" s="7" t="s">
        <v>2411</v>
      </c>
      <c r="E582" s="5"/>
      <c r="F582" s="4"/>
      <c r="G582" s="7" t="s">
        <v>2412</v>
      </c>
      <c r="H582" s="5"/>
      <c r="I582" s="5"/>
      <c r="J582" s="21" t="s">
        <v>2413</v>
      </c>
      <c r="K582" s="7" t="s">
        <v>24</v>
      </c>
      <c r="L582" s="7" t="s">
        <v>2414</v>
      </c>
      <c r="M582" s="114">
        <v>6823115420</v>
      </c>
      <c r="N582" s="111"/>
      <c r="O582" s="114">
        <v>15000000</v>
      </c>
      <c r="P582" s="110"/>
      <c r="Q582" s="109">
        <f t="shared" si="43"/>
        <v>6838115420</v>
      </c>
      <c r="R582" s="14">
        <v>6823115420</v>
      </c>
      <c r="S582" s="5"/>
      <c r="T582" s="30">
        <v>15000000</v>
      </c>
      <c r="U582" s="5"/>
      <c r="V582" s="5"/>
      <c r="W582" s="28"/>
      <c r="X582" s="28">
        <f t="shared" si="44"/>
        <v>0</v>
      </c>
      <c r="Y582" s="28">
        <f t="shared" si="45"/>
        <v>0</v>
      </c>
      <c r="Z582" s="28">
        <f t="shared" si="46"/>
        <v>0</v>
      </c>
      <c r="AA582" s="4"/>
      <c r="AB582" s="4"/>
      <c r="AC582">
        <f t="shared" si="47"/>
        <v>2</v>
      </c>
    </row>
    <row r="583" spans="1:30" ht="42" x14ac:dyDescent="0.3">
      <c r="A583" s="7" t="s">
        <v>1601</v>
      </c>
      <c r="B583" s="6">
        <v>570</v>
      </c>
      <c r="C583" s="7" t="s">
        <v>2323</v>
      </c>
      <c r="D583" s="7" t="s">
        <v>2415</v>
      </c>
      <c r="E583" s="5"/>
      <c r="F583" s="4"/>
      <c r="G583" s="7" t="s">
        <v>2416</v>
      </c>
      <c r="H583" s="5"/>
      <c r="I583" s="5"/>
      <c r="J583" s="21" t="s">
        <v>2417</v>
      </c>
      <c r="K583" s="7" t="s">
        <v>24</v>
      </c>
      <c r="L583" s="7" t="s">
        <v>2418</v>
      </c>
      <c r="M583" s="114">
        <v>223003630</v>
      </c>
      <c r="N583" s="111"/>
      <c r="O583" s="114">
        <v>7500000</v>
      </c>
      <c r="P583" s="110"/>
      <c r="Q583" s="109">
        <f t="shared" si="43"/>
        <v>230503630</v>
      </c>
      <c r="R583" s="14">
        <v>223003630</v>
      </c>
      <c r="S583" s="5"/>
      <c r="T583" s="30">
        <v>7500000</v>
      </c>
      <c r="U583" s="5"/>
      <c r="V583" s="5"/>
      <c r="W583" s="28"/>
      <c r="X583" s="28">
        <f t="shared" si="44"/>
        <v>0</v>
      </c>
      <c r="Y583" s="28">
        <f t="shared" si="45"/>
        <v>0</v>
      </c>
      <c r="Z583" s="28">
        <f t="shared" si="46"/>
        <v>0</v>
      </c>
      <c r="AA583" s="4"/>
      <c r="AB583" s="4"/>
      <c r="AC583">
        <f t="shared" si="47"/>
        <v>2</v>
      </c>
    </row>
    <row r="584" spans="1:30" ht="42" x14ac:dyDescent="0.3">
      <c r="A584" s="7" t="s">
        <v>1601</v>
      </c>
      <c r="B584" s="6">
        <v>571</v>
      </c>
      <c r="C584" s="7" t="s">
        <v>2323</v>
      </c>
      <c r="D584" s="7" t="s">
        <v>2419</v>
      </c>
      <c r="E584" s="5"/>
      <c r="F584" s="4"/>
      <c r="G584" s="7" t="s">
        <v>2420</v>
      </c>
      <c r="H584" s="5"/>
      <c r="I584" s="5"/>
      <c r="J584" s="21" t="s">
        <v>1468</v>
      </c>
      <c r="K584" s="7" t="s">
        <v>24</v>
      </c>
      <c r="L584" s="7" t="s">
        <v>2421</v>
      </c>
      <c r="M584" s="114">
        <v>4591185242</v>
      </c>
      <c r="N584" s="111"/>
      <c r="O584" s="114">
        <v>7500000</v>
      </c>
      <c r="P584" s="110"/>
      <c r="Q584" s="109">
        <f t="shared" si="43"/>
        <v>4598685242</v>
      </c>
      <c r="R584" s="36">
        <v>4591185242</v>
      </c>
      <c r="S584" s="5"/>
      <c r="T584" s="30">
        <v>7500000</v>
      </c>
      <c r="U584" s="5"/>
      <c r="V584" s="5"/>
      <c r="W584" s="28"/>
      <c r="X584" s="28">
        <f t="shared" si="44"/>
        <v>0</v>
      </c>
      <c r="Y584" s="28">
        <f t="shared" si="45"/>
        <v>0</v>
      </c>
      <c r="Z584" s="28">
        <f t="shared" si="46"/>
        <v>0</v>
      </c>
      <c r="AA584" s="4"/>
      <c r="AB584" s="4"/>
      <c r="AC584">
        <f t="shared" si="47"/>
        <v>2</v>
      </c>
    </row>
    <row r="585" spans="1:30" ht="31.2" x14ac:dyDescent="0.3">
      <c r="A585" s="7" t="s">
        <v>62</v>
      </c>
      <c r="B585" s="6">
        <v>572</v>
      </c>
      <c r="C585" s="7" t="s">
        <v>2323</v>
      </c>
      <c r="D585" s="7" t="s">
        <v>2422</v>
      </c>
      <c r="E585" s="5"/>
      <c r="F585" s="4"/>
      <c r="G585" s="7" t="s">
        <v>2423</v>
      </c>
      <c r="H585" s="5"/>
      <c r="I585" s="5"/>
      <c r="J585" s="21" t="s">
        <v>2424</v>
      </c>
      <c r="K585" s="7" t="s">
        <v>24</v>
      </c>
      <c r="L585" s="7" t="s">
        <v>2425</v>
      </c>
      <c r="M585" s="114">
        <v>1598877052</v>
      </c>
      <c r="N585" s="111"/>
      <c r="O585" s="114">
        <v>7500000</v>
      </c>
      <c r="P585" s="110"/>
      <c r="Q585" s="109">
        <f t="shared" si="43"/>
        <v>1606377052</v>
      </c>
      <c r="R585" s="14">
        <v>1598877052</v>
      </c>
      <c r="S585" s="5"/>
      <c r="T585" s="30">
        <v>7500000</v>
      </c>
      <c r="U585" s="5"/>
      <c r="V585" s="5"/>
      <c r="W585" s="28"/>
      <c r="X585" s="28">
        <f t="shared" si="44"/>
        <v>0</v>
      </c>
      <c r="Y585" s="28">
        <f t="shared" si="45"/>
        <v>0</v>
      </c>
      <c r="Z585" s="28">
        <f t="shared" si="46"/>
        <v>0</v>
      </c>
      <c r="AA585" s="4"/>
      <c r="AB585" s="4"/>
      <c r="AC585">
        <f t="shared" si="47"/>
        <v>2</v>
      </c>
    </row>
    <row r="586" spans="1:30" ht="31.2" x14ac:dyDescent="0.4">
      <c r="A586" s="7" t="s">
        <v>62</v>
      </c>
      <c r="B586" s="6">
        <v>573</v>
      </c>
      <c r="C586" s="7" t="s">
        <v>2323</v>
      </c>
      <c r="D586" s="7" t="s">
        <v>2426</v>
      </c>
      <c r="E586" s="7" t="s">
        <v>2427</v>
      </c>
      <c r="F586" s="4"/>
      <c r="G586" s="7" t="s">
        <v>2428</v>
      </c>
      <c r="H586" s="7"/>
      <c r="I586" s="7"/>
      <c r="J586" s="7" t="s">
        <v>2429</v>
      </c>
      <c r="K586" s="7" t="s">
        <v>24</v>
      </c>
      <c r="L586" s="7" t="s">
        <v>2430</v>
      </c>
      <c r="M586" s="114">
        <v>4657154105</v>
      </c>
      <c r="N586" s="111"/>
      <c r="O586" s="109">
        <v>15000000</v>
      </c>
      <c r="P586" s="110"/>
      <c r="Q586" s="109">
        <f t="shared" si="43"/>
        <v>4672154105</v>
      </c>
      <c r="R586" s="5"/>
      <c r="S586" s="5"/>
      <c r="T586" s="72"/>
      <c r="U586" s="5"/>
      <c r="V586" s="5"/>
      <c r="W586" s="28">
        <v>4657154105</v>
      </c>
      <c r="X586" s="28">
        <f t="shared" si="44"/>
        <v>0</v>
      </c>
      <c r="Y586" s="36">
        <f t="shared" si="45"/>
        <v>15000000</v>
      </c>
      <c r="Z586" s="28">
        <f t="shared" si="46"/>
        <v>0</v>
      </c>
      <c r="AA586" s="16">
        <v>4657154105</v>
      </c>
      <c r="AB586" s="40"/>
      <c r="AC586" s="121">
        <f t="shared" si="47"/>
        <v>2</v>
      </c>
      <c r="AD586" s="121"/>
    </row>
    <row r="587" spans="1:30" ht="42" x14ac:dyDescent="0.3">
      <c r="A587" s="7" t="s">
        <v>1601</v>
      </c>
      <c r="B587" s="6">
        <v>574</v>
      </c>
      <c r="C587" s="7" t="s">
        <v>2323</v>
      </c>
      <c r="D587" s="7" t="s">
        <v>2431</v>
      </c>
      <c r="E587" s="5"/>
      <c r="F587" s="4"/>
      <c r="G587" s="7" t="s">
        <v>2432</v>
      </c>
      <c r="H587" s="5"/>
      <c r="I587" s="5"/>
      <c r="J587" s="21" t="s">
        <v>2433</v>
      </c>
      <c r="K587" s="7" t="s">
        <v>24</v>
      </c>
      <c r="L587" s="7" t="s">
        <v>2434</v>
      </c>
      <c r="M587" s="114">
        <v>2293726938</v>
      </c>
      <c r="N587" s="111"/>
      <c r="O587" s="114">
        <v>7500000</v>
      </c>
      <c r="P587" s="110"/>
      <c r="Q587" s="109">
        <f t="shared" si="43"/>
        <v>2301226938</v>
      </c>
      <c r="R587" s="36">
        <v>2293726938</v>
      </c>
      <c r="S587" s="5"/>
      <c r="T587" s="30">
        <v>7500000</v>
      </c>
      <c r="U587" s="5"/>
      <c r="V587" s="5"/>
      <c r="W587" s="28"/>
      <c r="X587" s="28">
        <f t="shared" si="44"/>
        <v>0</v>
      </c>
      <c r="Y587" s="28">
        <f t="shared" si="45"/>
        <v>0</v>
      </c>
      <c r="Z587" s="28">
        <f t="shared" si="46"/>
        <v>0</v>
      </c>
      <c r="AA587" s="4"/>
      <c r="AB587" s="4"/>
      <c r="AC587">
        <f t="shared" si="47"/>
        <v>2</v>
      </c>
    </row>
    <row r="588" spans="1:30" ht="31.2" x14ac:dyDescent="0.3">
      <c r="A588" s="7" t="s">
        <v>62</v>
      </c>
      <c r="B588" s="6">
        <v>575</v>
      </c>
      <c r="C588" s="7" t="s">
        <v>2323</v>
      </c>
      <c r="D588" s="7" t="s">
        <v>2435</v>
      </c>
      <c r="E588" s="7" t="s">
        <v>2436</v>
      </c>
      <c r="F588" s="4" t="s">
        <v>3890</v>
      </c>
      <c r="G588" s="7" t="s">
        <v>2437</v>
      </c>
      <c r="H588" s="7" t="s">
        <v>2438</v>
      </c>
      <c r="I588" s="5"/>
      <c r="J588" s="21" t="s">
        <v>2439</v>
      </c>
      <c r="K588" s="7" t="s">
        <v>24</v>
      </c>
      <c r="L588" s="7" t="s">
        <v>2440</v>
      </c>
      <c r="M588" s="114">
        <v>2862700618</v>
      </c>
      <c r="N588" s="114">
        <v>122707142</v>
      </c>
      <c r="O588" s="114">
        <v>15000000</v>
      </c>
      <c r="P588" s="110">
        <v>60000000</v>
      </c>
      <c r="Q588" s="109">
        <f t="shared" si="43"/>
        <v>3060407760</v>
      </c>
      <c r="R588" s="14">
        <v>2862700618</v>
      </c>
      <c r="S588" s="14">
        <v>122707142</v>
      </c>
      <c r="T588" s="30">
        <v>15000000</v>
      </c>
      <c r="U588" s="5"/>
      <c r="V588" s="5"/>
      <c r="W588" s="28"/>
      <c r="X588" s="28">
        <f t="shared" si="44"/>
        <v>0</v>
      </c>
      <c r="Y588" s="28">
        <f t="shared" si="45"/>
        <v>0</v>
      </c>
      <c r="Z588" s="28">
        <f t="shared" si="46"/>
        <v>60000000</v>
      </c>
      <c r="AA588" s="4"/>
      <c r="AB588" s="4"/>
      <c r="AC588">
        <f t="shared" si="47"/>
        <v>2</v>
      </c>
    </row>
    <row r="589" spans="1:30" ht="42" x14ac:dyDescent="0.3">
      <c r="A589" s="7" t="s">
        <v>18</v>
      </c>
      <c r="B589" s="6">
        <v>576</v>
      </c>
      <c r="C589" s="7" t="s">
        <v>2323</v>
      </c>
      <c r="D589" s="7" t="s">
        <v>2441</v>
      </c>
      <c r="E589" s="7" t="s">
        <v>2442</v>
      </c>
      <c r="F589" s="40" t="s">
        <v>1208</v>
      </c>
      <c r="G589" s="7" t="s">
        <v>2443</v>
      </c>
      <c r="H589" s="5"/>
      <c r="I589" s="5"/>
      <c r="J589" s="21" t="s">
        <v>2444</v>
      </c>
      <c r="K589" s="7" t="s">
        <v>24</v>
      </c>
      <c r="L589" s="7" t="s">
        <v>2445</v>
      </c>
      <c r="M589" s="114">
        <v>490595850</v>
      </c>
      <c r="N589" s="114">
        <v>2336428122</v>
      </c>
      <c r="O589" s="114">
        <v>15000000</v>
      </c>
      <c r="P589" s="112">
        <v>42000000</v>
      </c>
      <c r="Q589" s="109">
        <f t="shared" si="43"/>
        <v>2884023972</v>
      </c>
      <c r="R589" s="14">
        <v>490595850</v>
      </c>
      <c r="S589" s="14">
        <v>2336428122</v>
      </c>
      <c r="T589" s="30">
        <v>15000000</v>
      </c>
      <c r="U589" s="14">
        <v>42000000</v>
      </c>
      <c r="V589" s="5"/>
      <c r="W589" s="28"/>
      <c r="X589" s="28">
        <f t="shared" si="44"/>
        <v>0</v>
      </c>
      <c r="Y589" s="28">
        <f t="shared" si="45"/>
        <v>0</v>
      </c>
      <c r="Z589" s="28">
        <f t="shared" si="46"/>
        <v>0</v>
      </c>
      <c r="AA589" s="4"/>
      <c r="AB589" s="4"/>
      <c r="AC589">
        <f t="shared" si="47"/>
        <v>2</v>
      </c>
    </row>
    <row r="590" spans="1:30" ht="63" x14ac:dyDescent="0.3">
      <c r="A590" s="7" t="s">
        <v>18</v>
      </c>
      <c r="B590" s="6">
        <v>577</v>
      </c>
      <c r="C590" s="7" t="s">
        <v>2323</v>
      </c>
      <c r="D590" s="7" t="s">
        <v>2446</v>
      </c>
      <c r="E590" s="7" t="s">
        <v>1922</v>
      </c>
      <c r="F590" s="40" t="s">
        <v>3871</v>
      </c>
      <c r="G590" s="7" t="s">
        <v>2447</v>
      </c>
      <c r="H590" s="7" t="s">
        <v>2448</v>
      </c>
      <c r="I590" s="5"/>
      <c r="J590" s="21" t="s">
        <v>2449</v>
      </c>
      <c r="K590" s="7" t="s">
        <v>24</v>
      </c>
      <c r="L590" s="7" t="s">
        <v>2450</v>
      </c>
      <c r="M590" s="114">
        <v>3664901998</v>
      </c>
      <c r="N590" s="114">
        <v>306209442</v>
      </c>
      <c r="O590" s="114">
        <v>15000000</v>
      </c>
      <c r="P590" s="112">
        <v>162000000</v>
      </c>
      <c r="Q590" s="109">
        <f t="shared" si="43"/>
        <v>4148111440</v>
      </c>
      <c r="R590" s="14">
        <v>3664901998</v>
      </c>
      <c r="S590" s="14">
        <v>306209442</v>
      </c>
      <c r="T590" s="30">
        <v>15000000</v>
      </c>
      <c r="U590" s="14">
        <v>54000000</v>
      </c>
      <c r="V590" s="5"/>
      <c r="W590" s="28"/>
      <c r="X590" s="28">
        <f t="shared" si="44"/>
        <v>0</v>
      </c>
      <c r="Y590" s="28">
        <f t="shared" si="45"/>
        <v>0</v>
      </c>
      <c r="Z590" s="28">
        <f t="shared" si="46"/>
        <v>108000000</v>
      </c>
      <c r="AA590" s="4"/>
      <c r="AB590" s="4"/>
      <c r="AC590">
        <f t="shared" si="47"/>
        <v>2</v>
      </c>
    </row>
    <row r="591" spans="1:30" ht="42" x14ac:dyDescent="0.3">
      <c r="A591" s="7" t="s">
        <v>1601</v>
      </c>
      <c r="B591" s="6">
        <v>578</v>
      </c>
      <c r="C591" s="7" t="s">
        <v>2323</v>
      </c>
      <c r="D591" s="7" t="s">
        <v>2451</v>
      </c>
      <c r="E591" s="5"/>
      <c r="F591" s="4"/>
      <c r="G591" s="7" t="s">
        <v>2452</v>
      </c>
      <c r="H591" s="5"/>
      <c r="I591" s="5"/>
      <c r="J591" s="21" t="s">
        <v>2453</v>
      </c>
      <c r="K591" s="7" t="s">
        <v>24</v>
      </c>
      <c r="L591" s="7" t="s">
        <v>2454</v>
      </c>
      <c r="M591" s="114">
        <v>2671997320</v>
      </c>
      <c r="N591" s="111"/>
      <c r="O591" s="114">
        <v>15000000</v>
      </c>
      <c r="P591" s="110"/>
      <c r="Q591" s="109">
        <f t="shared" ref="Q591:Q654" si="48">M591+N591+O591+P591</f>
        <v>2686997320</v>
      </c>
      <c r="R591" s="36">
        <v>2671997320</v>
      </c>
      <c r="S591" s="5"/>
      <c r="T591" s="30">
        <v>15000000</v>
      </c>
      <c r="U591" s="5"/>
      <c r="V591" s="5"/>
      <c r="W591" s="28"/>
      <c r="X591" s="28">
        <f t="shared" ref="X591:X654" si="49">N591-S591</f>
        <v>0</v>
      </c>
      <c r="Y591" s="28">
        <f t="shared" ref="Y591:Y654" si="50">O591-T591</f>
        <v>0</v>
      </c>
      <c r="Z591" s="28">
        <f t="shared" ref="Z591:Z654" si="51">P591-U591</f>
        <v>0</v>
      </c>
      <c r="AA591" s="4"/>
      <c r="AB591" s="4"/>
      <c r="AC591">
        <f t="shared" ref="AC591:AC654" si="52">IF(AB591=G591,1,2)</f>
        <v>2</v>
      </c>
    </row>
    <row r="592" spans="1:30" ht="31.2" x14ac:dyDescent="0.3">
      <c r="A592" s="7" t="s">
        <v>1601</v>
      </c>
      <c r="B592" s="6">
        <v>579</v>
      </c>
      <c r="C592" s="7" t="s">
        <v>2323</v>
      </c>
      <c r="D592" s="7" t="s">
        <v>2455</v>
      </c>
      <c r="E592" s="7" t="s">
        <v>2456</v>
      </c>
      <c r="F592" s="4"/>
      <c r="G592" s="7" t="s">
        <v>2457</v>
      </c>
      <c r="H592" s="7" t="s">
        <v>1717</v>
      </c>
      <c r="I592" s="5"/>
      <c r="J592" s="21" t="s">
        <v>2458</v>
      </c>
      <c r="K592" s="7" t="s">
        <v>24</v>
      </c>
      <c r="L592" s="7" t="s">
        <v>2459</v>
      </c>
      <c r="M592" s="114">
        <v>68554474200</v>
      </c>
      <c r="N592" s="114">
        <v>6111803210</v>
      </c>
      <c r="O592" s="114">
        <v>7500000</v>
      </c>
      <c r="P592" s="110"/>
      <c r="Q592" s="109">
        <f t="shared" si="48"/>
        <v>74673777410</v>
      </c>
      <c r="R592" s="36">
        <v>68554474200</v>
      </c>
      <c r="S592" s="3">
        <v>6111803210</v>
      </c>
      <c r="T592" s="30">
        <v>7500000</v>
      </c>
      <c r="U592" s="5"/>
      <c r="V592" s="5"/>
      <c r="W592" s="28"/>
      <c r="X592" s="28">
        <f t="shared" si="49"/>
        <v>0</v>
      </c>
      <c r="Y592" s="28">
        <f t="shared" si="50"/>
        <v>0</v>
      </c>
      <c r="Z592" s="28">
        <f t="shared" si="51"/>
        <v>0</v>
      </c>
      <c r="AA592" s="4"/>
      <c r="AB592" s="4"/>
      <c r="AC592">
        <f t="shared" si="52"/>
        <v>2</v>
      </c>
    </row>
    <row r="593" spans="1:30" ht="218.4" x14ac:dyDescent="0.3">
      <c r="A593" s="7" t="s">
        <v>2290</v>
      </c>
      <c r="B593" s="6">
        <v>580</v>
      </c>
      <c r="C593" s="7" t="s">
        <v>2323</v>
      </c>
      <c r="D593" s="7" t="s">
        <v>2460</v>
      </c>
      <c r="E593" s="7"/>
      <c r="F593" s="4"/>
      <c r="G593" s="7" t="s">
        <v>2461</v>
      </c>
      <c r="H593" s="44" t="s">
        <v>2462</v>
      </c>
      <c r="I593" s="7"/>
      <c r="J593" s="7" t="s">
        <v>786</v>
      </c>
      <c r="K593" s="7" t="s">
        <v>24</v>
      </c>
      <c r="L593" s="7" t="s">
        <v>2463</v>
      </c>
      <c r="M593" s="114">
        <v>1711695248</v>
      </c>
      <c r="N593" s="111"/>
      <c r="O593" s="109">
        <v>7500000</v>
      </c>
      <c r="P593" s="110"/>
      <c r="Q593" s="109">
        <f t="shared" si="48"/>
        <v>1719195248</v>
      </c>
      <c r="R593" s="14">
        <v>1711695248</v>
      </c>
      <c r="S593" s="5"/>
      <c r="T593" s="72"/>
      <c r="U593" s="5"/>
      <c r="V593" s="5"/>
      <c r="W593" s="28"/>
      <c r="X593" s="28">
        <f t="shared" si="49"/>
        <v>0</v>
      </c>
      <c r="Y593" s="36">
        <f t="shared" si="50"/>
        <v>7500000</v>
      </c>
      <c r="Z593" s="28">
        <f t="shared" si="51"/>
        <v>0</v>
      </c>
      <c r="AA593" s="4"/>
      <c r="AB593" s="40"/>
      <c r="AC593" s="121">
        <f t="shared" si="52"/>
        <v>2</v>
      </c>
      <c r="AD593" s="121"/>
    </row>
    <row r="594" spans="1:30" ht="31.2" x14ac:dyDescent="0.3">
      <c r="A594" s="7" t="s">
        <v>1601</v>
      </c>
      <c r="B594" s="6">
        <v>581</v>
      </c>
      <c r="C594" s="7" t="s">
        <v>2323</v>
      </c>
      <c r="D594" s="7" t="s">
        <v>2464</v>
      </c>
      <c r="E594" s="5"/>
      <c r="F594" s="4"/>
      <c r="G594" s="7" t="s">
        <v>2465</v>
      </c>
      <c r="H594" s="5"/>
      <c r="I594" s="5"/>
      <c r="J594" s="21" t="s">
        <v>2466</v>
      </c>
      <c r="K594" s="7" t="s">
        <v>24</v>
      </c>
      <c r="L594" s="7" t="s">
        <v>2467</v>
      </c>
      <c r="M594" s="114">
        <v>7112339220</v>
      </c>
      <c r="N594" s="111"/>
      <c r="O594" s="114">
        <v>7500000</v>
      </c>
      <c r="P594" s="110"/>
      <c r="Q594" s="109">
        <f t="shared" si="48"/>
        <v>7119839220</v>
      </c>
      <c r="R594" s="36">
        <v>7112339220</v>
      </c>
      <c r="S594" s="5"/>
      <c r="T594" s="31">
        <v>7500000</v>
      </c>
      <c r="U594" s="5"/>
      <c r="V594" s="5"/>
      <c r="W594" s="28"/>
      <c r="X594" s="28">
        <f t="shared" si="49"/>
        <v>0</v>
      </c>
      <c r="Y594" s="28">
        <f t="shared" si="50"/>
        <v>0</v>
      </c>
      <c r="Z594" s="28">
        <f t="shared" si="51"/>
        <v>0</v>
      </c>
      <c r="AA594" s="4"/>
      <c r="AB594" s="4"/>
      <c r="AC594">
        <f t="shared" si="52"/>
        <v>2</v>
      </c>
    </row>
    <row r="595" spans="1:30" ht="31.2" x14ac:dyDescent="0.3">
      <c r="A595" s="7" t="s">
        <v>18</v>
      </c>
      <c r="B595" s="6">
        <v>582</v>
      </c>
      <c r="C595" s="7" t="s">
        <v>2323</v>
      </c>
      <c r="D595" s="7" t="s">
        <v>2468</v>
      </c>
      <c r="E595" s="7" t="s">
        <v>2470</v>
      </c>
      <c r="F595" s="7" t="s">
        <v>2469</v>
      </c>
      <c r="G595" s="7" t="s">
        <v>2471</v>
      </c>
      <c r="H595" s="7"/>
      <c r="I595" s="7"/>
      <c r="J595" s="7" t="s">
        <v>2472</v>
      </c>
      <c r="K595" s="7" t="s">
        <v>24</v>
      </c>
      <c r="L595" s="7" t="s">
        <v>2473</v>
      </c>
      <c r="M595" s="114">
        <v>9159919264</v>
      </c>
      <c r="N595" s="116">
        <v>705698588</v>
      </c>
      <c r="O595" s="109">
        <v>15000000</v>
      </c>
      <c r="P595" s="112">
        <v>24000000</v>
      </c>
      <c r="Q595" s="109">
        <f t="shared" si="48"/>
        <v>9904617852</v>
      </c>
      <c r="R595" s="14">
        <v>9159919264</v>
      </c>
      <c r="S595" s="17">
        <v>705698588</v>
      </c>
      <c r="T595" s="72"/>
      <c r="U595" s="14">
        <v>24000000</v>
      </c>
      <c r="V595" s="5"/>
      <c r="W595" s="28"/>
      <c r="X595" s="28">
        <f t="shared" si="49"/>
        <v>0</v>
      </c>
      <c r="Y595" s="36">
        <f t="shared" si="50"/>
        <v>15000000</v>
      </c>
      <c r="Z595" s="28">
        <f t="shared" si="51"/>
        <v>0</v>
      </c>
      <c r="AA595" s="4"/>
      <c r="AB595" s="40"/>
      <c r="AC595" s="121">
        <f t="shared" si="52"/>
        <v>2</v>
      </c>
      <c r="AD595" s="121"/>
    </row>
    <row r="596" spans="1:30" ht="46.8" x14ac:dyDescent="0.3">
      <c r="A596" s="7" t="s">
        <v>18</v>
      </c>
      <c r="B596" s="6">
        <v>583</v>
      </c>
      <c r="C596" s="7" t="s">
        <v>2323</v>
      </c>
      <c r="D596" s="7" t="s">
        <v>2474</v>
      </c>
      <c r="E596" s="7"/>
      <c r="F596" s="4"/>
      <c r="G596" s="7" t="s">
        <v>2475</v>
      </c>
      <c r="H596" s="7"/>
      <c r="I596" s="7"/>
      <c r="J596" s="7" t="s">
        <v>2476</v>
      </c>
      <c r="K596" s="7" t="s">
        <v>24</v>
      </c>
      <c r="L596" s="7" t="s">
        <v>2477</v>
      </c>
      <c r="M596" s="114">
        <v>10795952385</v>
      </c>
      <c r="N596" s="111"/>
      <c r="O596" s="109">
        <v>7500000</v>
      </c>
      <c r="P596" s="110"/>
      <c r="Q596" s="109">
        <f t="shared" si="48"/>
        <v>10803452385</v>
      </c>
      <c r="R596" s="14">
        <v>10795952385</v>
      </c>
      <c r="S596" s="5"/>
      <c r="T596" s="72"/>
      <c r="U596" s="5"/>
      <c r="V596" s="5"/>
      <c r="W596" s="28"/>
      <c r="X596" s="28">
        <f t="shared" si="49"/>
        <v>0</v>
      </c>
      <c r="Y596" s="36">
        <f t="shared" si="50"/>
        <v>7500000</v>
      </c>
      <c r="Z596" s="28">
        <f t="shared" si="51"/>
        <v>0</v>
      </c>
      <c r="AA596" s="4"/>
      <c r="AB596" s="40"/>
      <c r="AC596" s="121">
        <f t="shared" si="52"/>
        <v>2</v>
      </c>
      <c r="AD596" s="121"/>
    </row>
    <row r="597" spans="1:30" ht="42" x14ac:dyDescent="0.3">
      <c r="A597" s="7" t="s">
        <v>2290</v>
      </c>
      <c r="B597" s="6">
        <v>584</v>
      </c>
      <c r="C597" s="7" t="s">
        <v>2323</v>
      </c>
      <c r="D597" s="7" t="s">
        <v>2478</v>
      </c>
      <c r="E597" s="5"/>
      <c r="F597" s="4"/>
      <c r="G597" s="7" t="s">
        <v>2479</v>
      </c>
      <c r="H597" s="5"/>
      <c r="I597" s="5"/>
      <c r="J597" s="21" t="s">
        <v>2480</v>
      </c>
      <c r="K597" s="7" t="s">
        <v>24</v>
      </c>
      <c r="L597" s="7" t="s">
        <v>2481</v>
      </c>
      <c r="M597" s="114">
        <v>2819871600</v>
      </c>
      <c r="N597" s="111"/>
      <c r="O597" s="114">
        <v>7500000</v>
      </c>
      <c r="P597" s="110"/>
      <c r="Q597" s="109">
        <f t="shared" si="48"/>
        <v>2827371600</v>
      </c>
      <c r="R597" s="14">
        <v>2819871600</v>
      </c>
      <c r="S597" s="5"/>
      <c r="T597" s="31">
        <v>7500000</v>
      </c>
      <c r="U597" s="5"/>
      <c r="V597" s="5"/>
      <c r="W597" s="28"/>
      <c r="X597" s="28">
        <f t="shared" si="49"/>
        <v>0</v>
      </c>
      <c r="Y597" s="28">
        <f t="shared" si="50"/>
        <v>0</v>
      </c>
      <c r="Z597" s="28">
        <f t="shared" si="51"/>
        <v>0</v>
      </c>
      <c r="AA597" s="4"/>
      <c r="AB597" s="4"/>
      <c r="AC597">
        <f t="shared" si="52"/>
        <v>2</v>
      </c>
    </row>
    <row r="598" spans="1:30" ht="42" x14ac:dyDescent="0.3">
      <c r="A598" s="7" t="s">
        <v>18</v>
      </c>
      <c r="B598" s="6">
        <v>585</v>
      </c>
      <c r="C598" s="7" t="s">
        <v>2323</v>
      </c>
      <c r="D598" s="7" t="s">
        <v>2482</v>
      </c>
      <c r="E598" s="5"/>
      <c r="F598" s="4"/>
      <c r="G598" s="7" t="s">
        <v>2483</v>
      </c>
      <c r="H598" s="5"/>
      <c r="I598" s="5"/>
      <c r="J598" s="21" t="s">
        <v>2484</v>
      </c>
      <c r="K598" s="7" t="s">
        <v>24</v>
      </c>
      <c r="L598" s="7" t="s">
        <v>2485</v>
      </c>
      <c r="M598" s="114">
        <v>22402051899</v>
      </c>
      <c r="N598" s="111"/>
      <c r="O598" s="114">
        <v>15000000</v>
      </c>
      <c r="P598" s="110"/>
      <c r="Q598" s="109">
        <f t="shared" si="48"/>
        <v>22417051899</v>
      </c>
      <c r="R598" s="14">
        <v>22402051899</v>
      </c>
      <c r="S598" s="5"/>
      <c r="T598" s="30">
        <v>15000000</v>
      </c>
      <c r="U598" s="5"/>
      <c r="V598" s="5"/>
      <c r="W598" s="28"/>
      <c r="X598" s="28">
        <f t="shared" si="49"/>
        <v>0</v>
      </c>
      <c r="Y598" s="28">
        <f t="shared" si="50"/>
        <v>0</v>
      </c>
      <c r="Z598" s="28">
        <f t="shared" si="51"/>
        <v>0</v>
      </c>
      <c r="AA598" s="4"/>
      <c r="AB598" s="4"/>
      <c r="AC598">
        <f t="shared" si="52"/>
        <v>2</v>
      </c>
    </row>
    <row r="599" spans="1:30" ht="62.4" customHeight="1" x14ac:dyDescent="0.3">
      <c r="A599" s="7" t="s">
        <v>18</v>
      </c>
      <c r="B599" s="6">
        <v>586</v>
      </c>
      <c r="C599" s="7" t="s">
        <v>2323</v>
      </c>
      <c r="D599" s="7" t="s">
        <v>2486</v>
      </c>
      <c r="E599" s="5"/>
      <c r="F599" s="40" t="s">
        <v>1679</v>
      </c>
      <c r="G599" s="7" t="s">
        <v>2487</v>
      </c>
      <c r="H599" s="5"/>
      <c r="I599" s="5"/>
      <c r="J599" s="21" t="s">
        <v>2488</v>
      </c>
      <c r="K599" s="7" t="s">
        <v>24</v>
      </c>
      <c r="L599" s="7" t="s">
        <v>2489</v>
      </c>
      <c r="M599" s="114">
        <v>3912494400</v>
      </c>
      <c r="N599" s="111"/>
      <c r="O599" s="114">
        <v>15000000</v>
      </c>
      <c r="P599" s="112">
        <v>48000000</v>
      </c>
      <c r="Q599" s="109">
        <f t="shared" si="48"/>
        <v>3975494400</v>
      </c>
      <c r="R599" s="14">
        <v>3912494400</v>
      </c>
      <c r="S599" s="5"/>
      <c r="T599" s="30">
        <v>15000000</v>
      </c>
      <c r="U599" s="14">
        <v>48000000</v>
      </c>
      <c r="V599" s="5"/>
      <c r="W599" s="28"/>
      <c r="X599" s="28">
        <f t="shared" si="49"/>
        <v>0</v>
      </c>
      <c r="Y599" s="28">
        <f t="shared" si="50"/>
        <v>0</v>
      </c>
      <c r="Z599" s="28">
        <f t="shared" si="51"/>
        <v>0</v>
      </c>
      <c r="AA599" s="4"/>
      <c r="AB599" s="4"/>
      <c r="AC599">
        <f t="shared" si="52"/>
        <v>2</v>
      </c>
    </row>
    <row r="600" spans="1:30" ht="31.2" x14ac:dyDescent="0.3">
      <c r="A600" s="7" t="s">
        <v>2290</v>
      </c>
      <c r="B600" s="6">
        <v>587</v>
      </c>
      <c r="C600" s="7" t="s">
        <v>2323</v>
      </c>
      <c r="D600" s="7" t="s">
        <v>2490</v>
      </c>
      <c r="E600" s="7" t="s">
        <v>982</v>
      </c>
      <c r="F600" s="4"/>
      <c r="G600" s="7" t="s">
        <v>2491</v>
      </c>
      <c r="H600" s="5"/>
      <c r="I600" s="5"/>
      <c r="J600" s="21" t="s">
        <v>2492</v>
      </c>
      <c r="K600" s="7" t="s">
        <v>24</v>
      </c>
      <c r="L600" s="7" t="s">
        <v>2493</v>
      </c>
      <c r="M600" s="114">
        <v>1123628598</v>
      </c>
      <c r="N600" s="114">
        <v>258107850</v>
      </c>
      <c r="O600" s="114">
        <v>7500000</v>
      </c>
      <c r="P600" s="110"/>
      <c r="Q600" s="109">
        <f t="shared" si="48"/>
        <v>1389236448</v>
      </c>
      <c r="R600" s="14">
        <v>1123628598</v>
      </c>
      <c r="S600" s="3">
        <v>258107850</v>
      </c>
      <c r="T600" s="33">
        <v>7500000</v>
      </c>
      <c r="U600" s="5"/>
      <c r="V600" s="5"/>
      <c r="W600" s="28"/>
      <c r="X600" s="28">
        <f t="shared" si="49"/>
        <v>0</v>
      </c>
      <c r="Y600" s="28">
        <f t="shared" si="50"/>
        <v>0</v>
      </c>
      <c r="Z600" s="28">
        <f t="shared" si="51"/>
        <v>0</v>
      </c>
      <c r="AA600" s="4"/>
      <c r="AB600" s="4"/>
      <c r="AC600">
        <f t="shared" si="52"/>
        <v>2</v>
      </c>
    </row>
    <row r="601" spans="1:30" ht="42" x14ac:dyDescent="0.3">
      <c r="A601" s="7" t="s">
        <v>1601</v>
      </c>
      <c r="B601" s="6">
        <v>588</v>
      </c>
      <c r="C601" s="7" t="s">
        <v>2323</v>
      </c>
      <c r="D601" s="7" t="s">
        <v>2494</v>
      </c>
      <c r="E601" s="7" t="s">
        <v>982</v>
      </c>
      <c r="F601" s="4"/>
      <c r="G601" s="7" t="s">
        <v>2495</v>
      </c>
      <c r="H601" s="5"/>
      <c r="I601" s="5"/>
      <c r="J601" s="21" t="s">
        <v>2496</v>
      </c>
      <c r="K601" s="7" t="s">
        <v>24</v>
      </c>
      <c r="L601" s="7" t="s">
        <v>2497</v>
      </c>
      <c r="M601" s="114">
        <v>289367750</v>
      </c>
      <c r="N601" s="114">
        <v>66783150</v>
      </c>
      <c r="O601" s="114">
        <v>7500000</v>
      </c>
      <c r="P601" s="110"/>
      <c r="Q601" s="109">
        <f t="shared" si="48"/>
        <v>363650900</v>
      </c>
      <c r="R601" s="14">
        <v>289367750</v>
      </c>
      <c r="S601" s="14">
        <v>66783150</v>
      </c>
      <c r="T601" s="33">
        <v>7500000</v>
      </c>
      <c r="U601" s="5"/>
      <c r="V601" s="5"/>
      <c r="W601" s="28"/>
      <c r="X601" s="28">
        <f t="shared" si="49"/>
        <v>0</v>
      </c>
      <c r="Y601" s="28">
        <f t="shared" si="50"/>
        <v>0</v>
      </c>
      <c r="Z601" s="28">
        <f t="shared" si="51"/>
        <v>0</v>
      </c>
      <c r="AA601" s="4"/>
      <c r="AB601" s="4"/>
      <c r="AC601">
        <f t="shared" si="52"/>
        <v>2</v>
      </c>
    </row>
    <row r="602" spans="1:30" ht="42" x14ac:dyDescent="0.3">
      <c r="A602" s="7" t="s">
        <v>1601</v>
      </c>
      <c r="B602" s="6">
        <v>589</v>
      </c>
      <c r="C602" s="7" t="s">
        <v>2323</v>
      </c>
      <c r="D602" s="7" t="s">
        <v>2498</v>
      </c>
      <c r="E602" s="5"/>
      <c r="F602" s="40" t="s">
        <v>858</v>
      </c>
      <c r="G602" s="7" t="s">
        <v>2499</v>
      </c>
      <c r="H602" s="5"/>
      <c r="I602" s="5"/>
      <c r="J602" s="21" t="s">
        <v>2500</v>
      </c>
      <c r="K602" s="7" t="s">
        <v>24</v>
      </c>
      <c r="L602" s="7" t="s">
        <v>2501</v>
      </c>
      <c r="M602" s="114">
        <v>1143797868</v>
      </c>
      <c r="N602" s="111"/>
      <c r="O602" s="114">
        <v>15000000</v>
      </c>
      <c r="P602" s="112">
        <v>24000000</v>
      </c>
      <c r="Q602" s="109">
        <f t="shared" si="48"/>
        <v>1182797868</v>
      </c>
      <c r="R602" s="36">
        <v>1143797868</v>
      </c>
      <c r="S602" s="5"/>
      <c r="T602" s="30">
        <v>15000000</v>
      </c>
      <c r="U602" s="3">
        <v>24000000</v>
      </c>
      <c r="V602" s="5"/>
      <c r="W602" s="28"/>
      <c r="X602" s="28">
        <f t="shared" si="49"/>
        <v>0</v>
      </c>
      <c r="Y602" s="28">
        <f t="shared" si="50"/>
        <v>0</v>
      </c>
      <c r="Z602" s="28">
        <f t="shared" si="51"/>
        <v>0</v>
      </c>
      <c r="AA602" s="4"/>
      <c r="AB602" s="4"/>
      <c r="AC602">
        <f t="shared" si="52"/>
        <v>2</v>
      </c>
    </row>
    <row r="603" spans="1:30" ht="31.2" x14ac:dyDescent="0.3">
      <c r="A603" s="7" t="s">
        <v>62</v>
      </c>
      <c r="B603" s="6">
        <v>590</v>
      </c>
      <c r="C603" s="7" t="s">
        <v>2323</v>
      </c>
      <c r="D603" s="7" t="s">
        <v>2502</v>
      </c>
      <c r="E603" s="5"/>
      <c r="F603" s="4"/>
      <c r="G603" s="7" t="s">
        <v>2503</v>
      </c>
      <c r="H603" s="5"/>
      <c r="I603" s="5"/>
      <c r="J603" s="21" t="s">
        <v>2504</v>
      </c>
      <c r="K603" s="7" t="s">
        <v>24</v>
      </c>
      <c r="L603" s="7" t="s">
        <v>2505</v>
      </c>
      <c r="M603" s="114">
        <v>1667596776</v>
      </c>
      <c r="N603" s="111"/>
      <c r="O603" s="114">
        <v>7500000</v>
      </c>
      <c r="P603" s="110"/>
      <c r="Q603" s="109">
        <f t="shared" si="48"/>
        <v>1675096776</v>
      </c>
      <c r="R603" s="14">
        <v>1667596776</v>
      </c>
      <c r="S603" s="5"/>
      <c r="T603" s="33">
        <v>7500000</v>
      </c>
      <c r="U603" s="5"/>
      <c r="V603" s="5"/>
      <c r="W603" s="28"/>
      <c r="X603" s="28">
        <f t="shared" si="49"/>
        <v>0</v>
      </c>
      <c r="Y603" s="28">
        <f t="shared" si="50"/>
        <v>0</v>
      </c>
      <c r="Z603" s="28">
        <f t="shared" si="51"/>
        <v>0</v>
      </c>
      <c r="AA603" s="4"/>
      <c r="AB603" s="4"/>
      <c r="AC603">
        <f t="shared" si="52"/>
        <v>2</v>
      </c>
    </row>
    <row r="604" spans="1:30" ht="42" x14ac:dyDescent="0.4">
      <c r="A604" s="40" t="s">
        <v>18</v>
      </c>
      <c r="B604" s="6">
        <v>591</v>
      </c>
      <c r="C604" s="7" t="s">
        <v>2323</v>
      </c>
      <c r="D604" s="7" t="s">
        <v>2506</v>
      </c>
      <c r="E604" s="7" t="s">
        <v>1145</v>
      </c>
      <c r="F604" s="7" t="s">
        <v>505</v>
      </c>
      <c r="G604" s="7" t="s">
        <v>2507</v>
      </c>
      <c r="H604" s="7" t="s">
        <v>2508</v>
      </c>
      <c r="I604" s="5"/>
      <c r="J604" s="21" t="s">
        <v>2509</v>
      </c>
      <c r="K604" s="7" t="s">
        <v>24</v>
      </c>
      <c r="L604" s="7" t="s">
        <v>2510</v>
      </c>
      <c r="M604" s="114">
        <v>1856869939</v>
      </c>
      <c r="N604" s="114">
        <v>461717485</v>
      </c>
      <c r="O604" s="114">
        <v>15000000</v>
      </c>
      <c r="P604" s="112">
        <v>8000000</v>
      </c>
      <c r="Q604" s="109">
        <f t="shared" si="48"/>
        <v>2341587424</v>
      </c>
      <c r="R604" s="28">
        <v>1856869939</v>
      </c>
      <c r="S604" s="28">
        <v>461717485</v>
      </c>
      <c r="T604" s="30">
        <v>15000000</v>
      </c>
      <c r="U604" s="5"/>
      <c r="V604" s="5"/>
      <c r="W604" s="28"/>
      <c r="X604" s="28">
        <f t="shared" si="49"/>
        <v>0</v>
      </c>
      <c r="Y604" s="28">
        <f t="shared" si="50"/>
        <v>0</v>
      </c>
      <c r="Z604" s="28">
        <f t="shared" si="51"/>
        <v>8000000</v>
      </c>
      <c r="AA604" s="16"/>
      <c r="AB604" s="4"/>
      <c r="AC604">
        <f t="shared" si="52"/>
        <v>2</v>
      </c>
    </row>
    <row r="605" spans="1:30" ht="62.4" x14ac:dyDescent="0.3">
      <c r="A605" s="7" t="s">
        <v>1601</v>
      </c>
      <c r="B605" s="6">
        <v>592</v>
      </c>
      <c r="C605" s="7" t="s">
        <v>2323</v>
      </c>
      <c r="D605" s="7" t="s">
        <v>2511</v>
      </c>
      <c r="E605" s="7" t="s">
        <v>3875</v>
      </c>
      <c r="F605" s="40" t="s">
        <v>2512</v>
      </c>
      <c r="G605" s="7" t="s">
        <v>2514</v>
      </c>
      <c r="H605" s="7" t="s">
        <v>3903</v>
      </c>
      <c r="I605" s="5"/>
      <c r="J605" s="7" t="s">
        <v>2516</v>
      </c>
      <c r="K605" s="7" t="s">
        <v>24</v>
      </c>
      <c r="L605" s="7" t="s">
        <v>2517</v>
      </c>
      <c r="M605" s="109">
        <v>9029596830</v>
      </c>
      <c r="N605" s="109">
        <v>1121289520</v>
      </c>
      <c r="O605" s="114">
        <v>15000000</v>
      </c>
      <c r="P605" s="112">
        <v>48000000</v>
      </c>
      <c r="Q605" s="109">
        <f t="shared" si="48"/>
        <v>10213886350</v>
      </c>
      <c r="R605" s="36">
        <v>9029596830</v>
      </c>
      <c r="S605" s="3">
        <v>1121289520</v>
      </c>
      <c r="T605" s="31">
        <v>15000000</v>
      </c>
      <c r="U605" s="3">
        <v>48000000</v>
      </c>
      <c r="V605" s="5"/>
      <c r="W605" s="28"/>
      <c r="X605" s="36">
        <f t="shared" si="49"/>
        <v>0</v>
      </c>
      <c r="Y605" s="28">
        <f t="shared" si="50"/>
        <v>0</v>
      </c>
      <c r="Z605" s="28">
        <f t="shared" si="51"/>
        <v>0</v>
      </c>
      <c r="AA605" s="40"/>
      <c r="AB605" s="40"/>
      <c r="AC605" s="61">
        <f t="shared" si="52"/>
        <v>2</v>
      </c>
      <c r="AD605" s="61"/>
    </row>
    <row r="606" spans="1:30" ht="31.2" x14ac:dyDescent="0.3">
      <c r="A606" s="7" t="s">
        <v>1601</v>
      </c>
      <c r="B606" s="6">
        <v>593</v>
      </c>
      <c r="C606" s="7" t="s">
        <v>2323</v>
      </c>
      <c r="D606" s="7" t="s">
        <v>2518</v>
      </c>
      <c r="E606" s="5"/>
      <c r="F606" s="4"/>
      <c r="G606" s="7" t="s">
        <v>2519</v>
      </c>
      <c r="H606" s="5"/>
      <c r="I606" s="5"/>
      <c r="J606" s="21" t="s">
        <v>2520</v>
      </c>
      <c r="K606" s="7" t="s">
        <v>24</v>
      </c>
      <c r="L606" s="7" t="s">
        <v>2521</v>
      </c>
      <c r="M606" s="114">
        <v>4657447500</v>
      </c>
      <c r="N606" s="111"/>
      <c r="O606" s="114">
        <v>7500000</v>
      </c>
      <c r="P606" s="110"/>
      <c r="Q606" s="109">
        <f t="shared" si="48"/>
        <v>4664947500</v>
      </c>
      <c r="R606" s="14">
        <v>4657447500</v>
      </c>
      <c r="S606" s="5"/>
      <c r="T606" s="33">
        <v>7500000</v>
      </c>
      <c r="U606" s="5"/>
      <c r="V606" s="5"/>
      <c r="W606" s="28"/>
      <c r="X606" s="28">
        <f t="shared" si="49"/>
        <v>0</v>
      </c>
      <c r="Y606" s="28">
        <f t="shared" si="50"/>
        <v>0</v>
      </c>
      <c r="Z606" s="28">
        <f t="shared" si="51"/>
        <v>0</v>
      </c>
      <c r="AA606" s="4"/>
      <c r="AB606" s="4"/>
      <c r="AC606">
        <f t="shared" si="52"/>
        <v>2</v>
      </c>
    </row>
    <row r="607" spans="1:30" ht="42" x14ac:dyDescent="0.3">
      <c r="A607" s="7" t="s">
        <v>1601</v>
      </c>
      <c r="B607" s="6">
        <v>594</v>
      </c>
      <c r="C607" s="7" t="s">
        <v>2323</v>
      </c>
      <c r="D607" s="7" t="s">
        <v>2522</v>
      </c>
      <c r="E607" s="5"/>
      <c r="F607" s="4"/>
      <c r="G607" s="7" t="s">
        <v>2523</v>
      </c>
      <c r="H607" s="5"/>
      <c r="I607" s="5"/>
      <c r="J607" s="21" t="s">
        <v>1536</v>
      </c>
      <c r="K607" s="7" t="s">
        <v>24</v>
      </c>
      <c r="L607" s="7" t="s">
        <v>2524</v>
      </c>
      <c r="M607" s="114">
        <v>3031671576</v>
      </c>
      <c r="N607" s="111"/>
      <c r="O607" s="114">
        <v>15000000</v>
      </c>
      <c r="P607" s="110"/>
      <c r="Q607" s="109">
        <f t="shared" si="48"/>
        <v>3046671576</v>
      </c>
      <c r="R607" s="36">
        <v>3031671576</v>
      </c>
      <c r="S607" s="5"/>
      <c r="T607" s="30">
        <v>15000000</v>
      </c>
      <c r="U607" s="5"/>
      <c r="V607" s="5"/>
      <c r="W607" s="28"/>
      <c r="X607" s="28">
        <f t="shared" si="49"/>
        <v>0</v>
      </c>
      <c r="Y607" s="28">
        <f t="shared" si="50"/>
        <v>0</v>
      </c>
      <c r="Z607" s="28">
        <f t="shared" si="51"/>
        <v>0</v>
      </c>
      <c r="AA607" s="4"/>
      <c r="AB607" s="4"/>
      <c r="AC607">
        <f t="shared" si="52"/>
        <v>2</v>
      </c>
    </row>
    <row r="608" spans="1:30" ht="31.2" x14ac:dyDescent="0.3">
      <c r="A608" s="7" t="s">
        <v>46</v>
      </c>
      <c r="B608" s="6">
        <v>595</v>
      </c>
      <c r="C608" s="7" t="s">
        <v>2323</v>
      </c>
      <c r="D608" s="7" t="s">
        <v>2525</v>
      </c>
      <c r="E608" s="5"/>
      <c r="F608" s="4"/>
      <c r="G608" s="7" t="s">
        <v>2526</v>
      </c>
      <c r="H608" s="5"/>
      <c r="I608" s="5"/>
      <c r="J608" s="21" t="s">
        <v>2527</v>
      </c>
      <c r="K608" s="7" t="s">
        <v>24</v>
      </c>
      <c r="L608" s="7" t="s">
        <v>2528</v>
      </c>
      <c r="M608" s="114">
        <v>3664053620</v>
      </c>
      <c r="N608" s="111"/>
      <c r="O608" s="114">
        <v>15000000</v>
      </c>
      <c r="P608" s="110"/>
      <c r="Q608" s="109">
        <f t="shared" si="48"/>
        <v>3679053620</v>
      </c>
      <c r="R608" s="14">
        <v>3664053620</v>
      </c>
      <c r="S608" s="5"/>
      <c r="T608" s="30">
        <v>15000000</v>
      </c>
      <c r="U608" s="5"/>
      <c r="V608" s="5"/>
      <c r="W608" s="28"/>
      <c r="X608" s="28">
        <f t="shared" si="49"/>
        <v>0</v>
      </c>
      <c r="Y608" s="28">
        <f t="shared" si="50"/>
        <v>0</v>
      </c>
      <c r="Z608" s="28">
        <f t="shared" si="51"/>
        <v>0</v>
      </c>
      <c r="AA608" s="4"/>
      <c r="AB608" s="4"/>
      <c r="AC608">
        <f t="shared" si="52"/>
        <v>2</v>
      </c>
    </row>
    <row r="609" spans="1:30" ht="31.2" x14ac:dyDescent="0.3">
      <c r="A609" s="7" t="s">
        <v>18</v>
      </c>
      <c r="B609" s="6">
        <v>596</v>
      </c>
      <c r="C609" s="7" t="s">
        <v>2323</v>
      </c>
      <c r="D609" s="7" t="s">
        <v>2529</v>
      </c>
      <c r="E609" s="5"/>
      <c r="F609" s="4"/>
      <c r="G609" s="7" t="s">
        <v>2530</v>
      </c>
      <c r="H609" s="5"/>
      <c r="I609" s="5"/>
      <c r="J609" s="21" t="s">
        <v>2531</v>
      </c>
      <c r="K609" s="7" t="s">
        <v>24</v>
      </c>
      <c r="L609" s="7" t="s">
        <v>2532</v>
      </c>
      <c r="M609" s="114">
        <v>4539694518</v>
      </c>
      <c r="N609" s="111"/>
      <c r="O609" s="114">
        <v>15000000</v>
      </c>
      <c r="P609" s="110"/>
      <c r="Q609" s="109">
        <f t="shared" si="48"/>
        <v>4554694518</v>
      </c>
      <c r="R609" s="14">
        <v>4539694518</v>
      </c>
      <c r="S609" s="5"/>
      <c r="T609" s="30">
        <v>15000000</v>
      </c>
      <c r="U609" s="5"/>
      <c r="V609" s="5"/>
      <c r="W609" s="28"/>
      <c r="X609" s="28">
        <f t="shared" si="49"/>
        <v>0</v>
      </c>
      <c r="Y609" s="28">
        <f t="shared" si="50"/>
        <v>0</v>
      </c>
      <c r="Z609" s="28">
        <f t="shared" si="51"/>
        <v>0</v>
      </c>
      <c r="AA609" s="4"/>
      <c r="AB609" s="4"/>
      <c r="AC609">
        <f t="shared" si="52"/>
        <v>2</v>
      </c>
    </row>
    <row r="610" spans="1:30" ht="46.8" x14ac:dyDescent="0.3">
      <c r="A610" s="7" t="s">
        <v>18</v>
      </c>
      <c r="B610" s="6">
        <v>597</v>
      </c>
      <c r="C610" s="7" t="s">
        <v>2323</v>
      </c>
      <c r="D610" s="7" t="s">
        <v>2533</v>
      </c>
      <c r="E610" s="5"/>
      <c r="F610" s="40" t="s">
        <v>1208</v>
      </c>
      <c r="G610" s="7" t="s">
        <v>2534</v>
      </c>
      <c r="H610" s="5"/>
      <c r="I610" s="5"/>
      <c r="J610" s="21" t="s">
        <v>2535</v>
      </c>
      <c r="K610" s="7" t="s">
        <v>24</v>
      </c>
      <c r="L610" s="7" t="s">
        <v>2536</v>
      </c>
      <c r="M610" s="114">
        <v>594243660</v>
      </c>
      <c r="N610" s="111"/>
      <c r="O610" s="114">
        <v>15000000</v>
      </c>
      <c r="P610" s="112">
        <v>60000000</v>
      </c>
      <c r="Q610" s="109">
        <f t="shared" si="48"/>
        <v>669243660</v>
      </c>
      <c r="R610" s="14">
        <v>594243660</v>
      </c>
      <c r="S610" s="5"/>
      <c r="T610" s="30">
        <v>15000000</v>
      </c>
      <c r="U610" s="14">
        <v>60000000</v>
      </c>
      <c r="V610" s="5"/>
      <c r="W610" s="28"/>
      <c r="X610" s="28">
        <f t="shared" si="49"/>
        <v>0</v>
      </c>
      <c r="Y610" s="28">
        <f t="shared" si="50"/>
        <v>0</v>
      </c>
      <c r="Z610" s="28">
        <f t="shared" si="51"/>
        <v>0</v>
      </c>
      <c r="AA610" s="4"/>
      <c r="AB610" s="4"/>
      <c r="AC610">
        <f t="shared" si="52"/>
        <v>2</v>
      </c>
    </row>
    <row r="611" spans="1:30" ht="42" x14ac:dyDescent="0.3">
      <c r="A611" s="7" t="s">
        <v>18</v>
      </c>
      <c r="B611" s="6">
        <v>598</v>
      </c>
      <c r="C611" s="7" t="s">
        <v>2323</v>
      </c>
      <c r="D611" s="7" t="s">
        <v>2537</v>
      </c>
      <c r="E611" s="5"/>
      <c r="F611" s="4"/>
      <c r="G611" s="7" t="s">
        <v>2538</v>
      </c>
      <c r="H611" s="5"/>
      <c r="I611" s="5"/>
      <c r="J611" s="21" t="s">
        <v>2539</v>
      </c>
      <c r="K611" s="7" t="s">
        <v>24</v>
      </c>
      <c r="L611" s="7" t="s">
        <v>1631</v>
      </c>
      <c r="M611" s="114">
        <v>1167043337</v>
      </c>
      <c r="N611" s="111"/>
      <c r="O611" s="114">
        <v>15000000</v>
      </c>
      <c r="P611" s="110"/>
      <c r="Q611" s="109">
        <f t="shared" si="48"/>
        <v>1182043337</v>
      </c>
      <c r="R611" s="14">
        <v>1167043337</v>
      </c>
      <c r="S611" s="5"/>
      <c r="T611" s="30">
        <v>15000000</v>
      </c>
      <c r="U611" s="5"/>
      <c r="V611" s="5"/>
      <c r="W611" s="28"/>
      <c r="X611" s="28">
        <f t="shared" si="49"/>
        <v>0</v>
      </c>
      <c r="Y611" s="28">
        <f t="shared" si="50"/>
        <v>0</v>
      </c>
      <c r="Z611" s="28">
        <f t="shared" si="51"/>
        <v>0</v>
      </c>
      <c r="AA611" s="4"/>
      <c r="AB611" s="4"/>
      <c r="AC611">
        <f t="shared" si="52"/>
        <v>2</v>
      </c>
    </row>
    <row r="612" spans="1:30" ht="84" x14ac:dyDescent="0.3">
      <c r="A612" s="7" t="s">
        <v>46</v>
      </c>
      <c r="B612" s="6">
        <v>599</v>
      </c>
      <c r="C612" s="7" t="s">
        <v>2323</v>
      </c>
      <c r="D612" s="7" t="s">
        <v>2540</v>
      </c>
      <c r="E612" s="7" t="s">
        <v>2542</v>
      </c>
      <c r="F612" s="40" t="s">
        <v>2541</v>
      </c>
      <c r="G612" s="7" t="s">
        <v>2543</v>
      </c>
      <c r="H612" s="5"/>
      <c r="I612" s="5"/>
      <c r="J612" s="21" t="s">
        <v>2544</v>
      </c>
      <c r="K612" s="7" t="s">
        <v>24</v>
      </c>
      <c r="L612" s="7" t="s">
        <v>2545</v>
      </c>
      <c r="M612" s="114">
        <v>1021855390</v>
      </c>
      <c r="N612" s="114">
        <v>627822258</v>
      </c>
      <c r="O612" s="114">
        <v>15000000</v>
      </c>
      <c r="P612" s="112">
        <v>24000000</v>
      </c>
      <c r="Q612" s="109">
        <f t="shared" si="48"/>
        <v>1688677648</v>
      </c>
      <c r="R612" s="14">
        <v>1021855390</v>
      </c>
      <c r="S612" s="14">
        <v>627822258</v>
      </c>
      <c r="T612" s="30">
        <v>15000000</v>
      </c>
      <c r="U612" s="14">
        <v>24000000</v>
      </c>
      <c r="V612" s="5"/>
      <c r="W612" s="28"/>
      <c r="X612" s="28">
        <f t="shared" si="49"/>
        <v>0</v>
      </c>
      <c r="Y612" s="28">
        <f t="shared" si="50"/>
        <v>0</v>
      </c>
      <c r="Z612" s="28">
        <f t="shared" si="51"/>
        <v>0</v>
      </c>
      <c r="AA612" s="4"/>
      <c r="AB612" s="4"/>
      <c r="AC612">
        <f t="shared" si="52"/>
        <v>2</v>
      </c>
    </row>
    <row r="613" spans="1:30" ht="42" x14ac:dyDescent="0.3">
      <c r="A613" s="7" t="s">
        <v>62</v>
      </c>
      <c r="B613" s="6">
        <v>600</v>
      </c>
      <c r="C613" s="7" t="s">
        <v>2323</v>
      </c>
      <c r="D613" s="7" t="s">
        <v>2546</v>
      </c>
      <c r="E613" s="7" t="s">
        <v>2547</v>
      </c>
      <c r="F613" s="4"/>
      <c r="G613" s="7" t="s">
        <v>2548</v>
      </c>
      <c r="H613" s="7" t="s">
        <v>2549</v>
      </c>
      <c r="I613" s="5"/>
      <c r="J613" s="21" t="s">
        <v>2550</v>
      </c>
      <c r="K613" s="7" t="s">
        <v>24</v>
      </c>
      <c r="L613" s="7" t="s">
        <v>2551</v>
      </c>
      <c r="M613" s="114">
        <v>1144818850</v>
      </c>
      <c r="N613" s="114">
        <v>312256350</v>
      </c>
      <c r="O613" s="114">
        <v>7500000</v>
      </c>
      <c r="P613" s="110"/>
      <c r="Q613" s="109">
        <f t="shared" si="48"/>
        <v>1464575200</v>
      </c>
      <c r="R613" s="14">
        <v>1144818850</v>
      </c>
      <c r="S613" s="14">
        <v>312256350</v>
      </c>
      <c r="T613" s="30">
        <v>7500000</v>
      </c>
      <c r="U613" s="5"/>
      <c r="V613" s="5"/>
      <c r="W613" s="28"/>
      <c r="X613" s="28">
        <f t="shared" si="49"/>
        <v>0</v>
      </c>
      <c r="Y613" s="28">
        <f t="shared" si="50"/>
        <v>0</v>
      </c>
      <c r="Z613" s="28">
        <f t="shared" si="51"/>
        <v>0</v>
      </c>
      <c r="AA613" s="4"/>
      <c r="AB613" s="4"/>
      <c r="AC613">
        <f t="shared" si="52"/>
        <v>2</v>
      </c>
    </row>
    <row r="614" spans="1:30" ht="62.4" customHeight="1" x14ac:dyDescent="0.3">
      <c r="A614" s="7" t="s">
        <v>18</v>
      </c>
      <c r="B614" s="6">
        <v>601</v>
      </c>
      <c r="C614" s="7" t="s">
        <v>2323</v>
      </c>
      <c r="D614" s="7" t="s">
        <v>2552</v>
      </c>
      <c r="E614" s="7" t="s">
        <v>2554</v>
      </c>
      <c r="F614" s="40" t="s">
        <v>2553</v>
      </c>
      <c r="G614" s="7" t="s">
        <v>2555</v>
      </c>
      <c r="H614" s="5"/>
      <c r="I614" s="5"/>
      <c r="J614" s="21" t="s">
        <v>2556</v>
      </c>
      <c r="K614" s="7" t="s">
        <v>24</v>
      </c>
      <c r="L614" s="7" t="s">
        <v>2557</v>
      </c>
      <c r="M614" s="114">
        <v>9937143048</v>
      </c>
      <c r="N614" s="114">
        <v>11165154312</v>
      </c>
      <c r="O614" s="114">
        <v>15000000</v>
      </c>
      <c r="P614" s="112">
        <v>216000000</v>
      </c>
      <c r="Q614" s="109">
        <f t="shared" si="48"/>
        <v>21333297360</v>
      </c>
      <c r="R614" s="14">
        <v>9937143048</v>
      </c>
      <c r="S614" s="14">
        <v>11165154312</v>
      </c>
      <c r="T614" s="30">
        <v>15000000</v>
      </c>
      <c r="U614" s="14">
        <v>72000000</v>
      </c>
      <c r="V614" s="5"/>
      <c r="W614" s="28"/>
      <c r="X614" s="28">
        <f t="shared" si="49"/>
        <v>0</v>
      </c>
      <c r="Y614" s="28">
        <f t="shared" si="50"/>
        <v>0</v>
      </c>
      <c r="Z614" s="28">
        <f t="shared" si="51"/>
        <v>144000000</v>
      </c>
      <c r="AA614" s="4"/>
      <c r="AB614" s="4"/>
      <c r="AC614">
        <f t="shared" si="52"/>
        <v>2</v>
      </c>
    </row>
    <row r="615" spans="1:30" ht="31.2" x14ac:dyDescent="0.3">
      <c r="A615" s="7" t="s">
        <v>1601</v>
      </c>
      <c r="B615" s="6">
        <v>602</v>
      </c>
      <c r="C615" s="7" t="s">
        <v>2323</v>
      </c>
      <c r="D615" s="7" t="s">
        <v>2558</v>
      </c>
      <c r="E615" s="7"/>
      <c r="F615" s="4"/>
      <c r="G615" s="7" t="s">
        <v>2559</v>
      </c>
      <c r="H615" s="7"/>
      <c r="I615" s="7"/>
      <c r="J615" s="7" t="s">
        <v>2560</v>
      </c>
      <c r="K615" s="7" t="s">
        <v>24</v>
      </c>
      <c r="L615" s="7" t="s">
        <v>2561</v>
      </c>
      <c r="M615" s="114">
        <v>3859546610</v>
      </c>
      <c r="N615" s="111"/>
      <c r="O615" s="109">
        <v>15000000</v>
      </c>
      <c r="P615" s="110"/>
      <c r="Q615" s="109">
        <f t="shared" si="48"/>
        <v>3874546610</v>
      </c>
      <c r="R615" s="5"/>
      <c r="S615" s="5"/>
      <c r="T615" s="72"/>
      <c r="U615" s="5"/>
      <c r="V615" s="5"/>
      <c r="W615" s="28">
        <v>3859546610</v>
      </c>
      <c r="X615" s="28">
        <f t="shared" si="49"/>
        <v>0</v>
      </c>
      <c r="Y615" s="36">
        <f t="shared" si="50"/>
        <v>15000000</v>
      </c>
      <c r="Z615" s="28">
        <f t="shared" si="51"/>
        <v>0</v>
      </c>
      <c r="AA615" s="8">
        <v>3859546610</v>
      </c>
      <c r="AB615" s="40"/>
      <c r="AC615" s="121">
        <f t="shared" si="52"/>
        <v>2</v>
      </c>
      <c r="AD615" s="121"/>
    </row>
    <row r="616" spans="1:30" ht="63" x14ac:dyDescent="0.3">
      <c r="A616" s="7" t="s">
        <v>53</v>
      </c>
      <c r="B616" s="6">
        <v>603</v>
      </c>
      <c r="C616" s="7" t="s">
        <v>2562</v>
      </c>
      <c r="D616" s="7" t="s">
        <v>2563</v>
      </c>
      <c r="E616" s="5"/>
      <c r="F616" s="4"/>
      <c r="G616" s="7" t="s">
        <v>2564</v>
      </c>
      <c r="H616" s="5"/>
      <c r="I616" s="7" t="s">
        <v>2565</v>
      </c>
      <c r="J616" s="21" t="s">
        <v>2566</v>
      </c>
      <c r="K616" s="7" t="s">
        <v>24</v>
      </c>
      <c r="L616" s="7" t="s">
        <v>2567</v>
      </c>
      <c r="M616" s="114">
        <v>8125156619</v>
      </c>
      <c r="N616" s="111"/>
      <c r="O616" s="114">
        <v>15000000</v>
      </c>
      <c r="P616" s="110"/>
      <c r="Q616" s="109">
        <f t="shared" si="48"/>
        <v>8140156619</v>
      </c>
      <c r="R616" s="14">
        <v>8125156619</v>
      </c>
      <c r="S616" s="5"/>
      <c r="T616" s="30">
        <v>15000000</v>
      </c>
      <c r="U616" s="5"/>
      <c r="V616" s="5"/>
      <c r="W616" s="28"/>
      <c r="X616" s="28">
        <f t="shared" si="49"/>
        <v>0</v>
      </c>
      <c r="Y616" s="28">
        <f t="shared" si="50"/>
        <v>0</v>
      </c>
      <c r="Z616" s="28">
        <f t="shared" si="51"/>
        <v>0</v>
      </c>
      <c r="AA616" s="4"/>
      <c r="AB616" s="4"/>
      <c r="AC616">
        <f t="shared" si="52"/>
        <v>2</v>
      </c>
    </row>
    <row r="617" spans="1:30" ht="62.4" customHeight="1" x14ac:dyDescent="0.3">
      <c r="A617" s="7" t="s">
        <v>46</v>
      </c>
      <c r="B617" s="6">
        <v>604</v>
      </c>
      <c r="C617" s="7" t="s">
        <v>2562</v>
      </c>
      <c r="D617" s="7" t="s">
        <v>2568</v>
      </c>
      <c r="E617" s="5"/>
      <c r="F617" s="40" t="s">
        <v>2569</v>
      </c>
      <c r="G617" s="7" t="s">
        <v>2570</v>
      </c>
      <c r="H617" s="5"/>
      <c r="I617" s="7" t="s">
        <v>2565</v>
      </c>
      <c r="J617" s="21" t="s">
        <v>2571</v>
      </c>
      <c r="K617" s="7" t="s">
        <v>24</v>
      </c>
      <c r="L617" s="7" t="s">
        <v>2572</v>
      </c>
      <c r="M617" s="114">
        <v>1552944130</v>
      </c>
      <c r="N617" s="111"/>
      <c r="O617" s="114">
        <v>15000000</v>
      </c>
      <c r="P617" s="112">
        <v>96000000</v>
      </c>
      <c r="Q617" s="109">
        <f t="shared" si="48"/>
        <v>1663944130</v>
      </c>
      <c r="R617" s="14">
        <v>1552944130</v>
      </c>
      <c r="S617" s="5"/>
      <c r="T617" s="30">
        <v>15000000</v>
      </c>
      <c r="U617" s="14">
        <v>96000000</v>
      </c>
      <c r="V617" s="5"/>
      <c r="W617" s="28"/>
      <c r="X617" s="28">
        <f t="shared" si="49"/>
        <v>0</v>
      </c>
      <c r="Y617" s="28">
        <f t="shared" si="50"/>
        <v>0</v>
      </c>
      <c r="Z617" s="28">
        <f t="shared" si="51"/>
        <v>0</v>
      </c>
      <c r="AA617" s="4"/>
      <c r="AB617" s="4"/>
      <c r="AC617">
        <f t="shared" si="52"/>
        <v>2</v>
      </c>
    </row>
    <row r="618" spans="1:30" ht="31.2" x14ac:dyDescent="0.3">
      <c r="A618" s="7" t="s">
        <v>62</v>
      </c>
      <c r="B618" s="6">
        <v>605</v>
      </c>
      <c r="C618" s="7" t="s">
        <v>2562</v>
      </c>
      <c r="D618" s="7" t="s">
        <v>2573</v>
      </c>
      <c r="E618" s="7" t="s">
        <v>2574</v>
      </c>
      <c r="F618" s="4"/>
      <c r="G618" s="7" t="s">
        <v>2575</v>
      </c>
      <c r="H618" s="7" t="s">
        <v>2576</v>
      </c>
      <c r="I618" s="7"/>
      <c r="J618" s="7" t="s">
        <v>2577</v>
      </c>
      <c r="K618" s="7" t="s">
        <v>24</v>
      </c>
      <c r="L618" s="7" t="s">
        <v>2578</v>
      </c>
      <c r="M618" s="114">
        <v>1671793805</v>
      </c>
      <c r="N618" s="114">
        <v>397954999</v>
      </c>
      <c r="O618" s="109">
        <v>7500000</v>
      </c>
      <c r="P618" s="110"/>
      <c r="Q618" s="109">
        <f t="shared" si="48"/>
        <v>2077248804</v>
      </c>
      <c r="R618" s="14">
        <v>1671793805</v>
      </c>
      <c r="S618" s="3">
        <v>397954999</v>
      </c>
      <c r="T618" s="72"/>
      <c r="U618" s="5"/>
      <c r="V618" s="5"/>
      <c r="W618" s="28"/>
      <c r="X618" s="28">
        <f t="shared" si="49"/>
        <v>0</v>
      </c>
      <c r="Y618" s="36">
        <f t="shared" si="50"/>
        <v>7500000</v>
      </c>
      <c r="Z618" s="28">
        <f t="shared" si="51"/>
        <v>0</v>
      </c>
      <c r="AA618" s="4"/>
      <c r="AB618" s="40"/>
      <c r="AC618" s="121">
        <f t="shared" si="52"/>
        <v>2</v>
      </c>
      <c r="AD618" s="121"/>
    </row>
    <row r="619" spans="1:30" ht="31.2" x14ac:dyDescent="0.3">
      <c r="A619" s="7" t="s">
        <v>62</v>
      </c>
      <c r="B619" s="6">
        <v>606</v>
      </c>
      <c r="C619" s="7" t="s">
        <v>2562</v>
      </c>
      <c r="D619" s="7" t="s">
        <v>2579</v>
      </c>
      <c r="E619" s="7" t="s">
        <v>2580</v>
      </c>
      <c r="F619" s="40" t="s">
        <v>1559</v>
      </c>
      <c r="G619" s="7" t="s">
        <v>2581</v>
      </c>
      <c r="H619" s="7" t="s">
        <v>2582</v>
      </c>
      <c r="I619" s="5"/>
      <c r="J619" s="21" t="s">
        <v>2583</v>
      </c>
      <c r="K619" s="7" t="s">
        <v>24</v>
      </c>
      <c r="L619" s="7" t="s">
        <v>2584</v>
      </c>
      <c r="M619" s="114">
        <v>1335262372</v>
      </c>
      <c r="N619" s="114">
        <v>1131203544</v>
      </c>
      <c r="O619" s="114">
        <v>15000000</v>
      </c>
      <c r="P619" s="112">
        <v>24000000</v>
      </c>
      <c r="Q619" s="109">
        <f t="shared" si="48"/>
        <v>2505465916</v>
      </c>
      <c r="R619" s="14">
        <v>1335262372</v>
      </c>
      <c r="S619" s="14">
        <v>1131203544</v>
      </c>
      <c r="T619" s="30">
        <v>15000000</v>
      </c>
      <c r="U619" s="14">
        <v>24000000</v>
      </c>
      <c r="V619" s="5"/>
      <c r="W619" s="28"/>
      <c r="X619" s="28">
        <f t="shared" si="49"/>
        <v>0</v>
      </c>
      <c r="Y619" s="28">
        <f t="shared" si="50"/>
        <v>0</v>
      </c>
      <c r="Z619" s="28">
        <f t="shared" si="51"/>
        <v>0</v>
      </c>
      <c r="AA619" s="4"/>
      <c r="AB619" s="4"/>
      <c r="AC619">
        <f t="shared" si="52"/>
        <v>2</v>
      </c>
    </row>
    <row r="620" spans="1:30" ht="42" x14ac:dyDescent="0.3">
      <c r="A620" s="7" t="s">
        <v>62</v>
      </c>
      <c r="B620" s="6">
        <v>607</v>
      </c>
      <c r="C620" s="7" t="s">
        <v>2562</v>
      </c>
      <c r="D620" s="7" t="s">
        <v>2585</v>
      </c>
      <c r="E620" s="5"/>
      <c r="F620" s="4"/>
      <c r="G620" s="7" t="s">
        <v>2586</v>
      </c>
      <c r="H620" s="5"/>
      <c r="I620" s="5"/>
      <c r="J620" s="21" t="s">
        <v>2587</v>
      </c>
      <c r="K620" s="7" t="s">
        <v>24</v>
      </c>
      <c r="L620" s="7" t="s">
        <v>2524</v>
      </c>
      <c r="M620" s="114">
        <v>49275408</v>
      </c>
      <c r="N620" s="111"/>
      <c r="O620" s="114">
        <v>7500000</v>
      </c>
      <c r="P620" s="110"/>
      <c r="Q620" s="109">
        <f t="shared" si="48"/>
        <v>56775408</v>
      </c>
      <c r="R620" s="14">
        <v>49275408</v>
      </c>
      <c r="S620" s="5"/>
      <c r="T620" s="30">
        <v>7500000</v>
      </c>
      <c r="U620" s="5"/>
      <c r="V620" s="5"/>
      <c r="W620" s="28"/>
      <c r="X620" s="28">
        <f t="shared" si="49"/>
        <v>0</v>
      </c>
      <c r="Y620" s="28">
        <f t="shared" si="50"/>
        <v>0</v>
      </c>
      <c r="Z620" s="28">
        <f t="shared" si="51"/>
        <v>0</v>
      </c>
      <c r="AA620" s="4"/>
      <c r="AB620" s="4"/>
      <c r="AC620">
        <f t="shared" si="52"/>
        <v>2</v>
      </c>
    </row>
    <row r="621" spans="1:30" ht="31.2" x14ac:dyDescent="0.3">
      <c r="A621" s="7" t="s">
        <v>62</v>
      </c>
      <c r="B621" s="6">
        <v>608</v>
      </c>
      <c r="C621" s="7" t="s">
        <v>2562</v>
      </c>
      <c r="D621" s="7" t="s">
        <v>2588</v>
      </c>
      <c r="E621" s="5"/>
      <c r="F621" s="4"/>
      <c r="G621" s="7" t="s">
        <v>2589</v>
      </c>
      <c r="H621" s="5"/>
      <c r="I621" s="5"/>
      <c r="J621" s="21" t="s">
        <v>2590</v>
      </c>
      <c r="K621" s="7" t="s">
        <v>24</v>
      </c>
      <c r="L621" s="7" t="s">
        <v>2591</v>
      </c>
      <c r="M621" s="114">
        <v>2200225188</v>
      </c>
      <c r="N621" s="111"/>
      <c r="O621" s="114">
        <v>7500000</v>
      </c>
      <c r="P621" s="110"/>
      <c r="Q621" s="109">
        <f t="shared" si="48"/>
        <v>2207725188</v>
      </c>
      <c r="R621" s="14">
        <v>2200225188</v>
      </c>
      <c r="S621" s="5"/>
      <c r="T621" s="33">
        <v>7500000</v>
      </c>
      <c r="U621" s="5"/>
      <c r="V621" s="5"/>
      <c r="W621" s="28"/>
      <c r="X621" s="28">
        <f t="shared" si="49"/>
        <v>0</v>
      </c>
      <c r="Y621" s="28">
        <f t="shared" si="50"/>
        <v>0</v>
      </c>
      <c r="Z621" s="28">
        <f t="shared" si="51"/>
        <v>0</v>
      </c>
      <c r="AA621" s="4"/>
      <c r="AB621" s="4"/>
      <c r="AC621">
        <f t="shared" si="52"/>
        <v>2</v>
      </c>
    </row>
    <row r="622" spans="1:30" ht="42" x14ac:dyDescent="0.3">
      <c r="A622" s="7" t="s">
        <v>18</v>
      </c>
      <c r="B622" s="6">
        <v>609</v>
      </c>
      <c r="C622" s="7" t="s">
        <v>2562</v>
      </c>
      <c r="D622" s="7" t="s">
        <v>2592</v>
      </c>
      <c r="E622" s="5"/>
      <c r="F622" s="4"/>
      <c r="G622" s="7" t="s">
        <v>2593</v>
      </c>
      <c r="H622" s="5"/>
      <c r="I622" s="5"/>
      <c r="J622" s="21" t="s">
        <v>2594</v>
      </c>
      <c r="K622" s="7" t="s">
        <v>24</v>
      </c>
      <c r="L622" s="7" t="s">
        <v>2595</v>
      </c>
      <c r="M622" s="114">
        <v>1053577380</v>
      </c>
      <c r="N622" s="111"/>
      <c r="O622" s="114">
        <v>7500000</v>
      </c>
      <c r="P622" s="110"/>
      <c r="Q622" s="109">
        <f t="shared" si="48"/>
        <v>1061077380</v>
      </c>
      <c r="R622" s="14">
        <v>1053577380</v>
      </c>
      <c r="S622" s="5"/>
      <c r="T622" s="31">
        <v>7500000</v>
      </c>
      <c r="U622" s="5"/>
      <c r="V622" s="5"/>
      <c r="W622" s="28"/>
      <c r="X622" s="28">
        <f t="shared" si="49"/>
        <v>0</v>
      </c>
      <c r="Y622" s="28">
        <f t="shared" si="50"/>
        <v>0</v>
      </c>
      <c r="Z622" s="28">
        <f t="shared" si="51"/>
        <v>0</v>
      </c>
      <c r="AA622" s="4"/>
      <c r="AB622" s="4"/>
      <c r="AC622">
        <f t="shared" si="52"/>
        <v>2</v>
      </c>
    </row>
    <row r="623" spans="1:30" ht="31.2" x14ac:dyDescent="0.3">
      <c r="A623" s="7" t="s">
        <v>62</v>
      </c>
      <c r="B623" s="6">
        <v>610</v>
      </c>
      <c r="C623" s="7" t="s">
        <v>2562</v>
      </c>
      <c r="D623" s="7" t="s">
        <v>2596</v>
      </c>
      <c r="E623" s="7" t="s">
        <v>2597</v>
      </c>
      <c r="F623" s="4"/>
      <c r="G623" s="7" t="s">
        <v>2598</v>
      </c>
      <c r="H623" s="7" t="s">
        <v>2599</v>
      </c>
      <c r="I623" s="5"/>
      <c r="J623" s="21" t="s">
        <v>2600</v>
      </c>
      <c r="K623" s="7" t="s">
        <v>24</v>
      </c>
      <c r="L623" s="7" t="s">
        <v>2601</v>
      </c>
      <c r="M623" s="114">
        <v>1419150880</v>
      </c>
      <c r="N623" s="114">
        <v>91469952</v>
      </c>
      <c r="O623" s="114">
        <v>7500000</v>
      </c>
      <c r="P623" s="110"/>
      <c r="Q623" s="109">
        <f t="shared" si="48"/>
        <v>1518120832</v>
      </c>
      <c r="R623" s="14">
        <v>1419150880</v>
      </c>
      <c r="S623" s="3">
        <v>91469952</v>
      </c>
      <c r="T623" s="33">
        <v>7500000</v>
      </c>
      <c r="U623" s="5"/>
      <c r="V623" s="5"/>
      <c r="W623" s="28"/>
      <c r="X623" s="28">
        <f t="shared" si="49"/>
        <v>0</v>
      </c>
      <c r="Y623" s="28">
        <f t="shared" si="50"/>
        <v>0</v>
      </c>
      <c r="Z623" s="28">
        <f t="shared" si="51"/>
        <v>0</v>
      </c>
      <c r="AA623" s="4"/>
      <c r="AB623" s="4"/>
      <c r="AC623">
        <f t="shared" si="52"/>
        <v>2</v>
      </c>
    </row>
    <row r="624" spans="1:30" ht="46.8" x14ac:dyDescent="0.3">
      <c r="A624" s="7" t="s">
        <v>62</v>
      </c>
      <c r="B624" s="6">
        <v>611</v>
      </c>
      <c r="C624" s="7" t="s">
        <v>2562</v>
      </c>
      <c r="D624" s="7" t="s">
        <v>2602</v>
      </c>
      <c r="E624" s="5"/>
      <c r="F624" s="4"/>
      <c r="G624" s="7" t="s">
        <v>2603</v>
      </c>
      <c r="H624" s="5"/>
      <c r="I624" s="5"/>
      <c r="J624" s="21" t="s">
        <v>2604</v>
      </c>
      <c r="K624" s="7" t="s">
        <v>24</v>
      </c>
      <c r="L624" s="7" t="s">
        <v>2605</v>
      </c>
      <c r="M624" s="114">
        <v>2821214140</v>
      </c>
      <c r="N624" s="111"/>
      <c r="O624" s="114">
        <v>15000000</v>
      </c>
      <c r="P624" s="110"/>
      <c r="Q624" s="109">
        <f t="shared" si="48"/>
        <v>2836214140</v>
      </c>
      <c r="R624" s="14">
        <v>2821214140</v>
      </c>
      <c r="S624" s="5"/>
      <c r="T624" s="33">
        <v>15000000</v>
      </c>
      <c r="U624" s="5"/>
      <c r="V624" s="5"/>
      <c r="W624" s="28"/>
      <c r="X624" s="28">
        <f t="shared" si="49"/>
        <v>0</v>
      </c>
      <c r="Y624" s="28">
        <f t="shared" si="50"/>
        <v>0</v>
      </c>
      <c r="Z624" s="28">
        <f t="shared" si="51"/>
        <v>0</v>
      </c>
      <c r="AA624" s="4"/>
      <c r="AB624" s="4"/>
      <c r="AC624">
        <f t="shared" si="52"/>
        <v>2</v>
      </c>
    </row>
    <row r="625" spans="1:30" ht="31.2" x14ac:dyDescent="0.3">
      <c r="A625" s="7" t="s">
        <v>1601</v>
      </c>
      <c r="B625" s="6">
        <v>612</v>
      </c>
      <c r="C625" s="7" t="s">
        <v>2562</v>
      </c>
      <c r="D625" s="7" t="s">
        <v>2606</v>
      </c>
      <c r="E625" s="5"/>
      <c r="F625" s="4"/>
      <c r="G625" s="7" t="s">
        <v>2607</v>
      </c>
      <c r="H625" s="5"/>
      <c r="I625" s="5"/>
      <c r="J625" s="21" t="s">
        <v>2608</v>
      </c>
      <c r="K625" s="7" t="s">
        <v>24</v>
      </c>
      <c r="L625" s="7" t="s">
        <v>2609</v>
      </c>
      <c r="M625" s="114">
        <v>4672084520</v>
      </c>
      <c r="N625" s="111"/>
      <c r="O625" s="114">
        <v>7500000</v>
      </c>
      <c r="P625" s="110"/>
      <c r="Q625" s="109">
        <f t="shared" si="48"/>
        <v>4679584520</v>
      </c>
      <c r="R625" s="36">
        <v>4672084520</v>
      </c>
      <c r="S625" s="5"/>
      <c r="T625" s="30">
        <v>7500000</v>
      </c>
      <c r="U625" s="5"/>
      <c r="V625" s="5"/>
      <c r="W625" s="28"/>
      <c r="X625" s="28">
        <f t="shared" si="49"/>
        <v>0</v>
      </c>
      <c r="Y625" s="28">
        <f t="shared" si="50"/>
        <v>0</v>
      </c>
      <c r="Z625" s="28">
        <f t="shared" si="51"/>
        <v>0</v>
      </c>
      <c r="AA625" s="4"/>
      <c r="AB625" s="4"/>
      <c r="AC625">
        <f t="shared" si="52"/>
        <v>2</v>
      </c>
    </row>
    <row r="626" spans="1:30" ht="31.2" x14ac:dyDescent="0.3">
      <c r="A626" s="7" t="s">
        <v>18</v>
      </c>
      <c r="B626" s="6">
        <v>613</v>
      </c>
      <c r="C626" s="7" t="s">
        <v>2562</v>
      </c>
      <c r="D626" s="7" t="s">
        <v>2610</v>
      </c>
      <c r="E626" s="5"/>
      <c r="F626" s="4"/>
      <c r="G626" s="7" t="s">
        <v>2611</v>
      </c>
      <c r="H626" s="5"/>
      <c r="I626" s="7" t="s">
        <v>2565</v>
      </c>
      <c r="J626" s="21" t="s">
        <v>2612</v>
      </c>
      <c r="K626" s="7" t="s">
        <v>24</v>
      </c>
      <c r="L626" s="7" t="s">
        <v>2613</v>
      </c>
      <c r="M626" s="114">
        <v>2648940180</v>
      </c>
      <c r="N626" s="111"/>
      <c r="O626" s="114">
        <v>15000000</v>
      </c>
      <c r="P626" s="110"/>
      <c r="Q626" s="109">
        <f t="shared" si="48"/>
        <v>2663940180</v>
      </c>
      <c r="R626" s="14">
        <v>2648940180</v>
      </c>
      <c r="S626" s="5"/>
      <c r="T626" s="30">
        <v>15000000</v>
      </c>
      <c r="U626" s="5"/>
      <c r="V626" s="5"/>
      <c r="W626" s="28"/>
      <c r="X626" s="28">
        <f t="shared" si="49"/>
        <v>0</v>
      </c>
      <c r="Y626" s="28">
        <f t="shared" si="50"/>
        <v>0</v>
      </c>
      <c r="Z626" s="28">
        <f t="shared" si="51"/>
        <v>0</v>
      </c>
      <c r="AA626" s="4"/>
      <c r="AB626" s="4"/>
      <c r="AC626">
        <f t="shared" si="52"/>
        <v>2</v>
      </c>
    </row>
    <row r="627" spans="1:30" ht="42" x14ac:dyDescent="0.3">
      <c r="A627" s="7" t="s">
        <v>53</v>
      </c>
      <c r="B627" s="6">
        <v>614</v>
      </c>
      <c r="C627" s="7" t="s">
        <v>2562</v>
      </c>
      <c r="D627" s="7" t="s">
        <v>2614</v>
      </c>
      <c r="E627" s="5"/>
      <c r="F627" s="4"/>
      <c r="G627" s="7" t="s">
        <v>2615</v>
      </c>
      <c r="H627" s="5"/>
      <c r="I627" s="7" t="s">
        <v>2565</v>
      </c>
      <c r="J627" s="21" t="s">
        <v>2616</v>
      </c>
      <c r="K627" s="7" t="s">
        <v>24</v>
      </c>
      <c r="L627" s="7" t="s">
        <v>2169</v>
      </c>
      <c r="M627" s="114">
        <v>13040553670</v>
      </c>
      <c r="N627" s="111"/>
      <c r="O627" s="114">
        <v>15000000</v>
      </c>
      <c r="P627" s="110"/>
      <c r="Q627" s="109">
        <f t="shared" si="48"/>
        <v>13055553670</v>
      </c>
      <c r="R627" s="36">
        <v>13040553670</v>
      </c>
      <c r="S627" s="5"/>
      <c r="T627" s="30">
        <v>15000000</v>
      </c>
      <c r="U627" s="5"/>
      <c r="V627" s="5"/>
      <c r="W627" s="28"/>
      <c r="X627" s="28">
        <f t="shared" si="49"/>
        <v>0</v>
      </c>
      <c r="Y627" s="28">
        <f t="shared" si="50"/>
        <v>0</v>
      </c>
      <c r="Z627" s="28">
        <f t="shared" si="51"/>
        <v>0</v>
      </c>
      <c r="AA627" s="4"/>
      <c r="AB627" s="4"/>
      <c r="AC627">
        <f t="shared" si="52"/>
        <v>2</v>
      </c>
    </row>
    <row r="628" spans="1:30" ht="126" x14ac:dyDescent="0.3">
      <c r="A628" s="7" t="s">
        <v>53</v>
      </c>
      <c r="B628" s="6">
        <v>615</v>
      </c>
      <c r="C628" s="7" t="s">
        <v>2562</v>
      </c>
      <c r="D628" s="7" t="s">
        <v>2617</v>
      </c>
      <c r="E628" s="7" t="s">
        <v>764</v>
      </c>
      <c r="F628" s="40" t="s">
        <v>2618</v>
      </c>
      <c r="G628" s="7" t="s">
        <v>2619</v>
      </c>
      <c r="H628" s="7" t="s">
        <v>2620</v>
      </c>
      <c r="I628" s="7" t="s">
        <v>2565</v>
      </c>
      <c r="J628" s="21" t="s">
        <v>2621</v>
      </c>
      <c r="K628" s="7" t="s">
        <v>24</v>
      </c>
      <c r="L628" s="7" t="s">
        <v>2622</v>
      </c>
      <c r="M628" s="114">
        <v>4270717238</v>
      </c>
      <c r="N628" s="114">
        <v>523546590</v>
      </c>
      <c r="O628" s="114">
        <v>15000000</v>
      </c>
      <c r="P628" s="112">
        <v>216000000</v>
      </c>
      <c r="Q628" s="109">
        <f t="shared" si="48"/>
        <v>5025263828</v>
      </c>
      <c r="R628" s="36">
        <v>4270717238</v>
      </c>
      <c r="S628" s="14">
        <v>523546590</v>
      </c>
      <c r="T628" s="30">
        <v>15000000</v>
      </c>
      <c r="U628" s="14">
        <v>216000000</v>
      </c>
      <c r="V628" s="5"/>
      <c r="W628" s="28"/>
      <c r="X628" s="28">
        <f t="shared" si="49"/>
        <v>0</v>
      </c>
      <c r="Y628" s="28">
        <f t="shared" si="50"/>
        <v>0</v>
      </c>
      <c r="Z628" s="28">
        <f t="shared" si="51"/>
        <v>0</v>
      </c>
      <c r="AA628" s="4"/>
      <c r="AB628" s="4"/>
      <c r="AC628">
        <f t="shared" si="52"/>
        <v>2</v>
      </c>
    </row>
    <row r="629" spans="1:30" ht="42" x14ac:dyDescent="0.3">
      <c r="A629" s="7" t="s">
        <v>46</v>
      </c>
      <c r="B629" s="6">
        <v>616</v>
      </c>
      <c r="C629" s="7" t="s">
        <v>2562</v>
      </c>
      <c r="D629" s="7" t="s">
        <v>2623</v>
      </c>
      <c r="E629" s="5"/>
      <c r="F629" s="4"/>
      <c r="G629" s="7" t="s">
        <v>2624</v>
      </c>
      <c r="H629" s="5"/>
      <c r="I629" s="7" t="s">
        <v>2565</v>
      </c>
      <c r="J629" s="21" t="s">
        <v>2625</v>
      </c>
      <c r="K629" s="7" t="s">
        <v>24</v>
      </c>
      <c r="L629" s="7" t="s">
        <v>2626</v>
      </c>
      <c r="M629" s="114">
        <v>5176307722</v>
      </c>
      <c r="N629" s="111"/>
      <c r="O629" s="114">
        <v>7500000</v>
      </c>
      <c r="P629" s="110"/>
      <c r="Q629" s="109">
        <f t="shared" si="48"/>
        <v>5183807722</v>
      </c>
      <c r="R629" s="14">
        <v>5176307722</v>
      </c>
      <c r="S629" s="5"/>
      <c r="T629" s="30">
        <v>7500000</v>
      </c>
      <c r="U629" s="5"/>
      <c r="V629" s="5"/>
      <c r="W629" s="28"/>
      <c r="X629" s="28">
        <f t="shared" si="49"/>
        <v>0</v>
      </c>
      <c r="Y629" s="28">
        <f t="shared" si="50"/>
        <v>0</v>
      </c>
      <c r="Z629" s="28">
        <f t="shared" si="51"/>
        <v>0</v>
      </c>
      <c r="AA629" s="4"/>
      <c r="AB629" s="4"/>
      <c r="AC629">
        <f t="shared" si="52"/>
        <v>2</v>
      </c>
    </row>
    <row r="630" spans="1:30" ht="46.8" x14ac:dyDescent="0.3">
      <c r="A630" s="7" t="s">
        <v>62</v>
      </c>
      <c r="B630" s="6">
        <v>617</v>
      </c>
      <c r="C630" s="7" t="s">
        <v>2562</v>
      </c>
      <c r="D630" s="7" t="s">
        <v>2627</v>
      </c>
      <c r="E630" s="7" t="s">
        <v>2628</v>
      </c>
      <c r="F630" s="4"/>
      <c r="G630" s="7" t="s">
        <v>2629</v>
      </c>
      <c r="H630" s="7" t="s">
        <v>2630</v>
      </c>
      <c r="I630" s="5"/>
      <c r="J630" s="7" t="s">
        <v>2631</v>
      </c>
      <c r="K630" s="7" t="s">
        <v>24</v>
      </c>
      <c r="L630" s="7" t="s">
        <v>2632</v>
      </c>
      <c r="M630" s="109">
        <v>1147124800</v>
      </c>
      <c r="N630" s="109">
        <v>605553600</v>
      </c>
      <c r="O630" s="114">
        <v>15000000</v>
      </c>
      <c r="P630" s="110"/>
      <c r="Q630" s="109">
        <f t="shared" si="48"/>
        <v>1767678400</v>
      </c>
      <c r="R630" s="14">
        <v>1147124800</v>
      </c>
      <c r="S630" s="7"/>
      <c r="T630" s="33">
        <v>15000000</v>
      </c>
      <c r="U630" s="5"/>
      <c r="V630" s="5"/>
      <c r="W630" s="28"/>
      <c r="X630" s="36">
        <f t="shared" si="49"/>
        <v>605553600</v>
      </c>
      <c r="Y630" s="28">
        <f t="shared" si="50"/>
        <v>0</v>
      </c>
      <c r="Z630" s="28">
        <f t="shared" si="51"/>
        <v>0</v>
      </c>
      <c r="AA630" s="40"/>
      <c r="AB630" s="40"/>
      <c r="AC630" s="61">
        <f t="shared" si="52"/>
        <v>2</v>
      </c>
      <c r="AD630" s="61"/>
    </row>
    <row r="631" spans="1:30" ht="62.4" x14ac:dyDescent="0.3">
      <c r="A631" s="7" t="s">
        <v>53</v>
      </c>
      <c r="B631" s="6">
        <v>618</v>
      </c>
      <c r="C631" s="7" t="s">
        <v>2562</v>
      </c>
      <c r="D631" s="7" t="s">
        <v>2633</v>
      </c>
      <c r="E631" s="7" t="s">
        <v>2634</v>
      </c>
      <c r="F631" s="4"/>
      <c r="G631" s="7" t="s">
        <v>2635</v>
      </c>
      <c r="H631" s="7" t="s">
        <v>2636</v>
      </c>
      <c r="I631" s="7" t="s">
        <v>2565</v>
      </c>
      <c r="J631" s="7" t="s">
        <v>2637</v>
      </c>
      <c r="K631" s="7" t="s">
        <v>24</v>
      </c>
      <c r="L631" s="7" t="s">
        <v>2638</v>
      </c>
      <c r="M631" s="109">
        <v>13354478286</v>
      </c>
      <c r="N631" s="109">
        <v>1409984400</v>
      </c>
      <c r="O631" s="109">
        <v>7500000</v>
      </c>
      <c r="P631" s="110"/>
      <c r="Q631" s="109">
        <f t="shared" si="48"/>
        <v>14771962686</v>
      </c>
      <c r="R631" s="14">
        <v>13354478286</v>
      </c>
      <c r="S631" s="3">
        <v>1409984400</v>
      </c>
      <c r="T631" s="72"/>
      <c r="U631" s="5"/>
      <c r="V631" s="5"/>
      <c r="W631" s="28"/>
      <c r="X631" s="36">
        <f t="shared" si="49"/>
        <v>0</v>
      </c>
      <c r="Y631" s="36">
        <f t="shared" si="50"/>
        <v>7500000</v>
      </c>
      <c r="Z631" s="28">
        <f t="shared" si="51"/>
        <v>0</v>
      </c>
      <c r="AA631" s="40"/>
      <c r="AB631" s="40"/>
      <c r="AC631" s="121">
        <f t="shared" si="52"/>
        <v>2</v>
      </c>
      <c r="AD631" s="121"/>
    </row>
    <row r="632" spans="1:30" ht="31.2" x14ac:dyDescent="0.3">
      <c r="A632" s="7" t="s">
        <v>46</v>
      </c>
      <c r="B632" s="6">
        <v>619</v>
      </c>
      <c r="C632" s="7" t="s">
        <v>2562</v>
      </c>
      <c r="D632" s="7" t="s">
        <v>2639</v>
      </c>
      <c r="E632" s="7" t="s">
        <v>3876</v>
      </c>
      <c r="F632" s="4"/>
      <c r="G632" s="7" t="s">
        <v>2640</v>
      </c>
      <c r="H632" s="7" t="s">
        <v>3904</v>
      </c>
      <c r="I632" s="5"/>
      <c r="J632" s="7" t="s">
        <v>2641</v>
      </c>
      <c r="K632" s="7" t="s">
        <v>24</v>
      </c>
      <c r="L632" s="7" t="s">
        <v>2642</v>
      </c>
      <c r="M632" s="109">
        <v>5798938856</v>
      </c>
      <c r="N632" s="74">
        <v>40182912</v>
      </c>
      <c r="O632" s="114">
        <v>15000000</v>
      </c>
      <c r="P632" s="110"/>
      <c r="Q632" s="109">
        <f t="shared" si="48"/>
        <v>5854121768</v>
      </c>
      <c r="R632" s="14">
        <v>5798938856</v>
      </c>
      <c r="S632" s="36">
        <v>40182912</v>
      </c>
      <c r="T632" s="30">
        <v>15000000</v>
      </c>
      <c r="U632" s="5"/>
      <c r="V632" s="5"/>
      <c r="W632" s="28"/>
      <c r="X632" s="36">
        <f t="shared" si="49"/>
        <v>0</v>
      </c>
      <c r="Y632" s="28">
        <f t="shared" si="50"/>
        <v>0</v>
      </c>
      <c r="Z632" s="28">
        <f t="shared" si="51"/>
        <v>0</v>
      </c>
      <c r="AA632" s="40"/>
      <c r="AB632" s="40"/>
      <c r="AC632" s="61">
        <f t="shared" si="52"/>
        <v>2</v>
      </c>
      <c r="AD632" s="61"/>
    </row>
    <row r="633" spans="1:30" ht="31.2" x14ac:dyDescent="0.3">
      <c r="A633" s="7" t="s">
        <v>18</v>
      </c>
      <c r="B633" s="6">
        <v>620</v>
      </c>
      <c r="C633" s="7" t="s">
        <v>2562</v>
      </c>
      <c r="D633" s="7" t="s">
        <v>2643</v>
      </c>
      <c r="E633" s="5"/>
      <c r="F633" s="4"/>
      <c r="G633" s="7" t="s">
        <v>2644</v>
      </c>
      <c r="H633" s="5"/>
      <c r="I633" s="5"/>
      <c r="J633" s="21" t="s">
        <v>2645</v>
      </c>
      <c r="K633" s="7" t="s">
        <v>24</v>
      </c>
      <c r="L633" s="7" t="s">
        <v>2646</v>
      </c>
      <c r="M633" s="114">
        <v>4209356424</v>
      </c>
      <c r="N633" s="111"/>
      <c r="O633" s="114">
        <v>7500000</v>
      </c>
      <c r="P633" s="110"/>
      <c r="Q633" s="109">
        <f t="shared" si="48"/>
        <v>4216856424</v>
      </c>
      <c r="R633" s="14">
        <v>4209356424</v>
      </c>
      <c r="S633" s="5"/>
      <c r="T633" s="30">
        <v>7500000</v>
      </c>
      <c r="U633" s="5"/>
      <c r="V633" s="5"/>
      <c r="W633" s="28"/>
      <c r="X633" s="28">
        <f t="shared" si="49"/>
        <v>0</v>
      </c>
      <c r="Y633" s="28">
        <f t="shared" si="50"/>
        <v>0</v>
      </c>
      <c r="Z633" s="28">
        <f t="shared" si="51"/>
        <v>0</v>
      </c>
      <c r="AA633" s="4"/>
      <c r="AB633" s="4"/>
      <c r="AC633">
        <f t="shared" si="52"/>
        <v>2</v>
      </c>
    </row>
    <row r="634" spans="1:30" ht="62.4" customHeight="1" x14ac:dyDescent="0.3">
      <c r="A634" s="7" t="s">
        <v>62</v>
      </c>
      <c r="B634" s="6">
        <v>621</v>
      </c>
      <c r="C634" s="7" t="s">
        <v>2562</v>
      </c>
      <c r="D634" s="7" t="s">
        <v>2647</v>
      </c>
      <c r="E634" s="7" t="s">
        <v>2649</v>
      </c>
      <c r="F634" s="40" t="s">
        <v>3882</v>
      </c>
      <c r="G634" s="7" t="s">
        <v>2650</v>
      </c>
      <c r="H634" s="7" t="s">
        <v>2651</v>
      </c>
      <c r="I634" s="5"/>
      <c r="J634" s="21" t="s">
        <v>2652</v>
      </c>
      <c r="K634" s="7" t="s">
        <v>24</v>
      </c>
      <c r="L634" s="7" t="s">
        <v>2653</v>
      </c>
      <c r="M634" s="114">
        <v>1634989243</v>
      </c>
      <c r="N634" s="114">
        <v>115406760</v>
      </c>
      <c r="O634" s="114">
        <v>15000000</v>
      </c>
      <c r="P634" s="112">
        <v>90000000</v>
      </c>
      <c r="Q634" s="109">
        <f t="shared" si="48"/>
        <v>1855396003</v>
      </c>
      <c r="R634" s="14">
        <v>1634989243</v>
      </c>
      <c r="S634" s="3">
        <v>115406760</v>
      </c>
      <c r="T634" s="30">
        <v>15000000</v>
      </c>
      <c r="U634" s="14">
        <v>90000000</v>
      </c>
      <c r="V634" s="5"/>
      <c r="W634" s="28"/>
      <c r="X634" s="28">
        <f t="shared" si="49"/>
        <v>0</v>
      </c>
      <c r="Y634" s="28">
        <f t="shared" si="50"/>
        <v>0</v>
      </c>
      <c r="Z634" s="28">
        <f t="shared" si="51"/>
        <v>0</v>
      </c>
      <c r="AA634" s="4"/>
      <c r="AB634" s="4"/>
      <c r="AC634">
        <f t="shared" si="52"/>
        <v>2</v>
      </c>
    </row>
    <row r="635" spans="1:30" ht="62.4" customHeight="1" x14ac:dyDescent="0.3">
      <c r="A635" s="7" t="s">
        <v>53</v>
      </c>
      <c r="B635" s="6">
        <v>622</v>
      </c>
      <c r="C635" s="7" t="s">
        <v>2562</v>
      </c>
      <c r="D635" s="7" t="s">
        <v>2654</v>
      </c>
      <c r="E635" s="5"/>
      <c r="F635" s="40" t="s">
        <v>3891</v>
      </c>
      <c r="G635" s="7" t="s">
        <v>2656</v>
      </c>
      <c r="H635" s="5"/>
      <c r="I635" s="7" t="s">
        <v>2565</v>
      </c>
      <c r="J635" s="21" t="s">
        <v>2657</v>
      </c>
      <c r="K635" s="7" t="s">
        <v>24</v>
      </c>
      <c r="L635" s="7" t="s">
        <v>2658</v>
      </c>
      <c r="M635" s="114">
        <v>3463769620</v>
      </c>
      <c r="N635" s="111"/>
      <c r="O635" s="114">
        <v>15000000</v>
      </c>
      <c r="P635" s="112">
        <v>72000000</v>
      </c>
      <c r="Q635" s="109">
        <f t="shared" si="48"/>
        <v>3550769620</v>
      </c>
      <c r="R635" s="14">
        <v>3463769620</v>
      </c>
      <c r="S635" s="5"/>
      <c r="T635" s="31">
        <v>15000000</v>
      </c>
      <c r="U635" s="14">
        <v>72000000</v>
      </c>
      <c r="V635" s="5"/>
      <c r="W635" s="28"/>
      <c r="X635" s="28">
        <f t="shared" si="49"/>
        <v>0</v>
      </c>
      <c r="Y635" s="28">
        <f t="shared" si="50"/>
        <v>0</v>
      </c>
      <c r="Z635" s="28">
        <f t="shared" si="51"/>
        <v>0</v>
      </c>
      <c r="AA635" s="4"/>
      <c r="AB635" s="4"/>
      <c r="AC635">
        <f t="shared" si="52"/>
        <v>2</v>
      </c>
    </row>
    <row r="636" spans="1:30" ht="31.2" x14ac:dyDescent="0.3">
      <c r="A636" s="7" t="s">
        <v>62</v>
      </c>
      <c r="B636" s="6">
        <v>623</v>
      </c>
      <c r="C636" s="7" t="s">
        <v>2562</v>
      </c>
      <c r="D636" s="7" t="s">
        <v>2659</v>
      </c>
      <c r="E636" s="7" t="s">
        <v>2660</v>
      </c>
      <c r="F636" s="4"/>
      <c r="G636" s="7" t="s">
        <v>2661</v>
      </c>
      <c r="H636" s="7" t="s">
        <v>2662</v>
      </c>
      <c r="I636" s="5"/>
      <c r="J636" s="21" t="s">
        <v>2663</v>
      </c>
      <c r="K636" s="7" t="s">
        <v>24</v>
      </c>
      <c r="L636" s="7" t="s">
        <v>2664</v>
      </c>
      <c r="M636" s="114">
        <v>6147723971</v>
      </c>
      <c r="N636" s="114">
        <v>491859703</v>
      </c>
      <c r="O636" s="114">
        <v>15000000</v>
      </c>
      <c r="P636" s="110"/>
      <c r="Q636" s="109">
        <f t="shared" si="48"/>
        <v>6654583674</v>
      </c>
      <c r="R636" s="14">
        <v>6147723971</v>
      </c>
      <c r="S636" s="14">
        <v>491859703</v>
      </c>
      <c r="T636" s="33">
        <v>15000000</v>
      </c>
      <c r="U636" s="5"/>
      <c r="V636" s="5"/>
      <c r="W636" s="28"/>
      <c r="X636" s="28">
        <f t="shared" si="49"/>
        <v>0</v>
      </c>
      <c r="Y636" s="28">
        <f t="shared" si="50"/>
        <v>0</v>
      </c>
      <c r="Z636" s="28">
        <f t="shared" si="51"/>
        <v>0</v>
      </c>
      <c r="AA636" s="4"/>
      <c r="AB636" s="4"/>
      <c r="AC636">
        <f t="shared" si="52"/>
        <v>2</v>
      </c>
    </row>
    <row r="637" spans="1:30" ht="31.2" x14ac:dyDescent="0.3">
      <c r="A637" s="7" t="s">
        <v>1601</v>
      </c>
      <c r="B637" s="6">
        <v>624</v>
      </c>
      <c r="C637" s="7" t="s">
        <v>2562</v>
      </c>
      <c r="D637" s="7" t="s">
        <v>2665</v>
      </c>
      <c r="E637" s="5"/>
      <c r="F637" s="4"/>
      <c r="G637" s="7" t="s">
        <v>2666</v>
      </c>
      <c r="H637" s="5"/>
      <c r="I637" s="5"/>
      <c r="J637" s="21" t="s">
        <v>2667</v>
      </c>
      <c r="K637" s="7" t="s">
        <v>24</v>
      </c>
      <c r="L637" s="7" t="s">
        <v>2517</v>
      </c>
      <c r="M637" s="114">
        <v>4471431370</v>
      </c>
      <c r="N637" s="111"/>
      <c r="O637" s="114">
        <v>15000000</v>
      </c>
      <c r="P637" s="110"/>
      <c r="Q637" s="109">
        <f t="shared" si="48"/>
        <v>4486431370</v>
      </c>
      <c r="R637" s="36">
        <v>4471431370</v>
      </c>
      <c r="S637" s="5"/>
      <c r="T637" s="30">
        <v>15000000</v>
      </c>
      <c r="U637" s="5"/>
      <c r="V637" s="5"/>
      <c r="W637" s="28"/>
      <c r="X637" s="28">
        <f t="shared" si="49"/>
        <v>0</v>
      </c>
      <c r="Y637" s="28">
        <f t="shared" si="50"/>
        <v>0</v>
      </c>
      <c r="Z637" s="28">
        <f t="shared" si="51"/>
        <v>0</v>
      </c>
      <c r="AA637" s="4"/>
      <c r="AB637" s="4"/>
      <c r="AC637">
        <f t="shared" si="52"/>
        <v>2</v>
      </c>
    </row>
    <row r="638" spans="1:30" ht="31.2" x14ac:dyDescent="0.3">
      <c r="A638" s="7" t="s">
        <v>1601</v>
      </c>
      <c r="B638" s="6">
        <v>625</v>
      </c>
      <c r="C638" s="7" t="s">
        <v>2562</v>
      </c>
      <c r="D638" s="7" t="s">
        <v>2668</v>
      </c>
      <c r="E638" s="7" t="s">
        <v>2669</v>
      </c>
      <c r="F638" s="4"/>
      <c r="G638" s="7" t="s">
        <v>2670</v>
      </c>
      <c r="H638" s="7" t="s">
        <v>2671</v>
      </c>
      <c r="I638" s="5"/>
      <c r="J638" s="21" t="s">
        <v>2672</v>
      </c>
      <c r="K638" s="7" t="s">
        <v>24</v>
      </c>
      <c r="L638" s="7" t="s">
        <v>2673</v>
      </c>
      <c r="M638" s="114">
        <v>3044214687</v>
      </c>
      <c r="N638" s="114">
        <v>148963795</v>
      </c>
      <c r="O638" s="114">
        <v>15000000</v>
      </c>
      <c r="P638" s="110"/>
      <c r="Q638" s="109">
        <f t="shared" si="48"/>
        <v>3208178482</v>
      </c>
      <c r="R638" s="36">
        <v>3044214687</v>
      </c>
      <c r="S638" s="3">
        <v>148963795</v>
      </c>
      <c r="T638" s="30">
        <v>15000000</v>
      </c>
      <c r="U638" s="5"/>
      <c r="V638" s="5"/>
      <c r="W638" s="28"/>
      <c r="X638" s="28">
        <f t="shared" si="49"/>
        <v>0</v>
      </c>
      <c r="Y638" s="28">
        <f t="shared" si="50"/>
        <v>0</v>
      </c>
      <c r="Z638" s="28">
        <f t="shared" si="51"/>
        <v>0</v>
      </c>
      <c r="AA638" s="4"/>
      <c r="AB638" s="4"/>
      <c r="AC638">
        <f t="shared" si="52"/>
        <v>2</v>
      </c>
    </row>
    <row r="639" spans="1:30" ht="42" x14ac:dyDescent="0.3">
      <c r="A639" s="7" t="s">
        <v>53</v>
      </c>
      <c r="B639" s="6">
        <v>626</v>
      </c>
      <c r="C639" s="7" t="s">
        <v>2562</v>
      </c>
      <c r="D639" s="7" t="s">
        <v>2674</v>
      </c>
      <c r="E639" s="5"/>
      <c r="F639" s="40" t="s">
        <v>637</v>
      </c>
      <c r="G639" s="7" t="s">
        <v>2675</v>
      </c>
      <c r="H639" s="5"/>
      <c r="I639" s="5"/>
      <c r="J639" s="21" t="s">
        <v>2676</v>
      </c>
      <c r="K639" s="7" t="s">
        <v>24</v>
      </c>
      <c r="L639" s="7" t="s">
        <v>2677</v>
      </c>
      <c r="M639" s="114">
        <v>13885095762</v>
      </c>
      <c r="N639" s="111"/>
      <c r="O639" s="114">
        <v>15000000</v>
      </c>
      <c r="P639" s="112">
        <v>72000000</v>
      </c>
      <c r="Q639" s="109">
        <f t="shared" si="48"/>
        <v>13972095762</v>
      </c>
      <c r="R639" s="14">
        <v>13885095762</v>
      </c>
      <c r="S639" s="5"/>
      <c r="T639" s="30">
        <v>15000000</v>
      </c>
      <c r="U639" s="3">
        <v>72000000</v>
      </c>
      <c r="V639" s="5"/>
      <c r="W639" s="28"/>
      <c r="X639" s="28">
        <f t="shared" si="49"/>
        <v>0</v>
      </c>
      <c r="Y639" s="28">
        <f t="shared" si="50"/>
        <v>0</v>
      </c>
      <c r="Z639" s="28">
        <f t="shared" si="51"/>
        <v>0</v>
      </c>
      <c r="AA639" s="4"/>
      <c r="AB639" s="4"/>
      <c r="AC639">
        <f t="shared" si="52"/>
        <v>2</v>
      </c>
    </row>
    <row r="640" spans="1:30" ht="31.2" x14ac:dyDescent="0.3">
      <c r="A640" s="7" t="s">
        <v>46</v>
      </c>
      <c r="B640" s="6">
        <v>627</v>
      </c>
      <c r="C640" s="7" t="s">
        <v>2562</v>
      </c>
      <c r="D640" s="7" t="s">
        <v>2678</v>
      </c>
      <c r="E640" s="7" t="s">
        <v>828</v>
      </c>
      <c r="F640" s="4"/>
      <c r="G640" s="7" t="s">
        <v>2679</v>
      </c>
      <c r="H640" s="7" t="s">
        <v>2680</v>
      </c>
      <c r="I640" s="5"/>
      <c r="J640" s="21" t="s">
        <v>2681</v>
      </c>
      <c r="K640" s="7" t="s">
        <v>24</v>
      </c>
      <c r="L640" s="7" t="s">
        <v>2682</v>
      </c>
      <c r="M640" s="114">
        <v>15436039426</v>
      </c>
      <c r="N640" s="114">
        <v>276510000</v>
      </c>
      <c r="O640" s="114">
        <v>15000000</v>
      </c>
      <c r="P640" s="110"/>
      <c r="Q640" s="109">
        <f t="shared" si="48"/>
        <v>15727549426</v>
      </c>
      <c r="R640" s="14">
        <v>15436039426</v>
      </c>
      <c r="S640" s="28">
        <v>276510000</v>
      </c>
      <c r="T640" s="33">
        <v>15000000</v>
      </c>
      <c r="U640" s="5"/>
      <c r="V640" s="5"/>
      <c r="W640" s="28"/>
      <c r="X640" s="28">
        <f t="shared" si="49"/>
        <v>0</v>
      </c>
      <c r="Y640" s="28">
        <f t="shared" si="50"/>
        <v>0</v>
      </c>
      <c r="Z640" s="28">
        <f t="shared" si="51"/>
        <v>0</v>
      </c>
      <c r="AA640" s="4"/>
      <c r="AB640" s="4"/>
      <c r="AC640">
        <f t="shared" si="52"/>
        <v>2</v>
      </c>
    </row>
    <row r="641" spans="1:30" ht="31.2" x14ac:dyDescent="0.3">
      <c r="A641" s="7" t="s">
        <v>53</v>
      </c>
      <c r="B641" s="6">
        <v>628</v>
      </c>
      <c r="C641" s="7" t="s">
        <v>2562</v>
      </c>
      <c r="D641" s="7" t="s">
        <v>2683</v>
      </c>
      <c r="E641" s="5"/>
      <c r="F641" s="4"/>
      <c r="G641" s="7" t="s">
        <v>2684</v>
      </c>
      <c r="H641" s="5"/>
      <c r="I641" s="7" t="s">
        <v>2685</v>
      </c>
      <c r="J641" s="21" t="s">
        <v>2686</v>
      </c>
      <c r="K641" s="7" t="s">
        <v>24</v>
      </c>
      <c r="L641" s="7" t="s">
        <v>2687</v>
      </c>
      <c r="M641" s="114">
        <v>5653822980</v>
      </c>
      <c r="N641" s="111"/>
      <c r="O641" s="114">
        <v>7500000</v>
      </c>
      <c r="P641" s="110"/>
      <c r="Q641" s="109">
        <f t="shared" si="48"/>
        <v>5661322980</v>
      </c>
      <c r="R641" s="14">
        <v>5653822980</v>
      </c>
      <c r="S641" s="5"/>
      <c r="T641" s="30">
        <v>7500000</v>
      </c>
      <c r="U641" s="5"/>
      <c r="V641" s="5"/>
      <c r="W641" s="28"/>
      <c r="X641" s="28">
        <f t="shared" si="49"/>
        <v>0</v>
      </c>
      <c r="Y641" s="28">
        <f t="shared" si="50"/>
        <v>0</v>
      </c>
      <c r="Z641" s="28">
        <f t="shared" si="51"/>
        <v>0</v>
      </c>
      <c r="AA641" s="4"/>
      <c r="AB641" s="4"/>
      <c r="AC641">
        <f t="shared" si="52"/>
        <v>2</v>
      </c>
    </row>
    <row r="642" spans="1:30" ht="42" x14ac:dyDescent="0.3">
      <c r="A642" s="7" t="s">
        <v>53</v>
      </c>
      <c r="B642" s="6">
        <v>629</v>
      </c>
      <c r="C642" s="7" t="s">
        <v>2562</v>
      </c>
      <c r="D642" s="7" t="s">
        <v>2688</v>
      </c>
      <c r="E642" s="5"/>
      <c r="F642" s="4"/>
      <c r="G642" s="7" t="s">
        <v>2689</v>
      </c>
      <c r="H642" s="5"/>
      <c r="I642" s="7" t="s">
        <v>2685</v>
      </c>
      <c r="J642" s="21" t="s">
        <v>2690</v>
      </c>
      <c r="K642" s="7" t="s">
        <v>24</v>
      </c>
      <c r="L642" s="7" t="s">
        <v>2691</v>
      </c>
      <c r="M642" s="114">
        <v>1466514605</v>
      </c>
      <c r="N642" s="111"/>
      <c r="O642" s="114">
        <v>7500000</v>
      </c>
      <c r="P642" s="110"/>
      <c r="Q642" s="109">
        <f t="shared" si="48"/>
        <v>1474014605</v>
      </c>
      <c r="R642" s="14">
        <v>1466514605</v>
      </c>
      <c r="S642" s="5"/>
      <c r="T642" s="33">
        <v>7500000</v>
      </c>
      <c r="U642" s="5"/>
      <c r="V642" s="5"/>
      <c r="W642" s="28"/>
      <c r="X642" s="28">
        <f t="shared" si="49"/>
        <v>0</v>
      </c>
      <c r="Y642" s="28">
        <f t="shared" si="50"/>
        <v>0</v>
      </c>
      <c r="Z642" s="28">
        <f t="shared" si="51"/>
        <v>0</v>
      </c>
      <c r="AA642" s="4"/>
      <c r="AB642" s="4"/>
      <c r="AC642">
        <f t="shared" si="52"/>
        <v>2</v>
      </c>
    </row>
    <row r="643" spans="1:30" ht="31.2" x14ac:dyDescent="0.3">
      <c r="A643" s="7" t="s">
        <v>2290</v>
      </c>
      <c r="B643" s="6">
        <v>630</v>
      </c>
      <c r="C643" s="7" t="s">
        <v>2562</v>
      </c>
      <c r="D643" s="7" t="s">
        <v>2692</v>
      </c>
      <c r="E643" s="5"/>
      <c r="F643" s="4"/>
      <c r="G643" s="7" t="s">
        <v>2693</v>
      </c>
      <c r="H643" s="5"/>
      <c r="I643" s="7" t="s">
        <v>2565</v>
      </c>
      <c r="J643" s="21" t="s">
        <v>2694</v>
      </c>
      <c r="K643" s="7" t="s">
        <v>24</v>
      </c>
      <c r="L643" s="7" t="s">
        <v>2695</v>
      </c>
      <c r="M643" s="114">
        <v>7247037716</v>
      </c>
      <c r="N643" s="111"/>
      <c r="O643" s="114">
        <v>7500000</v>
      </c>
      <c r="P643" s="110"/>
      <c r="Q643" s="109">
        <f t="shared" si="48"/>
        <v>7254537716</v>
      </c>
      <c r="R643" s="14">
        <v>7247037716</v>
      </c>
      <c r="S643" s="5"/>
      <c r="T643" s="33">
        <v>7500000</v>
      </c>
      <c r="U643" s="5"/>
      <c r="V643" s="5"/>
      <c r="W643" s="28"/>
      <c r="X643" s="28">
        <f t="shared" si="49"/>
        <v>0</v>
      </c>
      <c r="Y643" s="28">
        <f t="shared" si="50"/>
        <v>0</v>
      </c>
      <c r="Z643" s="28">
        <f t="shared" si="51"/>
        <v>0</v>
      </c>
      <c r="AA643" s="4"/>
      <c r="AB643" s="4"/>
      <c r="AC643">
        <f t="shared" si="52"/>
        <v>2</v>
      </c>
    </row>
    <row r="644" spans="1:30" ht="63" x14ac:dyDescent="0.3">
      <c r="A644" s="7" t="s">
        <v>18</v>
      </c>
      <c r="B644" s="6">
        <v>631</v>
      </c>
      <c r="C644" s="7" t="s">
        <v>2562</v>
      </c>
      <c r="D644" s="7" t="s">
        <v>2696</v>
      </c>
      <c r="E644" s="5"/>
      <c r="F644" s="4"/>
      <c r="G644" s="7" t="s">
        <v>2697</v>
      </c>
      <c r="H644" s="5"/>
      <c r="I644" s="5"/>
      <c r="J644" s="21" t="s">
        <v>2698</v>
      </c>
      <c r="K644" s="7" t="s">
        <v>24</v>
      </c>
      <c r="L644" s="7" t="s">
        <v>2699</v>
      </c>
      <c r="M644" s="114">
        <v>3170225742</v>
      </c>
      <c r="N644" s="111"/>
      <c r="O644" s="114">
        <v>15000000</v>
      </c>
      <c r="P644" s="110"/>
      <c r="Q644" s="109">
        <f t="shared" si="48"/>
        <v>3185225742</v>
      </c>
      <c r="R644" s="14">
        <v>3170225742</v>
      </c>
      <c r="S644" s="5"/>
      <c r="T644" s="30">
        <v>15000000</v>
      </c>
      <c r="U644" s="5"/>
      <c r="V644" s="5"/>
      <c r="W644" s="28"/>
      <c r="X644" s="28">
        <f t="shared" si="49"/>
        <v>0</v>
      </c>
      <c r="Y644" s="28">
        <f t="shared" si="50"/>
        <v>0</v>
      </c>
      <c r="Z644" s="28">
        <f t="shared" si="51"/>
        <v>0</v>
      </c>
      <c r="AA644" s="4"/>
      <c r="AB644" s="4"/>
      <c r="AC644">
        <f t="shared" si="52"/>
        <v>2</v>
      </c>
    </row>
    <row r="645" spans="1:30" ht="42" x14ac:dyDescent="0.3">
      <c r="A645" s="7" t="s">
        <v>18</v>
      </c>
      <c r="B645" s="6">
        <v>632</v>
      </c>
      <c r="C645" s="7" t="s">
        <v>2562</v>
      </c>
      <c r="D645" s="7" t="s">
        <v>2700</v>
      </c>
      <c r="E645" s="5"/>
      <c r="F645" s="4"/>
      <c r="G645" s="7" t="s">
        <v>2701</v>
      </c>
      <c r="H645" s="5"/>
      <c r="I645" s="5"/>
      <c r="J645" s="21" t="s">
        <v>2702</v>
      </c>
      <c r="K645" s="7" t="s">
        <v>24</v>
      </c>
      <c r="L645" s="7" t="s">
        <v>2703</v>
      </c>
      <c r="M645" s="114">
        <v>5063021384</v>
      </c>
      <c r="N645" s="111"/>
      <c r="O645" s="114">
        <v>15000000</v>
      </c>
      <c r="P645" s="110"/>
      <c r="Q645" s="109">
        <f t="shared" si="48"/>
        <v>5078021384</v>
      </c>
      <c r="R645" s="14">
        <v>5063021384</v>
      </c>
      <c r="S645" s="5"/>
      <c r="T645" s="30">
        <v>15000000</v>
      </c>
      <c r="U645" s="5"/>
      <c r="V645" s="5"/>
      <c r="W645" s="28"/>
      <c r="X645" s="28">
        <f t="shared" si="49"/>
        <v>0</v>
      </c>
      <c r="Y645" s="28">
        <f t="shared" si="50"/>
        <v>0</v>
      </c>
      <c r="Z645" s="28">
        <f t="shared" si="51"/>
        <v>0</v>
      </c>
      <c r="AA645" s="4"/>
      <c r="AB645" s="4"/>
      <c r="AC645">
        <f t="shared" si="52"/>
        <v>2</v>
      </c>
    </row>
    <row r="646" spans="1:30" ht="105" x14ac:dyDescent="0.3">
      <c r="A646" s="7" t="s">
        <v>53</v>
      </c>
      <c r="B646" s="6">
        <v>633</v>
      </c>
      <c r="C646" s="7" t="s">
        <v>2562</v>
      </c>
      <c r="D646" s="7" t="s">
        <v>2704</v>
      </c>
      <c r="E646" s="5"/>
      <c r="F646" s="4"/>
      <c r="G646" s="7" t="s">
        <v>2705</v>
      </c>
      <c r="H646" s="5"/>
      <c r="I646" s="7" t="s">
        <v>2565</v>
      </c>
      <c r="J646" s="21" t="s">
        <v>2706</v>
      </c>
      <c r="K646" s="7" t="s">
        <v>24</v>
      </c>
      <c r="L646" s="7" t="s">
        <v>2707</v>
      </c>
      <c r="M646" s="114">
        <v>3070287800</v>
      </c>
      <c r="N646" s="111"/>
      <c r="O646" s="114">
        <v>7500000</v>
      </c>
      <c r="P646" s="110"/>
      <c r="Q646" s="109">
        <f t="shared" si="48"/>
        <v>3077787800</v>
      </c>
      <c r="R646" s="14">
        <v>3070287800</v>
      </c>
      <c r="S646" s="5"/>
      <c r="T646" s="30">
        <v>7500000</v>
      </c>
      <c r="U646" s="5"/>
      <c r="V646" s="5"/>
      <c r="W646" s="28"/>
      <c r="X646" s="28">
        <f t="shared" si="49"/>
        <v>0</v>
      </c>
      <c r="Y646" s="28">
        <f t="shared" si="50"/>
        <v>0</v>
      </c>
      <c r="Z646" s="28">
        <f t="shared" si="51"/>
        <v>0</v>
      </c>
      <c r="AA646" s="4"/>
      <c r="AB646" s="4"/>
      <c r="AC646">
        <f t="shared" si="52"/>
        <v>2</v>
      </c>
    </row>
    <row r="647" spans="1:30" ht="46.8" x14ac:dyDescent="0.3">
      <c r="A647" s="7" t="s">
        <v>46</v>
      </c>
      <c r="B647" s="6">
        <v>634</v>
      </c>
      <c r="C647" s="7" t="s">
        <v>2562</v>
      </c>
      <c r="D647" s="7" t="s">
        <v>2708</v>
      </c>
      <c r="E647" s="5"/>
      <c r="F647" s="4"/>
      <c r="G647" s="7" t="s">
        <v>2709</v>
      </c>
      <c r="H647" s="5"/>
      <c r="I647" s="7" t="s">
        <v>2565</v>
      </c>
      <c r="J647" s="21" t="s">
        <v>2710</v>
      </c>
      <c r="K647" s="7" t="s">
        <v>24</v>
      </c>
      <c r="L647" s="7" t="s">
        <v>2711</v>
      </c>
      <c r="M647" s="114">
        <v>3569089716</v>
      </c>
      <c r="N647" s="111"/>
      <c r="O647" s="114">
        <v>7500000</v>
      </c>
      <c r="P647" s="110"/>
      <c r="Q647" s="109">
        <f t="shared" si="48"/>
        <v>3576589716</v>
      </c>
      <c r="R647" s="14">
        <v>3569089716</v>
      </c>
      <c r="S647" s="5"/>
      <c r="T647" s="30">
        <v>7500000</v>
      </c>
      <c r="U647" s="5"/>
      <c r="V647" s="5"/>
      <c r="W647" s="28"/>
      <c r="X647" s="28">
        <f t="shared" si="49"/>
        <v>0</v>
      </c>
      <c r="Y647" s="28">
        <f t="shared" si="50"/>
        <v>0</v>
      </c>
      <c r="Z647" s="28">
        <f t="shared" si="51"/>
        <v>0</v>
      </c>
      <c r="AA647" s="4"/>
      <c r="AB647" s="4"/>
      <c r="AC647">
        <f t="shared" si="52"/>
        <v>2</v>
      </c>
    </row>
    <row r="648" spans="1:30" ht="31.2" x14ac:dyDescent="0.3">
      <c r="A648" s="7" t="s">
        <v>53</v>
      </c>
      <c r="B648" s="6">
        <v>635</v>
      </c>
      <c r="C648" s="7" t="s">
        <v>2562</v>
      </c>
      <c r="D648" s="7" t="s">
        <v>2712</v>
      </c>
      <c r="E648" s="5"/>
      <c r="F648" s="4"/>
      <c r="G648" s="7" t="s">
        <v>2713</v>
      </c>
      <c r="H648" s="5"/>
      <c r="I648" s="7" t="s">
        <v>2685</v>
      </c>
      <c r="J648" s="21" t="s">
        <v>2714</v>
      </c>
      <c r="K648" s="7" t="s">
        <v>24</v>
      </c>
      <c r="L648" s="7" t="s">
        <v>2715</v>
      </c>
      <c r="M648" s="114">
        <v>1028645990</v>
      </c>
      <c r="N648" s="111"/>
      <c r="O648" s="114">
        <v>7500000</v>
      </c>
      <c r="P648" s="110"/>
      <c r="Q648" s="109">
        <f t="shared" si="48"/>
        <v>1036145990</v>
      </c>
      <c r="R648" s="14">
        <v>1028645990</v>
      </c>
      <c r="S648" s="5"/>
      <c r="T648" s="33">
        <v>7500000</v>
      </c>
      <c r="U648" s="5"/>
      <c r="V648" s="5"/>
      <c r="W648" s="28"/>
      <c r="X648" s="28">
        <f t="shared" si="49"/>
        <v>0</v>
      </c>
      <c r="Y648" s="28">
        <f t="shared" si="50"/>
        <v>0</v>
      </c>
      <c r="Z648" s="28">
        <f t="shared" si="51"/>
        <v>0</v>
      </c>
      <c r="AA648" s="4"/>
      <c r="AB648" s="4"/>
      <c r="AC648">
        <f t="shared" si="52"/>
        <v>2</v>
      </c>
    </row>
    <row r="649" spans="1:30" ht="31.2" x14ac:dyDescent="0.4">
      <c r="A649" s="7" t="s">
        <v>18</v>
      </c>
      <c r="B649" s="6">
        <v>636</v>
      </c>
      <c r="C649" s="7" t="s">
        <v>2562</v>
      </c>
      <c r="D649" s="7" t="s">
        <v>2716</v>
      </c>
      <c r="E649" s="7"/>
      <c r="F649" s="4"/>
      <c r="G649" s="7" t="s">
        <v>2717</v>
      </c>
      <c r="H649" s="7"/>
      <c r="I649" s="7"/>
      <c r="J649" s="7" t="s">
        <v>2718</v>
      </c>
      <c r="K649" s="7" t="s">
        <v>24</v>
      </c>
      <c r="L649" s="7" t="s">
        <v>2719</v>
      </c>
      <c r="M649" s="114">
        <v>4288374500</v>
      </c>
      <c r="N649" s="111"/>
      <c r="O649" s="109">
        <v>7500000</v>
      </c>
      <c r="P649" s="110"/>
      <c r="Q649" s="109">
        <f t="shared" si="48"/>
        <v>4295874500</v>
      </c>
      <c r="R649" s="5"/>
      <c r="S649" s="5"/>
      <c r="T649" s="72"/>
      <c r="U649" s="5"/>
      <c r="V649" s="5"/>
      <c r="W649" s="28">
        <v>4288374500</v>
      </c>
      <c r="X649" s="28">
        <f t="shared" si="49"/>
        <v>0</v>
      </c>
      <c r="Y649" s="36">
        <f t="shared" si="50"/>
        <v>7500000</v>
      </c>
      <c r="Z649" s="28">
        <f t="shared" si="51"/>
        <v>0</v>
      </c>
      <c r="AA649" s="16">
        <v>4288374500</v>
      </c>
      <c r="AB649" s="40"/>
      <c r="AC649" s="121">
        <f t="shared" si="52"/>
        <v>2</v>
      </c>
      <c r="AD649" s="121"/>
    </row>
    <row r="650" spans="1:30" ht="31.2" x14ac:dyDescent="0.3">
      <c r="A650" s="7" t="s">
        <v>46</v>
      </c>
      <c r="B650" s="6">
        <v>637</v>
      </c>
      <c r="C650" s="7" t="s">
        <v>2562</v>
      </c>
      <c r="D650" s="7" t="s">
        <v>2720</v>
      </c>
      <c r="E650" s="5"/>
      <c r="F650" s="4"/>
      <c r="G650" s="7" t="s">
        <v>2721</v>
      </c>
      <c r="H650" s="5"/>
      <c r="I650" s="5"/>
      <c r="J650" s="21" t="s">
        <v>2722</v>
      </c>
      <c r="K650" s="7" t="s">
        <v>24</v>
      </c>
      <c r="L650" s="7" t="s">
        <v>2723</v>
      </c>
      <c r="M650" s="114">
        <v>1265664188</v>
      </c>
      <c r="N650" s="111"/>
      <c r="O650" s="114">
        <v>7500000</v>
      </c>
      <c r="P650" s="110"/>
      <c r="Q650" s="109">
        <f t="shared" si="48"/>
        <v>1273164188</v>
      </c>
      <c r="R650" s="14">
        <v>1265664188</v>
      </c>
      <c r="S650" s="5"/>
      <c r="T650" s="30">
        <v>7500000</v>
      </c>
      <c r="U650" s="5"/>
      <c r="V650" s="5"/>
      <c r="W650" s="28"/>
      <c r="X650" s="28">
        <f t="shared" si="49"/>
        <v>0</v>
      </c>
      <c r="Y650" s="28">
        <f t="shared" si="50"/>
        <v>0</v>
      </c>
      <c r="Z650" s="28">
        <f t="shared" si="51"/>
        <v>0</v>
      </c>
      <c r="AA650" s="4"/>
      <c r="AB650" s="4"/>
      <c r="AC650">
        <f t="shared" si="52"/>
        <v>2</v>
      </c>
    </row>
    <row r="651" spans="1:30" ht="42" x14ac:dyDescent="0.3">
      <c r="A651" s="7" t="s">
        <v>53</v>
      </c>
      <c r="B651" s="6">
        <v>638</v>
      </c>
      <c r="C651" s="7" t="s">
        <v>2562</v>
      </c>
      <c r="D651" s="7" t="s">
        <v>2724</v>
      </c>
      <c r="E651" s="5"/>
      <c r="F651" s="4"/>
      <c r="G651" s="7" t="s">
        <v>2725</v>
      </c>
      <c r="H651" s="5"/>
      <c r="I651" s="7" t="s">
        <v>2726</v>
      </c>
      <c r="J651" s="21" t="s">
        <v>2727</v>
      </c>
      <c r="K651" s="7" t="s">
        <v>24</v>
      </c>
      <c r="L651" s="7" t="s">
        <v>2728</v>
      </c>
      <c r="M651" s="114">
        <v>301882620</v>
      </c>
      <c r="N651" s="111"/>
      <c r="O651" s="114">
        <v>7500000</v>
      </c>
      <c r="P651" s="110"/>
      <c r="Q651" s="109">
        <f t="shared" si="48"/>
        <v>309382620</v>
      </c>
      <c r="R651" s="14">
        <v>301882620</v>
      </c>
      <c r="S651" s="5"/>
      <c r="T651" s="33">
        <v>7500000</v>
      </c>
      <c r="U651" s="5"/>
      <c r="V651" s="5"/>
      <c r="W651" s="28"/>
      <c r="X651" s="28">
        <f t="shared" si="49"/>
        <v>0</v>
      </c>
      <c r="Y651" s="28">
        <f t="shared" si="50"/>
        <v>0</v>
      </c>
      <c r="Z651" s="28">
        <f t="shared" si="51"/>
        <v>0</v>
      </c>
      <c r="AA651" s="4"/>
      <c r="AB651" s="4"/>
      <c r="AC651">
        <f t="shared" si="52"/>
        <v>2</v>
      </c>
    </row>
    <row r="652" spans="1:30" ht="46.8" x14ac:dyDescent="0.3">
      <c r="A652" s="7" t="s">
        <v>53</v>
      </c>
      <c r="B652" s="6">
        <v>639</v>
      </c>
      <c r="C652" s="7" t="s">
        <v>2562</v>
      </c>
      <c r="D652" s="7" t="s">
        <v>2729</v>
      </c>
      <c r="E652" s="7" t="s">
        <v>2470</v>
      </c>
      <c r="F652" s="40" t="s">
        <v>2730</v>
      </c>
      <c r="G652" s="7" t="s">
        <v>2731</v>
      </c>
      <c r="H652" s="7"/>
      <c r="I652" s="7" t="s">
        <v>2565</v>
      </c>
      <c r="J652" s="7" t="s">
        <v>2732</v>
      </c>
      <c r="K652" s="7" t="s">
        <v>24</v>
      </c>
      <c r="L652" s="7" t="s">
        <v>2733</v>
      </c>
      <c r="M652" s="114">
        <v>6012667866</v>
      </c>
      <c r="N652" s="115">
        <v>3504088820</v>
      </c>
      <c r="O652" s="109">
        <v>15000000</v>
      </c>
      <c r="P652" s="112">
        <v>24000000</v>
      </c>
      <c r="Q652" s="109">
        <f t="shared" si="48"/>
        <v>9555756686</v>
      </c>
      <c r="R652" s="14">
        <v>6012667866</v>
      </c>
      <c r="S652" s="14">
        <v>3504088820</v>
      </c>
      <c r="T652" s="72"/>
      <c r="U652" s="14">
        <v>24000000</v>
      </c>
      <c r="V652" s="5"/>
      <c r="W652" s="28"/>
      <c r="X652" s="28">
        <f t="shared" si="49"/>
        <v>0</v>
      </c>
      <c r="Y652" s="36">
        <f t="shared" si="50"/>
        <v>15000000</v>
      </c>
      <c r="Z652" s="28">
        <f t="shared" si="51"/>
        <v>0</v>
      </c>
      <c r="AA652" s="4"/>
      <c r="AB652" s="40"/>
      <c r="AC652" s="121">
        <f t="shared" si="52"/>
        <v>2</v>
      </c>
      <c r="AD652" s="121"/>
    </row>
    <row r="653" spans="1:30" ht="31.2" x14ac:dyDescent="0.3">
      <c r="A653" s="7" t="s">
        <v>53</v>
      </c>
      <c r="B653" s="6">
        <v>640</v>
      </c>
      <c r="C653" s="7" t="s">
        <v>2562</v>
      </c>
      <c r="D653" s="7" t="s">
        <v>2734</v>
      </c>
      <c r="E653" s="7" t="s">
        <v>3877</v>
      </c>
      <c r="F653" s="4"/>
      <c r="G653" s="7" t="s">
        <v>2735</v>
      </c>
      <c r="H653" s="7" t="s">
        <v>3905</v>
      </c>
      <c r="I653" s="7" t="s">
        <v>2685</v>
      </c>
      <c r="J653" s="7" t="s">
        <v>2736</v>
      </c>
      <c r="K653" s="7" t="s">
        <v>24</v>
      </c>
      <c r="L653" s="7" t="s">
        <v>2737</v>
      </c>
      <c r="M653" s="109">
        <v>1387021608</v>
      </c>
      <c r="N653" s="74">
        <v>346755402</v>
      </c>
      <c r="O653" s="109">
        <v>7500000</v>
      </c>
      <c r="P653" s="110"/>
      <c r="Q653" s="109">
        <f t="shared" si="48"/>
        <v>1741277010</v>
      </c>
      <c r="R653" s="5"/>
      <c r="S653" s="7"/>
      <c r="T653" s="72"/>
      <c r="U653" s="5"/>
      <c r="V653" s="5"/>
      <c r="W653" s="28">
        <v>1387021608</v>
      </c>
      <c r="X653" s="36">
        <f t="shared" si="49"/>
        <v>346755402</v>
      </c>
      <c r="Y653" s="36">
        <f t="shared" si="50"/>
        <v>7500000</v>
      </c>
      <c r="Z653" s="28">
        <f t="shared" si="51"/>
        <v>0</v>
      </c>
      <c r="AA653" s="10">
        <v>1387021608</v>
      </c>
      <c r="AB653" s="40"/>
      <c r="AC653" s="121">
        <f t="shared" si="52"/>
        <v>2</v>
      </c>
      <c r="AD653" s="121"/>
    </row>
    <row r="654" spans="1:30" ht="31.2" x14ac:dyDescent="0.3">
      <c r="A654" s="7" t="s">
        <v>53</v>
      </c>
      <c r="B654" s="6">
        <v>641</v>
      </c>
      <c r="C654" s="7" t="s">
        <v>2562</v>
      </c>
      <c r="D654" s="7" t="s">
        <v>2738</v>
      </c>
      <c r="E654" s="5"/>
      <c r="F654" s="4"/>
      <c r="G654" s="7" t="s">
        <v>2739</v>
      </c>
      <c r="H654" s="5"/>
      <c r="I654" s="7" t="s">
        <v>28</v>
      </c>
      <c r="J654" s="21" t="s">
        <v>2740</v>
      </c>
      <c r="K654" s="7" t="s">
        <v>24</v>
      </c>
      <c r="L654" s="7" t="s">
        <v>2741</v>
      </c>
      <c r="M654" s="114">
        <v>258157180</v>
      </c>
      <c r="N654" s="111"/>
      <c r="O654" s="114">
        <v>3750000</v>
      </c>
      <c r="P654" s="110"/>
      <c r="Q654" s="109">
        <f t="shared" si="48"/>
        <v>261907180</v>
      </c>
      <c r="R654" s="14">
        <v>258157180</v>
      </c>
      <c r="S654" s="5"/>
      <c r="T654" s="33">
        <v>3750000</v>
      </c>
      <c r="U654" s="5"/>
      <c r="V654" s="5"/>
      <c r="W654" s="28"/>
      <c r="X654" s="28">
        <f t="shared" si="49"/>
        <v>0</v>
      </c>
      <c r="Y654" s="28">
        <f t="shared" si="50"/>
        <v>0</v>
      </c>
      <c r="Z654" s="28">
        <f t="shared" si="51"/>
        <v>0</v>
      </c>
      <c r="AA654" s="4"/>
      <c r="AB654" s="4"/>
      <c r="AC654">
        <f t="shared" si="52"/>
        <v>2</v>
      </c>
    </row>
    <row r="655" spans="1:30" ht="63" x14ac:dyDescent="0.3">
      <c r="A655" s="7" t="s">
        <v>53</v>
      </c>
      <c r="B655" s="6">
        <v>642</v>
      </c>
      <c r="C655" s="7" t="s">
        <v>2562</v>
      </c>
      <c r="D655" s="7" t="s">
        <v>2742</v>
      </c>
      <c r="E655" s="5"/>
      <c r="F655" s="4"/>
      <c r="G655" s="7" t="s">
        <v>2743</v>
      </c>
      <c r="H655" s="5"/>
      <c r="I655" s="7" t="s">
        <v>2685</v>
      </c>
      <c r="J655" s="21" t="s">
        <v>2744</v>
      </c>
      <c r="K655" s="7" t="s">
        <v>24</v>
      </c>
      <c r="L655" s="7" t="s">
        <v>2745</v>
      </c>
      <c r="M655" s="114">
        <v>3184129002</v>
      </c>
      <c r="N655" s="111"/>
      <c r="O655" s="114">
        <v>15000000</v>
      </c>
      <c r="P655" s="110"/>
      <c r="Q655" s="109">
        <f t="shared" ref="Q655:Q717" si="53">M655+N655+O655+P655</f>
        <v>3199129002</v>
      </c>
      <c r="R655" s="14">
        <v>3184129002</v>
      </c>
      <c r="S655" s="5"/>
      <c r="T655" s="33">
        <v>15000000</v>
      </c>
      <c r="U655" s="5"/>
      <c r="V655" s="5"/>
      <c r="W655" s="28"/>
      <c r="X655" s="28">
        <f t="shared" ref="X655:X680" si="54">N655-S655</f>
        <v>0</v>
      </c>
      <c r="Y655" s="28">
        <f t="shared" ref="Y655:Y717" si="55">O655-T655</f>
        <v>0</v>
      </c>
      <c r="Z655" s="28">
        <f t="shared" ref="Z655:Z717" si="56">P655-U655</f>
        <v>0</v>
      </c>
      <c r="AA655" s="4"/>
      <c r="AB655" s="4"/>
      <c r="AC655">
        <f t="shared" ref="AC655:AC717" si="57">IF(AB655=G655,1,2)</f>
        <v>2</v>
      </c>
    </row>
    <row r="656" spans="1:30" ht="31.2" x14ac:dyDescent="0.3">
      <c r="A656" s="7" t="s">
        <v>2290</v>
      </c>
      <c r="B656" s="6">
        <v>643</v>
      </c>
      <c r="C656" s="7" t="s">
        <v>2562</v>
      </c>
      <c r="D656" s="7" t="s">
        <v>2746</v>
      </c>
      <c r="E656" s="7" t="s">
        <v>2747</v>
      </c>
      <c r="F656" s="4"/>
      <c r="G656" s="7" t="s">
        <v>2748</v>
      </c>
      <c r="H656" s="7" t="s">
        <v>2749</v>
      </c>
      <c r="I656" s="7" t="s">
        <v>2685</v>
      </c>
      <c r="J656" s="21" t="s">
        <v>2750</v>
      </c>
      <c r="K656" s="7" t="s">
        <v>24</v>
      </c>
      <c r="L656" s="7" t="s">
        <v>2751</v>
      </c>
      <c r="M656" s="114">
        <v>5429528230</v>
      </c>
      <c r="N656" s="114">
        <v>1005357150</v>
      </c>
      <c r="O656" s="114">
        <v>7500000</v>
      </c>
      <c r="P656" s="110"/>
      <c r="Q656" s="109">
        <f t="shared" si="53"/>
        <v>6442385380</v>
      </c>
      <c r="R656" s="14">
        <v>5429528230</v>
      </c>
      <c r="S656" s="3">
        <v>1005357150</v>
      </c>
      <c r="T656" s="33">
        <v>7500000</v>
      </c>
      <c r="U656" s="5"/>
      <c r="V656" s="5"/>
      <c r="W656" s="28"/>
      <c r="X656" s="28">
        <f t="shared" si="54"/>
        <v>0</v>
      </c>
      <c r="Y656" s="28">
        <f t="shared" si="55"/>
        <v>0</v>
      </c>
      <c r="Z656" s="28">
        <f t="shared" si="56"/>
        <v>0</v>
      </c>
      <c r="AA656" s="4"/>
      <c r="AB656" s="4"/>
      <c r="AC656">
        <f t="shared" si="57"/>
        <v>2</v>
      </c>
    </row>
    <row r="657" spans="1:30" ht="62.4" customHeight="1" x14ac:dyDescent="0.3">
      <c r="A657" s="7" t="s">
        <v>2290</v>
      </c>
      <c r="B657" s="6">
        <v>644</v>
      </c>
      <c r="C657" s="7" t="s">
        <v>2562</v>
      </c>
      <c r="D657" s="7" t="s">
        <v>2752</v>
      </c>
      <c r="E657" s="5"/>
      <c r="F657" s="40" t="s">
        <v>2753</v>
      </c>
      <c r="G657" s="7" t="s">
        <v>2754</v>
      </c>
      <c r="H657" s="5"/>
      <c r="I657" s="7" t="s">
        <v>2565</v>
      </c>
      <c r="J657" s="21" t="s">
        <v>2755</v>
      </c>
      <c r="K657" s="7" t="s">
        <v>24</v>
      </c>
      <c r="L657" s="7" t="s">
        <v>1652</v>
      </c>
      <c r="M657" s="114">
        <v>14057391480</v>
      </c>
      <c r="N657" s="111"/>
      <c r="O657" s="114">
        <v>15000000</v>
      </c>
      <c r="P657" s="112">
        <v>72000000</v>
      </c>
      <c r="Q657" s="109">
        <f t="shared" si="53"/>
        <v>14144391480</v>
      </c>
      <c r="R657" s="14">
        <v>14057391480</v>
      </c>
      <c r="S657" s="5"/>
      <c r="T657" s="30">
        <v>15000000</v>
      </c>
      <c r="U657" s="14">
        <v>24000000</v>
      </c>
      <c r="V657" s="5"/>
      <c r="W657" s="28"/>
      <c r="X657" s="28">
        <f t="shared" si="54"/>
        <v>0</v>
      </c>
      <c r="Y657" s="28">
        <f t="shared" si="55"/>
        <v>0</v>
      </c>
      <c r="Z657" s="28">
        <f t="shared" si="56"/>
        <v>48000000</v>
      </c>
      <c r="AA657" s="4"/>
      <c r="AB657" s="4"/>
      <c r="AC657">
        <f t="shared" si="57"/>
        <v>2</v>
      </c>
    </row>
    <row r="658" spans="1:30" ht="42" customHeight="1" x14ac:dyDescent="0.3">
      <c r="A658" s="7" t="s">
        <v>53</v>
      </c>
      <c r="B658" s="6">
        <v>645</v>
      </c>
      <c r="C658" s="7" t="s">
        <v>2562</v>
      </c>
      <c r="D658" s="7" t="s">
        <v>2756</v>
      </c>
      <c r="E658" s="7" t="s">
        <v>2757</v>
      </c>
      <c r="F658" s="40" t="s">
        <v>2058</v>
      </c>
      <c r="G658" s="7" t="s">
        <v>2758</v>
      </c>
      <c r="H658" s="7" t="s">
        <v>2759</v>
      </c>
      <c r="I658" s="7" t="s">
        <v>2565</v>
      </c>
      <c r="J658" s="21" t="s">
        <v>2760</v>
      </c>
      <c r="K658" s="7" t="s">
        <v>24</v>
      </c>
      <c r="L658" s="7" t="s">
        <v>2761</v>
      </c>
      <c r="M658" s="114">
        <v>3117329551</v>
      </c>
      <c r="N658" s="114">
        <v>7186340</v>
      </c>
      <c r="O658" s="114">
        <v>15000000</v>
      </c>
      <c r="P658" s="112">
        <v>8000000</v>
      </c>
      <c r="Q658" s="109">
        <f t="shared" si="53"/>
        <v>3147515891</v>
      </c>
      <c r="R658" s="14">
        <v>3117329551</v>
      </c>
      <c r="S658" s="3">
        <v>7186340</v>
      </c>
      <c r="T658" s="30">
        <v>15000000</v>
      </c>
      <c r="U658" s="3">
        <v>8000000</v>
      </c>
      <c r="V658" s="5"/>
      <c r="W658" s="28"/>
      <c r="X658" s="28">
        <f t="shared" si="54"/>
        <v>0</v>
      </c>
      <c r="Y658" s="28">
        <f t="shared" si="55"/>
        <v>0</v>
      </c>
      <c r="Z658" s="28">
        <f t="shared" si="56"/>
        <v>0</v>
      </c>
      <c r="AA658" s="4"/>
      <c r="AB658" s="4"/>
      <c r="AC658">
        <f t="shared" si="57"/>
        <v>2</v>
      </c>
    </row>
    <row r="659" spans="1:30" ht="62.4" customHeight="1" x14ac:dyDescent="0.3">
      <c r="A659" s="7" t="s">
        <v>2290</v>
      </c>
      <c r="B659" s="6">
        <v>646</v>
      </c>
      <c r="C659" s="7" t="s">
        <v>2562</v>
      </c>
      <c r="D659" s="7" t="s">
        <v>2762</v>
      </c>
      <c r="E659" s="7" t="s">
        <v>2764</v>
      </c>
      <c r="F659" s="40" t="s">
        <v>3883</v>
      </c>
      <c r="G659" s="7" t="s">
        <v>2765</v>
      </c>
      <c r="H659" s="5"/>
      <c r="I659" s="7" t="s">
        <v>2685</v>
      </c>
      <c r="J659" s="21" t="s">
        <v>2766</v>
      </c>
      <c r="K659" s="7" t="s">
        <v>24</v>
      </c>
      <c r="L659" s="7" t="s">
        <v>2767</v>
      </c>
      <c r="M659" s="114">
        <v>986764751</v>
      </c>
      <c r="N659" s="114">
        <v>522395346</v>
      </c>
      <c r="O659" s="114">
        <v>15000000</v>
      </c>
      <c r="P659" s="112">
        <v>72000000</v>
      </c>
      <c r="Q659" s="109">
        <f t="shared" si="53"/>
        <v>1596160097</v>
      </c>
      <c r="R659" s="14">
        <v>986764751</v>
      </c>
      <c r="S659" s="14">
        <v>522395346</v>
      </c>
      <c r="T659" s="30">
        <v>15000000</v>
      </c>
      <c r="U659" s="14">
        <v>72000000</v>
      </c>
      <c r="V659" s="5"/>
      <c r="W659" s="28"/>
      <c r="X659" s="28">
        <f t="shared" si="54"/>
        <v>0</v>
      </c>
      <c r="Y659" s="28">
        <f t="shared" si="55"/>
        <v>0</v>
      </c>
      <c r="Z659" s="28">
        <f t="shared" si="56"/>
        <v>0</v>
      </c>
      <c r="AA659" s="4"/>
      <c r="AB659" s="4"/>
      <c r="AC659">
        <f t="shared" si="57"/>
        <v>2</v>
      </c>
    </row>
    <row r="660" spans="1:30" ht="31.2" x14ac:dyDescent="0.3">
      <c r="A660" s="7" t="s">
        <v>46</v>
      </c>
      <c r="B660" s="6">
        <v>647</v>
      </c>
      <c r="C660" s="7" t="s">
        <v>2562</v>
      </c>
      <c r="D660" s="7" t="s">
        <v>2768</v>
      </c>
      <c r="E660" s="5"/>
      <c r="F660" s="4"/>
      <c r="G660" s="7" t="s">
        <v>2769</v>
      </c>
      <c r="H660" s="5"/>
      <c r="I660" s="5"/>
      <c r="J660" s="21" t="s">
        <v>2770</v>
      </c>
      <c r="K660" s="7" t="s">
        <v>24</v>
      </c>
      <c r="L660" s="7" t="s">
        <v>2771</v>
      </c>
      <c r="M660" s="114">
        <v>1533758900</v>
      </c>
      <c r="N660" s="111"/>
      <c r="O660" s="114">
        <v>7500000</v>
      </c>
      <c r="P660" s="110"/>
      <c r="Q660" s="109">
        <f t="shared" si="53"/>
        <v>1541258900</v>
      </c>
      <c r="R660" s="14">
        <v>1533758900</v>
      </c>
      <c r="S660" s="5"/>
      <c r="T660" s="33">
        <v>7500000</v>
      </c>
      <c r="U660" s="5"/>
      <c r="V660" s="5"/>
      <c r="W660" s="28"/>
      <c r="X660" s="28">
        <f t="shared" si="54"/>
        <v>0</v>
      </c>
      <c r="Y660" s="28">
        <f t="shared" si="55"/>
        <v>0</v>
      </c>
      <c r="Z660" s="28">
        <f t="shared" si="56"/>
        <v>0</v>
      </c>
      <c r="AA660" s="4"/>
      <c r="AB660" s="4"/>
      <c r="AC660">
        <f t="shared" si="57"/>
        <v>2</v>
      </c>
    </row>
    <row r="661" spans="1:30" ht="31.2" x14ac:dyDescent="0.3">
      <c r="A661" s="7" t="s">
        <v>53</v>
      </c>
      <c r="B661" s="6">
        <v>648</v>
      </c>
      <c r="C661" s="7" t="s">
        <v>2562</v>
      </c>
      <c r="D661" s="7" t="s">
        <v>2772</v>
      </c>
      <c r="E661" s="5"/>
      <c r="F661" s="4"/>
      <c r="G661" s="7" t="s">
        <v>2773</v>
      </c>
      <c r="H661" s="5"/>
      <c r="I661" s="7" t="s">
        <v>2565</v>
      </c>
      <c r="J661" s="21" t="s">
        <v>2774</v>
      </c>
      <c r="K661" s="7" t="s">
        <v>24</v>
      </c>
      <c r="L661" s="7" t="s">
        <v>2775</v>
      </c>
      <c r="M661" s="114">
        <v>7462791400</v>
      </c>
      <c r="N661" s="111"/>
      <c r="O661" s="114">
        <v>15000000</v>
      </c>
      <c r="P661" s="110"/>
      <c r="Q661" s="109">
        <f t="shared" si="53"/>
        <v>7477791400</v>
      </c>
      <c r="R661" s="14">
        <v>7462791400</v>
      </c>
      <c r="S661" s="5"/>
      <c r="T661" s="33">
        <v>15000000</v>
      </c>
      <c r="U661" s="5"/>
      <c r="V661" s="5"/>
      <c r="W661" s="28"/>
      <c r="X661" s="28">
        <f t="shared" si="54"/>
        <v>0</v>
      </c>
      <c r="Y661" s="28">
        <f t="shared" si="55"/>
        <v>0</v>
      </c>
      <c r="Z661" s="28">
        <f t="shared" si="56"/>
        <v>0</v>
      </c>
      <c r="AA661" s="4"/>
      <c r="AB661" s="4"/>
      <c r="AC661">
        <f t="shared" si="57"/>
        <v>2</v>
      </c>
    </row>
    <row r="662" spans="1:30" ht="31.2" x14ac:dyDescent="0.3">
      <c r="A662" s="7" t="s">
        <v>2290</v>
      </c>
      <c r="B662" s="6">
        <v>649</v>
      </c>
      <c r="C662" s="7" t="s">
        <v>2562</v>
      </c>
      <c r="D662" s="7" t="s">
        <v>2776</v>
      </c>
      <c r="E662" s="5"/>
      <c r="F662" s="4"/>
      <c r="G662" s="7" t="s">
        <v>2777</v>
      </c>
      <c r="H662" s="5"/>
      <c r="I662" s="7" t="s">
        <v>2685</v>
      </c>
      <c r="J662" s="21" t="s">
        <v>2778</v>
      </c>
      <c r="K662" s="7" t="s">
        <v>24</v>
      </c>
      <c r="L662" s="7" t="s">
        <v>2779</v>
      </c>
      <c r="M662" s="114">
        <v>5198673388</v>
      </c>
      <c r="N662" s="111"/>
      <c r="O662" s="114">
        <v>15000000</v>
      </c>
      <c r="P662" s="110"/>
      <c r="Q662" s="109">
        <f t="shared" si="53"/>
        <v>5213673388</v>
      </c>
      <c r="R662" s="14">
        <v>5198673388</v>
      </c>
      <c r="S662" s="5"/>
      <c r="T662" s="30">
        <v>15000000</v>
      </c>
      <c r="U662" s="5"/>
      <c r="V662" s="5"/>
      <c r="W662" s="28"/>
      <c r="X662" s="28">
        <f t="shared" si="54"/>
        <v>0</v>
      </c>
      <c r="Y662" s="28">
        <f t="shared" si="55"/>
        <v>0</v>
      </c>
      <c r="Z662" s="28">
        <f t="shared" si="56"/>
        <v>0</v>
      </c>
      <c r="AA662" s="4"/>
      <c r="AB662" s="4"/>
      <c r="AC662">
        <f t="shared" si="57"/>
        <v>2</v>
      </c>
    </row>
    <row r="663" spans="1:30" ht="31.2" x14ac:dyDescent="0.3">
      <c r="A663" s="7" t="s">
        <v>2290</v>
      </c>
      <c r="B663" s="6">
        <v>650</v>
      </c>
      <c r="C663" s="7" t="s">
        <v>2562</v>
      </c>
      <c r="D663" s="7" t="s">
        <v>2780</v>
      </c>
      <c r="E663" s="5"/>
      <c r="F663" s="4"/>
      <c r="G663" s="7" t="s">
        <v>2781</v>
      </c>
      <c r="H663" s="5"/>
      <c r="I663" s="7" t="s">
        <v>2565</v>
      </c>
      <c r="J663" s="21" t="s">
        <v>2782</v>
      </c>
      <c r="K663" s="7" t="s">
        <v>24</v>
      </c>
      <c r="L663" s="7" t="s">
        <v>2783</v>
      </c>
      <c r="M663" s="114">
        <v>2087490465</v>
      </c>
      <c r="N663" s="111"/>
      <c r="O663" s="114">
        <v>15000000</v>
      </c>
      <c r="P663" s="110"/>
      <c r="Q663" s="109">
        <f t="shared" si="53"/>
        <v>2102490465</v>
      </c>
      <c r="R663" s="14">
        <v>2087490465</v>
      </c>
      <c r="S663" s="5"/>
      <c r="T663" s="30">
        <v>15000000</v>
      </c>
      <c r="U663" s="5"/>
      <c r="V663" s="5"/>
      <c r="W663" s="28"/>
      <c r="X663" s="28">
        <f t="shared" si="54"/>
        <v>0</v>
      </c>
      <c r="Y663" s="28">
        <f t="shared" si="55"/>
        <v>0</v>
      </c>
      <c r="Z663" s="28">
        <f t="shared" si="56"/>
        <v>0</v>
      </c>
      <c r="AA663" s="4"/>
      <c r="AB663" s="4"/>
      <c r="AC663">
        <f t="shared" si="57"/>
        <v>2</v>
      </c>
    </row>
    <row r="664" spans="1:30" ht="31.2" x14ac:dyDescent="0.3">
      <c r="A664" s="7" t="s">
        <v>46</v>
      </c>
      <c r="B664" s="6">
        <v>651</v>
      </c>
      <c r="C664" s="7" t="s">
        <v>2562</v>
      </c>
      <c r="D664" s="7" t="s">
        <v>2784</v>
      </c>
      <c r="E664" s="7"/>
      <c r="F664" s="4"/>
      <c r="G664" s="7" t="s">
        <v>2785</v>
      </c>
      <c r="H664" s="7"/>
      <c r="I664" s="7"/>
      <c r="J664" s="7" t="s">
        <v>2786</v>
      </c>
      <c r="K664" s="7" t="s">
        <v>24</v>
      </c>
      <c r="L664" s="7" t="s">
        <v>2787</v>
      </c>
      <c r="M664" s="114">
        <v>5912489280</v>
      </c>
      <c r="N664" s="111"/>
      <c r="O664" s="109">
        <v>15000000</v>
      </c>
      <c r="P664" s="110"/>
      <c r="Q664" s="109">
        <f t="shared" si="53"/>
        <v>5927489280</v>
      </c>
      <c r="R664" s="14">
        <v>5912489280</v>
      </c>
      <c r="S664" s="5"/>
      <c r="T664" s="72"/>
      <c r="U664" s="5"/>
      <c r="V664" s="5"/>
      <c r="W664" s="28"/>
      <c r="X664" s="28">
        <f t="shared" si="54"/>
        <v>0</v>
      </c>
      <c r="Y664" s="36">
        <f t="shared" si="55"/>
        <v>15000000</v>
      </c>
      <c r="Z664" s="28">
        <f t="shared" si="56"/>
        <v>0</v>
      </c>
      <c r="AA664" s="4"/>
      <c r="AB664" s="40"/>
      <c r="AC664" s="121">
        <f t="shared" si="57"/>
        <v>2</v>
      </c>
      <c r="AD664" s="121"/>
    </row>
    <row r="665" spans="1:30" ht="63" x14ac:dyDescent="0.3">
      <c r="A665" s="7" t="s">
        <v>2290</v>
      </c>
      <c r="B665" s="6">
        <v>652</v>
      </c>
      <c r="C665" s="7" t="s">
        <v>2562</v>
      </c>
      <c r="D665" s="7" t="s">
        <v>2788</v>
      </c>
      <c r="E665" s="5"/>
      <c r="F665" s="40" t="s">
        <v>378</v>
      </c>
      <c r="G665" s="7" t="s">
        <v>2789</v>
      </c>
      <c r="H665" s="5"/>
      <c r="I665" s="7" t="s">
        <v>2685</v>
      </c>
      <c r="J665" s="21" t="s">
        <v>2790</v>
      </c>
      <c r="K665" s="7" t="s">
        <v>24</v>
      </c>
      <c r="L665" s="7" t="s">
        <v>2791</v>
      </c>
      <c r="M665" s="114">
        <v>16382742639</v>
      </c>
      <c r="N665" s="111"/>
      <c r="O665" s="114">
        <v>15000000</v>
      </c>
      <c r="P665" s="112">
        <v>144000000</v>
      </c>
      <c r="Q665" s="109">
        <f t="shared" si="53"/>
        <v>16541742639</v>
      </c>
      <c r="R665" s="14">
        <v>16382742639</v>
      </c>
      <c r="S665" s="5"/>
      <c r="T665" s="33">
        <v>15000000</v>
      </c>
      <c r="U665" s="14">
        <v>144000000</v>
      </c>
      <c r="V665" s="5"/>
      <c r="W665" s="28"/>
      <c r="X665" s="28">
        <f t="shared" si="54"/>
        <v>0</v>
      </c>
      <c r="Y665" s="28">
        <f t="shared" si="55"/>
        <v>0</v>
      </c>
      <c r="Z665" s="28">
        <f t="shared" si="56"/>
        <v>0</v>
      </c>
      <c r="AA665" s="4"/>
      <c r="AB665" s="4"/>
      <c r="AC665">
        <f t="shared" si="57"/>
        <v>2</v>
      </c>
    </row>
    <row r="666" spans="1:30" ht="63" x14ac:dyDescent="0.3">
      <c r="A666" s="7" t="s">
        <v>2290</v>
      </c>
      <c r="B666" s="6">
        <v>653</v>
      </c>
      <c r="C666" s="7" t="s">
        <v>2562</v>
      </c>
      <c r="D666" s="7" t="s">
        <v>2792</v>
      </c>
      <c r="E666" s="5"/>
      <c r="F666" s="4"/>
      <c r="G666" s="7" t="s">
        <v>2793</v>
      </c>
      <c r="H666" s="5"/>
      <c r="I666" s="7" t="s">
        <v>2685</v>
      </c>
      <c r="J666" s="21" t="s">
        <v>2794</v>
      </c>
      <c r="K666" s="7" t="s">
        <v>24</v>
      </c>
      <c r="L666" s="7" t="s">
        <v>2795</v>
      </c>
      <c r="M666" s="114">
        <v>3035947492</v>
      </c>
      <c r="N666" s="111"/>
      <c r="O666" s="114">
        <v>15000000</v>
      </c>
      <c r="P666" s="110"/>
      <c r="Q666" s="109">
        <f t="shared" si="53"/>
        <v>3050947492</v>
      </c>
      <c r="R666" s="14">
        <v>3035947492</v>
      </c>
      <c r="S666" s="5"/>
      <c r="T666" s="30">
        <v>15000000</v>
      </c>
      <c r="U666" s="5"/>
      <c r="V666" s="5"/>
      <c r="W666" s="28"/>
      <c r="X666" s="28">
        <f t="shared" si="54"/>
        <v>0</v>
      </c>
      <c r="Y666" s="28">
        <f t="shared" si="55"/>
        <v>0</v>
      </c>
      <c r="Z666" s="28">
        <f t="shared" si="56"/>
        <v>0</v>
      </c>
      <c r="AA666" s="4"/>
      <c r="AB666" s="4"/>
      <c r="AC666">
        <f t="shared" si="57"/>
        <v>2</v>
      </c>
    </row>
    <row r="667" spans="1:30" ht="31.2" x14ac:dyDescent="0.3">
      <c r="A667" s="7" t="s">
        <v>2290</v>
      </c>
      <c r="B667" s="6">
        <v>654</v>
      </c>
      <c r="C667" s="7" t="s">
        <v>2562</v>
      </c>
      <c r="D667" s="7" t="s">
        <v>2796</v>
      </c>
      <c r="E667" s="7"/>
      <c r="F667" s="4"/>
      <c r="G667" s="7" t="s">
        <v>2797</v>
      </c>
      <c r="H667" s="7"/>
      <c r="I667" s="7"/>
      <c r="J667" s="7" t="s">
        <v>2798</v>
      </c>
      <c r="K667" s="7" t="s">
        <v>24</v>
      </c>
      <c r="L667" s="7" t="s">
        <v>2799</v>
      </c>
      <c r="M667" s="114">
        <v>5634993422</v>
      </c>
      <c r="N667" s="111"/>
      <c r="O667" s="109">
        <v>15000000</v>
      </c>
      <c r="P667" s="110"/>
      <c r="Q667" s="109">
        <f t="shared" si="53"/>
        <v>5649993422</v>
      </c>
      <c r="R667" s="14">
        <v>5634993422</v>
      </c>
      <c r="S667" s="5"/>
      <c r="T667" s="72"/>
      <c r="U667" s="5"/>
      <c r="V667" s="5"/>
      <c r="W667" s="28"/>
      <c r="X667" s="28">
        <f t="shared" si="54"/>
        <v>0</v>
      </c>
      <c r="Y667" s="36">
        <f t="shared" si="55"/>
        <v>15000000</v>
      </c>
      <c r="Z667" s="28">
        <f t="shared" si="56"/>
        <v>0</v>
      </c>
      <c r="AA667" s="4"/>
      <c r="AB667" s="40"/>
      <c r="AC667" s="121">
        <f t="shared" si="57"/>
        <v>2</v>
      </c>
      <c r="AD667" s="121"/>
    </row>
    <row r="668" spans="1:30" ht="42" x14ac:dyDescent="0.3">
      <c r="A668" s="7" t="s">
        <v>62</v>
      </c>
      <c r="B668" s="6">
        <v>655</v>
      </c>
      <c r="C668" s="7" t="s">
        <v>2800</v>
      </c>
      <c r="D668" s="7" t="s">
        <v>2801</v>
      </c>
      <c r="E668" s="7" t="s">
        <v>982</v>
      </c>
      <c r="F668" s="4"/>
      <c r="G668" s="7" t="s">
        <v>2802</v>
      </c>
      <c r="H668" s="5"/>
      <c r="I668" s="5"/>
      <c r="J668" s="21" t="s">
        <v>2803</v>
      </c>
      <c r="K668" s="7" t="s">
        <v>24</v>
      </c>
      <c r="L668" s="7" t="s">
        <v>2497</v>
      </c>
      <c r="M668" s="114">
        <v>9457911350</v>
      </c>
      <c r="N668" s="114">
        <v>415138500</v>
      </c>
      <c r="O668" s="114">
        <v>7500000</v>
      </c>
      <c r="P668" s="110"/>
      <c r="Q668" s="109">
        <f t="shared" si="53"/>
        <v>9880549850</v>
      </c>
      <c r="R668" s="14">
        <v>9457911350</v>
      </c>
      <c r="S668" s="3">
        <v>415138500</v>
      </c>
      <c r="T668" s="33">
        <v>7500000</v>
      </c>
      <c r="U668" s="5"/>
      <c r="V668" s="5"/>
      <c r="W668" s="28"/>
      <c r="X668" s="28">
        <f t="shared" si="54"/>
        <v>0</v>
      </c>
      <c r="Y668" s="28">
        <f t="shared" si="55"/>
        <v>0</v>
      </c>
      <c r="Z668" s="28">
        <f t="shared" si="56"/>
        <v>0</v>
      </c>
      <c r="AA668" s="4"/>
      <c r="AB668" s="4"/>
      <c r="AC668">
        <f t="shared" si="57"/>
        <v>2</v>
      </c>
    </row>
    <row r="669" spans="1:30" ht="31.2" x14ac:dyDescent="0.3">
      <c r="A669" s="7" t="s">
        <v>18</v>
      </c>
      <c r="B669" s="6">
        <v>656</v>
      </c>
      <c r="C669" s="7" t="s">
        <v>2800</v>
      </c>
      <c r="D669" s="7" t="s">
        <v>2804</v>
      </c>
      <c r="E669" s="7" t="s">
        <v>2805</v>
      </c>
      <c r="F669" s="40" t="s">
        <v>378</v>
      </c>
      <c r="G669" s="7" t="s">
        <v>2806</v>
      </c>
      <c r="H669" s="7" t="s">
        <v>2807</v>
      </c>
      <c r="I669" s="5"/>
      <c r="J669" s="7" t="s">
        <v>2808</v>
      </c>
      <c r="K669" s="7" t="s">
        <v>24</v>
      </c>
      <c r="L669" s="7" t="s">
        <v>2809</v>
      </c>
      <c r="M669" s="109">
        <v>2036054500</v>
      </c>
      <c r="N669" s="109">
        <v>165171840</v>
      </c>
      <c r="O669" s="114">
        <v>15000000</v>
      </c>
      <c r="P669" s="112">
        <v>24000000</v>
      </c>
      <c r="Q669" s="109">
        <f t="shared" si="53"/>
        <v>2240226340</v>
      </c>
      <c r="R669" s="14">
        <v>2036054500</v>
      </c>
      <c r="S669" s="36">
        <v>165171840</v>
      </c>
      <c r="T669" s="30">
        <v>15000000</v>
      </c>
      <c r="U669" s="14">
        <v>24000000</v>
      </c>
      <c r="V669" s="5"/>
      <c r="W669" s="28"/>
      <c r="X669" s="36">
        <f t="shared" si="54"/>
        <v>0</v>
      </c>
      <c r="Y669" s="28">
        <f t="shared" si="55"/>
        <v>0</v>
      </c>
      <c r="Z669" s="28">
        <f t="shared" si="56"/>
        <v>0</v>
      </c>
      <c r="AA669" s="40"/>
      <c r="AB669" s="40"/>
      <c r="AC669" s="61">
        <f t="shared" si="57"/>
        <v>2</v>
      </c>
      <c r="AD669" s="61"/>
    </row>
    <row r="670" spans="1:30" ht="31.2" x14ac:dyDescent="0.3">
      <c r="A670" s="7" t="s">
        <v>46</v>
      </c>
      <c r="B670" s="6">
        <v>657</v>
      </c>
      <c r="C670" s="7" t="s">
        <v>2800</v>
      </c>
      <c r="D670" s="7" t="s">
        <v>2810</v>
      </c>
      <c r="E670" s="5"/>
      <c r="F670" s="4"/>
      <c r="G670" s="7" t="s">
        <v>2811</v>
      </c>
      <c r="H670" s="5"/>
      <c r="I670" s="7" t="s">
        <v>28</v>
      </c>
      <c r="J670" s="21" t="s">
        <v>2571</v>
      </c>
      <c r="K670" s="7" t="s">
        <v>24</v>
      </c>
      <c r="L670" s="7" t="s">
        <v>1789</v>
      </c>
      <c r="M670" s="114">
        <v>3993807300</v>
      </c>
      <c r="N670" s="111"/>
      <c r="O670" s="114">
        <v>3750000</v>
      </c>
      <c r="P670" s="110"/>
      <c r="Q670" s="109">
        <f t="shared" si="53"/>
        <v>3997557300</v>
      </c>
      <c r="R670" s="14">
        <v>3993807300</v>
      </c>
      <c r="S670" s="5"/>
      <c r="T670" s="30">
        <v>3750000</v>
      </c>
      <c r="U670" s="5"/>
      <c r="V670" s="5"/>
      <c r="W670" s="28"/>
      <c r="X670" s="28">
        <f t="shared" si="54"/>
        <v>0</v>
      </c>
      <c r="Y670" s="28">
        <f t="shared" si="55"/>
        <v>0</v>
      </c>
      <c r="Z670" s="28">
        <f t="shared" si="56"/>
        <v>0</v>
      </c>
      <c r="AA670" s="4"/>
      <c r="AB670" s="4"/>
      <c r="AC670">
        <f t="shared" si="57"/>
        <v>2</v>
      </c>
    </row>
    <row r="671" spans="1:30" ht="46.8" x14ac:dyDescent="0.3">
      <c r="A671" s="7" t="s">
        <v>18</v>
      </c>
      <c r="B671" s="6">
        <v>658</v>
      </c>
      <c r="C671" s="7" t="s">
        <v>2800</v>
      </c>
      <c r="D671" s="7" t="s">
        <v>2812</v>
      </c>
      <c r="E671" s="7" t="s">
        <v>2035</v>
      </c>
      <c r="F671" s="4"/>
      <c r="G671" s="7" t="s">
        <v>2813</v>
      </c>
      <c r="H671" s="7" t="s">
        <v>2814</v>
      </c>
      <c r="I671" s="7"/>
      <c r="J671" s="7" t="s">
        <v>2815</v>
      </c>
      <c r="K671" s="7" t="s">
        <v>24</v>
      </c>
      <c r="L671" s="7" t="s">
        <v>2816</v>
      </c>
      <c r="M671" s="114">
        <v>2023224224</v>
      </c>
      <c r="N671" s="114">
        <v>497631632</v>
      </c>
      <c r="O671" s="109">
        <v>7500000</v>
      </c>
      <c r="P671" s="110"/>
      <c r="Q671" s="109">
        <f t="shared" si="53"/>
        <v>2528355856</v>
      </c>
      <c r="R671" s="14">
        <v>2023224224</v>
      </c>
      <c r="S671" s="14">
        <v>497631632</v>
      </c>
      <c r="T671" s="72"/>
      <c r="U671" s="5"/>
      <c r="V671" s="5"/>
      <c r="W671" s="28"/>
      <c r="X671" s="28">
        <f t="shared" si="54"/>
        <v>0</v>
      </c>
      <c r="Y671" s="36">
        <f t="shared" si="55"/>
        <v>7500000</v>
      </c>
      <c r="Z671" s="28">
        <f t="shared" si="56"/>
        <v>0</v>
      </c>
      <c r="AA671" s="4"/>
      <c r="AB671" s="40"/>
      <c r="AC671" s="121">
        <f t="shared" si="57"/>
        <v>2</v>
      </c>
      <c r="AD671" s="121"/>
    </row>
    <row r="672" spans="1:30" ht="42" x14ac:dyDescent="0.3">
      <c r="A672" s="7" t="s">
        <v>46</v>
      </c>
      <c r="B672" s="6">
        <v>659</v>
      </c>
      <c r="C672" s="7" t="s">
        <v>2800</v>
      </c>
      <c r="D672" s="7" t="s">
        <v>2817</v>
      </c>
      <c r="E672" s="7" t="s">
        <v>2669</v>
      </c>
      <c r="F672" s="4"/>
      <c r="G672" s="7" t="s">
        <v>2818</v>
      </c>
      <c r="H672" s="7" t="s">
        <v>2819</v>
      </c>
      <c r="I672" s="5"/>
      <c r="J672" s="21" t="s">
        <v>2820</v>
      </c>
      <c r="K672" s="7" t="s">
        <v>24</v>
      </c>
      <c r="L672" s="7" t="s">
        <v>2821</v>
      </c>
      <c r="M672" s="114">
        <v>10422381215</v>
      </c>
      <c r="N672" s="114">
        <v>330976800</v>
      </c>
      <c r="O672" s="114">
        <v>7500000</v>
      </c>
      <c r="P672" s="110"/>
      <c r="Q672" s="109">
        <f t="shared" si="53"/>
        <v>10760858015</v>
      </c>
      <c r="R672" s="14">
        <v>10422381215</v>
      </c>
      <c r="S672" s="14">
        <v>330976800</v>
      </c>
      <c r="T672" s="30">
        <v>7500000</v>
      </c>
      <c r="U672" s="5"/>
      <c r="V672" s="5"/>
      <c r="W672" s="28"/>
      <c r="X672" s="28">
        <f t="shared" si="54"/>
        <v>0</v>
      </c>
      <c r="Y672" s="28">
        <f t="shared" si="55"/>
        <v>0</v>
      </c>
      <c r="Z672" s="28">
        <f t="shared" si="56"/>
        <v>0</v>
      </c>
      <c r="AA672" s="4"/>
      <c r="AB672" s="4"/>
      <c r="AC672">
        <f t="shared" si="57"/>
        <v>2</v>
      </c>
    </row>
    <row r="673" spans="1:30" ht="78" customHeight="1" x14ac:dyDescent="0.3">
      <c r="A673" s="7" t="s">
        <v>18</v>
      </c>
      <c r="B673" s="6">
        <v>660</v>
      </c>
      <c r="C673" s="7" t="s">
        <v>2800</v>
      </c>
      <c r="D673" s="7" t="s">
        <v>2822</v>
      </c>
      <c r="E673" s="5"/>
      <c r="F673" s="7" t="s">
        <v>2823</v>
      </c>
      <c r="G673" s="7" t="s">
        <v>2824</v>
      </c>
      <c r="H673" s="5"/>
      <c r="I673" s="5"/>
      <c r="J673" s="21" t="s">
        <v>2825</v>
      </c>
      <c r="K673" s="7" t="s">
        <v>24</v>
      </c>
      <c r="L673" s="7" t="s">
        <v>2826</v>
      </c>
      <c r="M673" s="114">
        <v>10000000</v>
      </c>
      <c r="N673" s="111"/>
      <c r="O673" s="114">
        <v>15000000</v>
      </c>
      <c r="P673" s="112">
        <v>72000000</v>
      </c>
      <c r="Q673" s="109">
        <f t="shared" si="53"/>
        <v>97000000</v>
      </c>
      <c r="R673" s="3">
        <v>10000000</v>
      </c>
      <c r="S673" s="5"/>
      <c r="T673" s="30">
        <v>15000000</v>
      </c>
      <c r="U673" s="28">
        <v>72000000</v>
      </c>
      <c r="V673" s="5"/>
      <c r="W673" s="28"/>
      <c r="X673" s="28">
        <f t="shared" si="54"/>
        <v>0</v>
      </c>
      <c r="Y673" s="28">
        <f t="shared" si="55"/>
        <v>0</v>
      </c>
      <c r="Z673" s="28">
        <f t="shared" si="56"/>
        <v>0</v>
      </c>
      <c r="AA673" s="4"/>
      <c r="AB673" s="4"/>
      <c r="AC673">
        <f t="shared" si="57"/>
        <v>2</v>
      </c>
    </row>
    <row r="674" spans="1:30" ht="46.8" x14ac:dyDescent="0.3">
      <c r="A674" s="7" t="s">
        <v>18</v>
      </c>
      <c r="B674" s="6">
        <v>661</v>
      </c>
      <c r="C674" s="7" t="s">
        <v>2800</v>
      </c>
      <c r="D674" s="7" t="s">
        <v>2827</v>
      </c>
      <c r="E674" s="5"/>
      <c r="F674" s="4"/>
      <c r="G674" s="7" t="s">
        <v>2828</v>
      </c>
      <c r="H674" s="5"/>
      <c r="I674" s="5"/>
      <c r="J674" s="21" t="s">
        <v>2829</v>
      </c>
      <c r="K674" s="7" t="s">
        <v>24</v>
      </c>
      <c r="L674" s="7" t="s">
        <v>2826</v>
      </c>
      <c r="M674" s="114">
        <v>619998256</v>
      </c>
      <c r="N674" s="111"/>
      <c r="O674" s="114">
        <v>15000000</v>
      </c>
      <c r="P674" s="110"/>
      <c r="Q674" s="109">
        <f t="shared" si="53"/>
        <v>634998256</v>
      </c>
      <c r="R674" s="36">
        <v>619998256</v>
      </c>
      <c r="S674" s="5"/>
      <c r="T674" s="33">
        <v>15000000</v>
      </c>
      <c r="U674" s="5"/>
      <c r="V674" s="5"/>
      <c r="W674" s="28"/>
      <c r="X674" s="28">
        <f t="shared" si="54"/>
        <v>0</v>
      </c>
      <c r="Y674" s="28">
        <f t="shared" si="55"/>
        <v>0</v>
      </c>
      <c r="Z674" s="28">
        <f t="shared" si="56"/>
        <v>0</v>
      </c>
      <c r="AA674" s="4"/>
      <c r="AB674" s="4"/>
      <c r="AC674">
        <f t="shared" si="57"/>
        <v>2</v>
      </c>
    </row>
    <row r="675" spans="1:30" ht="84" x14ac:dyDescent="0.3">
      <c r="A675" s="7" t="s">
        <v>18</v>
      </c>
      <c r="B675" s="6">
        <v>662</v>
      </c>
      <c r="C675" s="7" t="s">
        <v>2800</v>
      </c>
      <c r="D675" s="7" t="s">
        <v>2830</v>
      </c>
      <c r="E675" s="5"/>
      <c r="F675" s="4"/>
      <c r="G675" s="7" t="s">
        <v>2831</v>
      </c>
      <c r="H675" s="5"/>
      <c r="I675" s="5"/>
      <c r="J675" s="21" t="s">
        <v>2832</v>
      </c>
      <c r="K675" s="7" t="s">
        <v>24</v>
      </c>
      <c r="L675" s="7" t="s">
        <v>2833</v>
      </c>
      <c r="M675" s="114">
        <v>3682837780</v>
      </c>
      <c r="N675" s="111"/>
      <c r="O675" s="114">
        <v>15000000</v>
      </c>
      <c r="P675" s="110"/>
      <c r="Q675" s="109">
        <f t="shared" si="53"/>
        <v>3697837780</v>
      </c>
      <c r="R675" s="14">
        <v>3682837780</v>
      </c>
      <c r="S675" s="5"/>
      <c r="T675" s="30">
        <v>15000000</v>
      </c>
      <c r="U675" s="5"/>
      <c r="V675" s="5"/>
      <c r="W675" s="28"/>
      <c r="X675" s="28">
        <f t="shared" si="54"/>
        <v>0</v>
      </c>
      <c r="Y675" s="28">
        <f t="shared" si="55"/>
        <v>0</v>
      </c>
      <c r="Z675" s="28">
        <f t="shared" si="56"/>
        <v>0</v>
      </c>
      <c r="AA675" s="4"/>
      <c r="AB675" s="4"/>
      <c r="AC675">
        <f t="shared" si="57"/>
        <v>2</v>
      </c>
    </row>
    <row r="676" spans="1:30" ht="84" x14ac:dyDescent="0.3">
      <c r="A676" s="7" t="s">
        <v>18</v>
      </c>
      <c r="B676" s="6">
        <v>663</v>
      </c>
      <c r="C676" s="7" t="s">
        <v>2800</v>
      </c>
      <c r="D676" s="7" t="s">
        <v>2834</v>
      </c>
      <c r="E676" s="5"/>
      <c r="F676" s="4"/>
      <c r="G676" s="7" t="s">
        <v>2835</v>
      </c>
      <c r="H676" s="5"/>
      <c r="I676" s="5"/>
      <c r="J676" s="21" t="s">
        <v>2836</v>
      </c>
      <c r="K676" s="7" t="s">
        <v>24</v>
      </c>
      <c r="L676" s="7" t="s">
        <v>2837</v>
      </c>
      <c r="M676" s="114">
        <v>30531714626</v>
      </c>
      <c r="N676" s="111"/>
      <c r="O676" s="114">
        <v>15000000</v>
      </c>
      <c r="P676" s="110"/>
      <c r="Q676" s="109">
        <f t="shared" si="53"/>
        <v>30546714626</v>
      </c>
      <c r="R676" s="14">
        <v>30531714626</v>
      </c>
      <c r="S676" s="5"/>
      <c r="T676" s="31">
        <v>15000000</v>
      </c>
      <c r="U676" s="5"/>
      <c r="V676" s="5"/>
      <c r="W676" s="28"/>
      <c r="X676" s="28">
        <f t="shared" si="54"/>
        <v>0</v>
      </c>
      <c r="Y676" s="28">
        <f t="shared" si="55"/>
        <v>0</v>
      </c>
      <c r="Z676" s="28">
        <f t="shared" si="56"/>
        <v>0</v>
      </c>
      <c r="AA676" s="4"/>
      <c r="AB676" s="4"/>
      <c r="AC676">
        <f t="shared" si="57"/>
        <v>2</v>
      </c>
    </row>
    <row r="677" spans="1:30" ht="62.4" x14ac:dyDescent="0.3">
      <c r="A677" s="7" t="s">
        <v>18</v>
      </c>
      <c r="B677" s="6">
        <v>664</v>
      </c>
      <c r="C677" s="7" t="s">
        <v>2838</v>
      </c>
      <c r="D677" s="7" t="s">
        <v>2839</v>
      </c>
      <c r="E677" s="7" t="s">
        <v>2841</v>
      </c>
      <c r="F677" s="40" t="s">
        <v>2840</v>
      </c>
      <c r="G677" s="7" t="s">
        <v>2842</v>
      </c>
      <c r="H677" s="7" t="s">
        <v>2843</v>
      </c>
      <c r="I677" s="7"/>
      <c r="J677" s="7" t="s">
        <v>2844</v>
      </c>
      <c r="K677" s="7" t="s">
        <v>24</v>
      </c>
      <c r="L677" s="7" t="s">
        <v>2845</v>
      </c>
      <c r="M677" s="109">
        <v>10000000</v>
      </c>
      <c r="N677" s="109">
        <v>1529015488</v>
      </c>
      <c r="O677" s="109">
        <v>15000000</v>
      </c>
      <c r="P677" s="112">
        <v>48000000</v>
      </c>
      <c r="Q677" s="109">
        <f t="shared" si="53"/>
        <v>1602015488</v>
      </c>
      <c r="R677" s="14">
        <v>10000000</v>
      </c>
      <c r="S677" s="14">
        <v>1529015488</v>
      </c>
      <c r="T677" s="72"/>
      <c r="U677" s="5"/>
      <c r="V677" s="5"/>
      <c r="W677" s="28"/>
      <c r="X677" s="28">
        <f t="shared" si="54"/>
        <v>0</v>
      </c>
      <c r="Y677" s="36">
        <f t="shared" si="55"/>
        <v>15000000</v>
      </c>
      <c r="Z677" s="28">
        <f t="shared" si="56"/>
        <v>48000000</v>
      </c>
      <c r="AA677" s="4"/>
      <c r="AB677" s="40"/>
      <c r="AC677" s="121">
        <f t="shared" si="57"/>
        <v>2</v>
      </c>
      <c r="AD677" s="121"/>
    </row>
    <row r="678" spans="1:30" ht="42" x14ac:dyDescent="0.3">
      <c r="A678" s="7" t="s">
        <v>18</v>
      </c>
      <c r="B678" s="6">
        <v>665</v>
      </c>
      <c r="C678" s="7" t="s">
        <v>2838</v>
      </c>
      <c r="D678" s="7" t="s">
        <v>2846</v>
      </c>
      <c r="E678" s="7" t="s">
        <v>1922</v>
      </c>
      <c r="F678" s="4"/>
      <c r="G678" s="7" t="s">
        <v>2847</v>
      </c>
      <c r="H678" s="7" t="s">
        <v>2848</v>
      </c>
      <c r="I678" s="5"/>
      <c r="J678" s="21" t="s">
        <v>2849</v>
      </c>
      <c r="K678" s="7" t="s">
        <v>24</v>
      </c>
      <c r="L678" s="7" t="s">
        <v>2850</v>
      </c>
      <c r="M678" s="114">
        <v>2569591424</v>
      </c>
      <c r="N678" s="114">
        <v>588296218</v>
      </c>
      <c r="O678" s="114">
        <v>15000000</v>
      </c>
      <c r="P678" s="110"/>
      <c r="Q678" s="109">
        <f t="shared" si="53"/>
        <v>3172887642</v>
      </c>
      <c r="R678" s="14">
        <v>2569591424</v>
      </c>
      <c r="S678" s="14">
        <v>588296218</v>
      </c>
      <c r="T678" s="30">
        <v>15000000</v>
      </c>
      <c r="U678" s="5"/>
      <c r="V678" s="5"/>
      <c r="W678" s="28"/>
      <c r="X678" s="28">
        <f t="shared" si="54"/>
        <v>0</v>
      </c>
      <c r="Y678" s="28">
        <f t="shared" si="55"/>
        <v>0</v>
      </c>
      <c r="Z678" s="28">
        <f t="shared" si="56"/>
        <v>0</v>
      </c>
      <c r="AA678" s="4"/>
      <c r="AB678" s="4"/>
      <c r="AC678">
        <f t="shared" si="57"/>
        <v>2</v>
      </c>
    </row>
    <row r="679" spans="1:30" ht="42" x14ac:dyDescent="0.3">
      <c r="A679" s="7" t="s">
        <v>46</v>
      </c>
      <c r="B679" s="6">
        <v>666</v>
      </c>
      <c r="C679" s="7" t="s">
        <v>2838</v>
      </c>
      <c r="D679" s="7" t="s">
        <v>2851</v>
      </c>
      <c r="E679" s="7" t="s">
        <v>2853</v>
      </c>
      <c r="F679" s="40" t="s">
        <v>2852</v>
      </c>
      <c r="G679" s="7" t="s">
        <v>2854</v>
      </c>
      <c r="H679" s="5"/>
      <c r="I679" s="5"/>
      <c r="J679" s="21" t="s">
        <v>2855</v>
      </c>
      <c r="K679" s="7" t="s">
        <v>24</v>
      </c>
      <c r="L679" s="7" t="s">
        <v>2856</v>
      </c>
      <c r="M679" s="114">
        <v>10000000</v>
      </c>
      <c r="N679" s="114">
        <v>348172944</v>
      </c>
      <c r="O679" s="114">
        <v>15000000</v>
      </c>
      <c r="P679" s="112">
        <v>30000000</v>
      </c>
      <c r="Q679" s="109">
        <f t="shared" si="53"/>
        <v>403172944</v>
      </c>
      <c r="R679" s="14">
        <v>10000000</v>
      </c>
      <c r="S679" s="14">
        <v>348172944</v>
      </c>
      <c r="T679" s="30">
        <v>15000000</v>
      </c>
      <c r="U679" s="14">
        <v>30000000</v>
      </c>
      <c r="V679" s="5"/>
      <c r="W679" s="28"/>
      <c r="X679" s="28">
        <f t="shared" si="54"/>
        <v>0</v>
      </c>
      <c r="Y679" s="28">
        <f t="shared" si="55"/>
        <v>0</v>
      </c>
      <c r="Z679" s="28">
        <f t="shared" si="56"/>
        <v>0</v>
      </c>
      <c r="AA679" s="4"/>
      <c r="AB679" s="4"/>
      <c r="AC679">
        <f t="shared" si="57"/>
        <v>2</v>
      </c>
    </row>
    <row r="680" spans="1:30" ht="78" x14ac:dyDescent="0.3">
      <c r="A680" s="41" t="s">
        <v>18</v>
      </c>
      <c r="B680" s="6">
        <v>667</v>
      </c>
      <c r="C680" s="41" t="s">
        <v>2838</v>
      </c>
      <c r="D680" s="41" t="s">
        <v>2857</v>
      </c>
      <c r="E680" s="41" t="s">
        <v>2861</v>
      </c>
      <c r="F680" s="4"/>
      <c r="G680" s="41" t="s">
        <v>3908</v>
      </c>
      <c r="H680" s="41" t="s">
        <v>2862</v>
      </c>
      <c r="I680" s="7"/>
      <c r="J680" s="41" t="s">
        <v>2859</v>
      </c>
      <c r="K680" s="41" t="s">
        <v>24</v>
      </c>
      <c r="L680" s="41" t="s">
        <v>2860</v>
      </c>
      <c r="M680" s="117">
        <v>10000000</v>
      </c>
      <c r="N680" s="113">
        <v>965448012</v>
      </c>
      <c r="O680" s="113">
        <f>15000000+15000000</f>
        <v>30000000</v>
      </c>
      <c r="P680" s="110"/>
      <c r="Q680" s="109">
        <f t="shared" si="53"/>
        <v>1005448012</v>
      </c>
      <c r="R680" s="18">
        <v>10000000</v>
      </c>
      <c r="S680" s="18">
        <v>955448012</v>
      </c>
      <c r="T680" s="32">
        <v>15000000</v>
      </c>
      <c r="U680" s="5"/>
      <c r="V680" s="5"/>
      <c r="W680" s="28"/>
      <c r="X680" s="28">
        <f t="shared" si="54"/>
        <v>10000000</v>
      </c>
      <c r="Y680" s="36">
        <f t="shared" si="55"/>
        <v>15000000</v>
      </c>
      <c r="Z680" s="28">
        <f t="shared" si="56"/>
        <v>0</v>
      </c>
      <c r="AA680" s="4"/>
      <c r="AB680" s="40" t="s">
        <v>3909</v>
      </c>
      <c r="AC680" s="121">
        <f t="shared" si="57"/>
        <v>2</v>
      </c>
      <c r="AD680" s="121"/>
    </row>
    <row r="681" spans="1:30" ht="46.8" x14ac:dyDescent="0.3">
      <c r="A681" s="7" t="s">
        <v>46</v>
      </c>
      <c r="B681" s="6">
        <v>668</v>
      </c>
      <c r="C681" s="7" t="s">
        <v>2838</v>
      </c>
      <c r="D681" s="7" t="s">
        <v>2863</v>
      </c>
      <c r="E681" s="7" t="s">
        <v>2864</v>
      </c>
      <c r="F681" s="4" t="s">
        <v>3884</v>
      </c>
      <c r="G681" s="7" t="s">
        <v>552</v>
      </c>
      <c r="H681" s="7" t="s">
        <v>2865</v>
      </c>
      <c r="I681" s="5"/>
      <c r="J681" s="21" t="s">
        <v>2866</v>
      </c>
      <c r="K681" s="7" t="s">
        <v>24</v>
      </c>
      <c r="L681" s="7" t="s">
        <v>2867</v>
      </c>
      <c r="M681" s="114">
        <v>10000000</v>
      </c>
      <c r="N681" s="114">
        <v>429264612</v>
      </c>
      <c r="O681" s="114">
        <v>15000000</v>
      </c>
      <c r="P681" s="110">
        <v>48000000</v>
      </c>
      <c r="Q681" s="109">
        <f t="shared" si="53"/>
        <v>502264612</v>
      </c>
      <c r="R681" s="3">
        <v>10000000</v>
      </c>
      <c r="S681" s="14">
        <v>429264612</v>
      </c>
      <c r="T681" s="30">
        <v>15000000</v>
      </c>
      <c r="U681" s="5"/>
      <c r="V681" s="5"/>
      <c r="W681" s="28"/>
      <c r="X681" s="28">
        <f t="shared" ref="X681:X717" si="58">N681-S681</f>
        <v>0</v>
      </c>
      <c r="Y681" s="28">
        <f t="shared" si="55"/>
        <v>0</v>
      </c>
      <c r="Z681" s="28">
        <f t="shared" si="56"/>
        <v>48000000</v>
      </c>
      <c r="AA681" s="4"/>
      <c r="AB681" s="4"/>
      <c r="AC681">
        <f t="shared" si="57"/>
        <v>2</v>
      </c>
    </row>
    <row r="682" spans="1:30" ht="78" x14ac:dyDescent="0.4">
      <c r="A682" s="7" t="s">
        <v>18</v>
      </c>
      <c r="B682" s="6">
        <v>669</v>
      </c>
      <c r="C682" s="7" t="s">
        <v>2838</v>
      </c>
      <c r="D682" s="7" t="s">
        <v>2868</v>
      </c>
      <c r="E682" s="7" t="s">
        <v>2869</v>
      </c>
      <c r="F682" s="4"/>
      <c r="G682" s="7"/>
      <c r="H682" s="7"/>
      <c r="I682" s="7" t="s">
        <v>2870</v>
      </c>
      <c r="J682" s="7" t="s">
        <v>2871</v>
      </c>
      <c r="K682" s="7" t="s">
        <v>24</v>
      </c>
      <c r="L682" s="7" t="s">
        <v>2872</v>
      </c>
      <c r="M682" s="114">
        <v>10000000</v>
      </c>
      <c r="N682" s="111"/>
      <c r="O682" s="109">
        <v>15000000</v>
      </c>
      <c r="P682" s="110"/>
      <c r="Q682" s="109">
        <f t="shared" si="53"/>
        <v>25000000</v>
      </c>
      <c r="R682" s="5"/>
      <c r="S682" s="5"/>
      <c r="T682" s="72"/>
      <c r="U682" s="5"/>
      <c r="V682" s="5"/>
      <c r="W682" s="28">
        <v>10000000</v>
      </c>
      <c r="X682" s="28">
        <f t="shared" si="58"/>
        <v>0</v>
      </c>
      <c r="Y682" s="36">
        <f t="shared" si="55"/>
        <v>15000000</v>
      </c>
      <c r="Z682" s="28">
        <f t="shared" si="56"/>
        <v>0</v>
      </c>
      <c r="AA682" s="16">
        <v>10000000</v>
      </c>
      <c r="AB682" s="40"/>
      <c r="AC682" s="121">
        <f t="shared" si="57"/>
        <v>1</v>
      </c>
      <c r="AD682" s="121"/>
    </row>
    <row r="683" spans="1:30" ht="31.2" x14ac:dyDescent="0.3">
      <c r="A683" s="7" t="s">
        <v>18</v>
      </c>
      <c r="B683" s="6">
        <v>670</v>
      </c>
      <c r="C683" s="7" t="s">
        <v>2838</v>
      </c>
      <c r="D683" s="7" t="s">
        <v>2873</v>
      </c>
      <c r="E683" s="7"/>
      <c r="F683" s="4"/>
      <c r="G683" s="7" t="s">
        <v>2874</v>
      </c>
      <c r="H683" s="7"/>
      <c r="I683" s="7"/>
      <c r="J683" s="7" t="s">
        <v>2875</v>
      </c>
      <c r="K683" s="7" t="s">
        <v>24</v>
      </c>
      <c r="L683" s="7" t="s">
        <v>2876</v>
      </c>
      <c r="M683" s="114">
        <v>6640287381</v>
      </c>
      <c r="N683" s="111"/>
      <c r="O683" s="109">
        <v>15000000</v>
      </c>
      <c r="P683" s="110"/>
      <c r="Q683" s="109">
        <f t="shared" si="53"/>
        <v>6655287381</v>
      </c>
      <c r="R683" s="14">
        <v>6640287381</v>
      </c>
      <c r="S683" s="5"/>
      <c r="T683" s="72"/>
      <c r="U683" s="5"/>
      <c r="V683" s="5"/>
      <c r="W683" s="28"/>
      <c r="X683" s="28">
        <f t="shared" si="58"/>
        <v>0</v>
      </c>
      <c r="Y683" s="36">
        <f t="shared" si="55"/>
        <v>15000000</v>
      </c>
      <c r="Z683" s="28">
        <f t="shared" si="56"/>
        <v>0</v>
      </c>
      <c r="AA683" s="4"/>
      <c r="AB683" s="40"/>
      <c r="AC683" s="121">
        <f t="shared" si="57"/>
        <v>2</v>
      </c>
      <c r="AD683" s="121"/>
    </row>
    <row r="684" spans="1:30" ht="31.2" x14ac:dyDescent="0.3">
      <c r="A684" s="7" t="s">
        <v>62</v>
      </c>
      <c r="B684" s="6">
        <v>671</v>
      </c>
      <c r="C684" s="7" t="s">
        <v>2877</v>
      </c>
      <c r="D684" s="7" t="s">
        <v>2878</v>
      </c>
      <c r="E684" s="7" t="s">
        <v>2879</v>
      </c>
      <c r="F684" s="4"/>
      <c r="G684" s="7" t="s">
        <v>2880</v>
      </c>
      <c r="H684" s="7" t="s">
        <v>2881</v>
      </c>
      <c r="I684" s="5"/>
      <c r="J684" s="7" t="s">
        <v>2882</v>
      </c>
      <c r="K684" s="7" t="s">
        <v>24</v>
      </c>
      <c r="L684" s="7" t="s">
        <v>2883</v>
      </c>
      <c r="M684" s="109">
        <v>21170862212</v>
      </c>
      <c r="N684" s="109">
        <v>250496432</v>
      </c>
      <c r="O684" s="114">
        <v>7500000</v>
      </c>
      <c r="P684" s="110"/>
      <c r="Q684" s="109">
        <f t="shared" si="53"/>
        <v>21428858644</v>
      </c>
      <c r="R684" s="14">
        <v>21170862212</v>
      </c>
      <c r="S684" s="7"/>
      <c r="T684" s="33">
        <v>7500000</v>
      </c>
      <c r="U684" s="5"/>
      <c r="V684" s="5"/>
      <c r="W684" s="28"/>
      <c r="X684" s="36">
        <f t="shared" si="58"/>
        <v>250496432</v>
      </c>
      <c r="Y684" s="28">
        <f t="shared" si="55"/>
        <v>0</v>
      </c>
      <c r="Z684" s="28">
        <f t="shared" si="56"/>
        <v>0</v>
      </c>
      <c r="AA684" s="40"/>
      <c r="AB684" s="40"/>
      <c r="AC684" s="61">
        <f t="shared" si="57"/>
        <v>2</v>
      </c>
      <c r="AD684" s="61"/>
    </row>
    <row r="685" spans="1:30" ht="63" x14ac:dyDescent="0.3">
      <c r="A685" s="7" t="s">
        <v>62</v>
      </c>
      <c r="B685" s="6">
        <v>672</v>
      </c>
      <c r="C685" s="7" t="s">
        <v>2877</v>
      </c>
      <c r="D685" s="7" t="s">
        <v>2884</v>
      </c>
      <c r="E685" s="5"/>
      <c r="F685" s="4"/>
      <c r="G685" s="7" t="s">
        <v>2885</v>
      </c>
      <c r="H685" s="5"/>
      <c r="I685" s="5"/>
      <c r="J685" s="21" t="s">
        <v>2886</v>
      </c>
      <c r="K685" s="7" t="s">
        <v>24</v>
      </c>
      <c r="L685" s="7" t="s">
        <v>2887</v>
      </c>
      <c r="M685" s="114">
        <v>2853972350</v>
      </c>
      <c r="N685" s="111"/>
      <c r="O685" s="114">
        <v>7500000</v>
      </c>
      <c r="P685" s="110"/>
      <c r="Q685" s="109">
        <f t="shared" si="53"/>
        <v>2861472350</v>
      </c>
      <c r="R685" s="14">
        <v>2853972350</v>
      </c>
      <c r="S685" s="5"/>
      <c r="T685" s="30">
        <v>7500000</v>
      </c>
      <c r="U685" s="5"/>
      <c r="V685" s="5"/>
      <c r="W685" s="28"/>
      <c r="X685" s="28">
        <f t="shared" si="58"/>
        <v>0</v>
      </c>
      <c r="Y685" s="28">
        <f t="shared" si="55"/>
        <v>0</v>
      </c>
      <c r="Z685" s="28">
        <f t="shared" si="56"/>
        <v>0</v>
      </c>
      <c r="AA685" s="4"/>
      <c r="AB685" s="4"/>
      <c r="AC685">
        <f t="shared" si="57"/>
        <v>2</v>
      </c>
    </row>
    <row r="686" spans="1:30" ht="147" customHeight="1" x14ac:dyDescent="0.3">
      <c r="A686" s="7" t="s">
        <v>46</v>
      </c>
      <c r="B686" s="6">
        <v>673</v>
      </c>
      <c r="C686" s="7" t="s">
        <v>2877</v>
      </c>
      <c r="D686" s="7" t="s">
        <v>2888</v>
      </c>
      <c r="E686" s="7"/>
      <c r="F686" s="40" t="s">
        <v>378</v>
      </c>
      <c r="G686" s="7" t="s">
        <v>2889</v>
      </c>
      <c r="H686" s="7" t="s">
        <v>2890</v>
      </c>
      <c r="I686" s="7"/>
      <c r="J686" s="7" t="s">
        <v>2891</v>
      </c>
      <c r="K686" s="7" t="s">
        <v>24</v>
      </c>
      <c r="L686" s="7" t="s">
        <v>2892</v>
      </c>
      <c r="M686" s="114">
        <v>235340708770</v>
      </c>
      <c r="N686" s="111"/>
      <c r="O686" s="109">
        <v>15000000</v>
      </c>
      <c r="P686" s="112">
        <v>144000000</v>
      </c>
      <c r="Q686" s="109">
        <f t="shared" si="53"/>
        <v>235499708770</v>
      </c>
      <c r="R686" s="14">
        <v>235340708770</v>
      </c>
      <c r="S686" s="5"/>
      <c r="T686" s="72"/>
      <c r="U686" s="14">
        <v>144000000</v>
      </c>
      <c r="V686" s="5"/>
      <c r="W686" s="28"/>
      <c r="X686" s="28">
        <f t="shared" si="58"/>
        <v>0</v>
      </c>
      <c r="Y686" s="36">
        <f t="shared" si="55"/>
        <v>15000000</v>
      </c>
      <c r="Z686" s="28">
        <f t="shared" si="56"/>
        <v>0</v>
      </c>
      <c r="AA686" s="4"/>
      <c r="AB686" s="40"/>
      <c r="AC686" s="121">
        <f t="shared" si="57"/>
        <v>2</v>
      </c>
      <c r="AD686" s="121"/>
    </row>
    <row r="687" spans="1:30" ht="31.2" x14ac:dyDescent="0.3">
      <c r="A687" s="7" t="s">
        <v>18</v>
      </c>
      <c r="B687" s="6">
        <v>674</v>
      </c>
      <c r="C687" s="7" t="s">
        <v>2877</v>
      </c>
      <c r="D687" s="7" t="s">
        <v>2893</v>
      </c>
      <c r="E687" s="7" t="s">
        <v>914</v>
      </c>
      <c r="F687" s="4"/>
      <c r="G687" s="7" t="s">
        <v>2894</v>
      </c>
      <c r="H687" s="7"/>
      <c r="I687" s="7"/>
      <c r="J687" s="7" t="s">
        <v>2895</v>
      </c>
      <c r="K687" s="7" t="s">
        <v>24</v>
      </c>
      <c r="L687" s="7" t="s">
        <v>2896</v>
      </c>
      <c r="M687" s="114">
        <v>54817863740</v>
      </c>
      <c r="N687" s="114">
        <v>10109297</v>
      </c>
      <c r="O687" s="109">
        <v>7500000</v>
      </c>
      <c r="P687" s="110"/>
      <c r="Q687" s="109">
        <f t="shared" si="53"/>
        <v>54835473037</v>
      </c>
      <c r="R687" s="14">
        <v>54817863740</v>
      </c>
      <c r="S687" s="14">
        <v>10109297</v>
      </c>
      <c r="T687" s="72"/>
      <c r="U687" s="5"/>
      <c r="V687" s="5"/>
      <c r="W687" s="28"/>
      <c r="X687" s="28">
        <f t="shared" si="58"/>
        <v>0</v>
      </c>
      <c r="Y687" s="36">
        <f t="shared" si="55"/>
        <v>7500000</v>
      </c>
      <c r="Z687" s="28">
        <f t="shared" si="56"/>
        <v>0</v>
      </c>
      <c r="AA687" s="4"/>
      <c r="AB687" s="40"/>
      <c r="AC687" s="121">
        <f t="shared" si="57"/>
        <v>2</v>
      </c>
      <c r="AD687" s="121"/>
    </row>
    <row r="688" spans="1:30" ht="42" x14ac:dyDescent="0.3">
      <c r="A688" s="7" t="s">
        <v>62</v>
      </c>
      <c r="B688" s="6">
        <v>675</v>
      </c>
      <c r="C688" s="7" t="s">
        <v>2877</v>
      </c>
      <c r="D688" s="7" t="s">
        <v>2897</v>
      </c>
      <c r="E688" s="5"/>
      <c r="F688" s="4"/>
      <c r="G688" s="7" t="s">
        <v>2898</v>
      </c>
      <c r="H688" s="5"/>
      <c r="I688" s="5"/>
      <c r="J688" s="21" t="s">
        <v>2899</v>
      </c>
      <c r="K688" s="7" t="s">
        <v>24</v>
      </c>
      <c r="L688" s="7" t="s">
        <v>2900</v>
      </c>
      <c r="M688" s="114">
        <v>3446384400</v>
      </c>
      <c r="N688" s="111"/>
      <c r="O688" s="114">
        <v>7500000</v>
      </c>
      <c r="P688" s="110"/>
      <c r="Q688" s="109">
        <f t="shared" si="53"/>
        <v>3453884400</v>
      </c>
      <c r="R688" s="14">
        <v>3446384400</v>
      </c>
      <c r="S688" s="5"/>
      <c r="T688" s="30">
        <v>7500000</v>
      </c>
      <c r="U688" s="5"/>
      <c r="V688" s="5"/>
      <c r="W688" s="28"/>
      <c r="X688" s="28">
        <f t="shared" si="58"/>
        <v>0</v>
      </c>
      <c r="Y688" s="28">
        <f t="shared" si="55"/>
        <v>0</v>
      </c>
      <c r="Z688" s="28">
        <f t="shared" si="56"/>
        <v>0</v>
      </c>
      <c r="AA688" s="4"/>
      <c r="AB688" s="4"/>
      <c r="AC688">
        <f t="shared" si="57"/>
        <v>2</v>
      </c>
    </row>
    <row r="689" spans="1:30" ht="42" x14ac:dyDescent="0.3">
      <c r="A689" s="7" t="s">
        <v>46</v>
      </c>
      <c r="B689" s="6">
        <v>676</v>
      </c>
      <c r="C689" s="7" t="s">
        <v>2877</v>
      </c>
      <c r="D689" s="7" t="s">
        <v>2901</v>
      </c>
      <c r="E689" s="5"/>
      <c r="F689" s="40" t="s">
        <v>637</v>
      </c>
      <c r="G689" s="7" t="s">
        <v>2902</v>
      </c>
      <c r="H689" s="5"/>
      <c r="I689" s="5"/>
      <c r="J689" s="21" t="s">
        <v>1536</v>
      </c>
      <c r="K689" s="7" t="s">
        <v>24</v>
      </c>
      <c r="L689" s="7" t="s">
        <v>2903</v>
      </c>
      <c r="M689" s="114">
        <v>1133587600</v>
      </c>
      <c r="N689" s="111"/>
      <c r="O689" s="114">
        <v>15000000</v>
      </c>
      <c r="P689" s="112">
        <v>36000000</v>
      </c>
      <c r="Q689" s="109">
        <f t="shared" si="53"/>
        <v>1184587600</v>
      </c>
      <c r="R689" s="14">
        <v>1133587600</v>
      </c>
      <c r="S689" s="5"/>
      <c r="T689" s="33">
        <v>15000000</v>
      </c>
      <c r="U689" s="14">
        <v>36000000</v>
      </c>
      <c r="V689" s="5"/>
      <c r="W689" s="28"/>
      <c r="X689" s="28">
        <f t="shared" si="58"/>
        <v>0</v>
      </c>
      <c r="Y689" s="28">
        <f t="shared" si="55"/>
        <v>0</v>
      </c>
      <c r="Z689" s="28">
        <f t="shared" si="56"/>
        <v>0</v>
      </c>
      <c r="AA689" s="4"/>
      <c r="AB689" s="4"/>
      <c r="AC689">
        <f t="shared" si="57"/>
        <v>2</v>
      </c>
    </row>
    <row r="690" spans="1:30" ht="42" x14ac:dyDescent="0.3">
      <c r="A690" s="7" t="s">
        <v>46</v>
      </c>
      <c r="B690" s="6">
        <v>677</v>
      </c>
      <c r="C690" s="7" t="s">
        <v>2877</v>
      </c>
      <c r="D690" s="7" t="s">
        <v>2904</v>
      </c>
      <c r="E690" s="5"/>
      <c r="F690" s="40" t="s">
        <v>637</v>
      </c>
      <c r="G690" s="7" t="s">
        <v>2905</v>
      </c>
      <c r="H690" s="5"/>
      <c r="I690" s="5"/>
      <c r="J690" s="21" t="s">
        <v>2906</v>
      </c>
      <c r="K690" s="7" t="s">
        <v>24</v>
      </c>
      <c r="L690" s="7" t="s">
        <v>2907</v>
      </c>
      <c r="M690" s="114">
        <v>13988110203</v>
      </c>
      <c r="N690" s="111"/>
      <c r="O690" s="114">
        <v>15000000</v>
      </c>
      <c r="P690" s="112">
        <v>36000000</v>
      </c>
      <c r="Q690" s="109">
        <f t="shared" si="53"/>
        <v>14039110203</v>
      </c>
      <c r="R690" s="14">
        <v>13988110203</v>
      </c>
      <c r="S690" s="5"/>
      <c r="T690" s="30">
        <v>15000000</v>
      </c>
      <c r="U690" s="14">
        <v>36000000</v>
      </c>
      <c r="V690" s="5"/>
      <c r="W690" s="28"/>
      <c r="X690" s="28">
        <f t="shared" si="58"/>
        <v>0</v>
      </c>
      <c r="Y690" s="28">
        <f t="shared" si="55"/>
        <v>0</v>
      </c>
      <c r="Z690" s="28">
        <f t="shared" si="56"/>
        <v>0</v>
      </c>
      <c r="AA690" s="4"/>
      <c r="AB690" s="4"/>
      <c r="AC690">
        <f t="shared" si="57"/>
        <v>2</v>
      </c>
    </row>
    <row r="691" spans="1:30" ht="42" x14ac:dyDescent="0.3">
      <c r="A691" s="7" t="s">
        <v>46</v>
      </c>
      <c r="B691" s="6">
        <v>678</v>
      </c>
      <c r="C691" s="7" t="s">
        <v>2877</v>
      </c>
      <c r="D691" s="7" t="s">
        <v>2908</v>
      </c>
      <c r="E691" s="5"/>
      <c r="F691" s="4"/>
      <c r="G691" s="7" t="s">
        <v>2909</v>
      </c>
      <c r="H691" s="5"/>
      <c r="I691" s="5"/>
      <c r="J691" s="21" t="s">
        <v>2910</v>
      </c>
      <c r="K691" s="7" t="s">
        <v>24</v>
      </c>
      <c r="L691" s="7" t="s">
        <v>2911</v>
      </c>
      <c r="M691" s="114">
        <v>7884922752</v>
      </c>
      <c r="N691" s="111"/>
      <c r="O691" s="114">
        <v>7500000</v>
      </c>
      <c r="P691" s="110"/>
      <c r="Q691" s="109">
        <f t="shared" si="53"/>
        <v>7892422752</v>
      </c>
      <c r="R691" s="14">
        <v>7884922752</v>
      </c>
      <c r="S691" s="5"/>
      <c r="T691" s="30">
        <v>7500000</v>
      </c>
      <c r="U691" s="5"/>
      <c r="V691" s="5"/>
      <c r="W691" s="28"/>
      <c r="X691" s="28">
        <f t="shared" si="58"/>
        <v>0</v>
      </c>
      <c r="Y691" s="28">
        <f t="shared" si="55"/>
        <v>0</v>
      </c>
      <c r="Z691" s="28">
        <f t="shared" si="56"/>
        <v>0</v>
      </c>
      <c r="AA691" s="4"/>
      <c r="AB691" s="4"/>
      <c r="AC691">
        <f t="shared" si="57"/>
        <v>2</v>
      </c>
    </row>
    <row r="692" spans="1:30" ht="31.2" x14ac:dyDescent="0.3">
      <c r="A692" s="7" t="s">
        <v>46</v>
      </c>
      <c r="B692" s="6">
        <v>679</v>
      </c>
      <c r="C692" s="7" t="s">
        <v>2877</v>
      </c>
      <c r="D692" s="7" t="s">
        <v>2912</v>
      </c>
      <c r="E692" s="7"/>
      <c r="F692" s="40" t="s">
        <v>637</v>
      </c>
      <c r="G692" s="7" t="s">
        <v>2913</v>
      </c>
      <c r="H692" s="7"/>
      <c r="I692" s="7"/>
      <c r="J692" s="7" t="s">
        <v>2914</v>
      </c>
      <c r="K692" s="7" t="s">
        <v>24</v>
      </c>
      <c r="L692" s="7" t="s">
        <v>2915</v>
      </c>
      <c r="M692" s="114">
        <v>4656135712</v>
      </c>
      <c r="N692" s="111"/>
      <c r="O692" s="109">
        <v>15000000</v>
      </c>
      <c r="P692" s="112">
        <v>72000000</v>
      </c>
      <c r="Q692" s="109">
        <f t="shared" si="53"/>
        <v>4743135712</v>
      </c>
      <c r="R692" s="14">
        <v>4656135712</v>
      </c>
      <c r="S692" s="5"/>
      <c r="T692" s="72"/>
      <c r="U692" s="14">
        <v>72000000</v>
      </c>
      <c r="V692" s="5"/>
      <c r="W692" s="28"/>
      <c r="X692" s="28">
        <f t="shared" si="58"/>
        <v>0</v>
      </c>
      <c r="Y692" s="36">
        <f t="shared" si="55"/>
        <v>15000000</v>
      </c>
      <c r="Z692" s="28">
        <f t="shared" si="56"/>
        <v>0</v>
      </c>
      <c r="AA692" s="4"/>
      <c r="AB692" s="40"/>
      <c r="AC692" s="121">
        <f t="shared" si="57"/>
        <v>2</v>
      </c>
      <c r="AD692" s="121"/>
    </row>
    <row r="693" spans="1:30" ht="46.8" x14ac:dyDescent="0.4">
      <c r="A693" s="7" t="s">
        <v>18</v>
      </c>
      <c r="B693" s="6">
        <v>680</v>
      </c>
      <c r="C693" s="7" t="s">
        <v>2877</v>
      </c>
      <c r="D693" s="7" t="s">
        <v>2916</v>
      </c>
      <c r="E693" s="7"/>
      <c r="F693" s="4"/>
      <c r="G693" s="7" t="s">
        <v>2917</v>
      </c>
      <c r="H693" s="7"/>
      <c r="I693" s="7"/>
      <c r="J693" s="7" t="s">
        <v>2918</v>
      </c>
      <c r="K693" s="7" t="s">
        <v>24</v>
      </c>
      <c r="L693" s="7" t="s">
        <v>2919</v>
      </c>
      <c r="M693" s="114">
        <v>2778910722</v>
      </c>
      <c r="N693" s="111"/>
      <c r="O693" s="109">
        <v>7500000</v>
      </c>
      <c r="P693" s="110"/>
      <c r="Q693" s="109">
        <f t="shared" si="53"/>
        <v>2786410722</v>
      </c>
      <c r="R693" s="5"/>
      <c r="S693" s="5"/>
      <c r="T693" s="72"/>
      <c r="U693" s="5"/>
      <c r="V693" s="5"/>
      <c r="W693" s="28">
        <v>2778910722</v>
      </c>
      <c r="X693" s="28">
        <f t="shared" si="58"/>
        <v>0</v>
      </c>
      <c r="Y693" s="36">
        <f t="shared" si="55"/>
        <v>7500000</v>
      </c>
      <c r="Z693" s="28">
        <f t="shared" si="56"/>
        <v>0</v>
      </c>
      <c r="AA693" s="16">
        <v>2778910722</v>
      </c>
      <c r="AB693" s="40"/>
      <c r="AC693" s="121">
        <f t="shared" si="57"/>
        <v>2</v>
      </c>
      <c r="AD693" s="121"/>
    </row>
    <row r="694" spans="1:30" ht="31.2" x14ac:dyDescent="0.3">
      <c r="A694" s="7" t="s">
        <v>62</v>
      </c>
      <c r="B694" s="6">
        <v>681</v>
      </c>
      <c r="C694" s="7" t="s">
        <v>2877</v>
      </c>
      <c r="D694" s="7" t="s">
        <v>2920</v>
      </c>
      <c r="E694" s="5"/>
      <c r="F694" s="4"/>
      <c r="G694" s="7" t="s">
        <v>2921</v>
      </c>
      <c r="H694" s="5"/>
      <c r="I694" s="5"/>
      <c r="J694" s="21" t="s">
        <v>327</v>
      </c>
      <c r="K694" s="7" t="s">
        <v>24</v>
      </c>
      <c r="L694" s="7" t="s">
        <v>2922</v>
      </c>
      <c r="M694" s="114">
        <v>1260476040</v>
      </c>
      <c r="N694" s="111"/>
      <c r="O694" s="114">
        <v>7500000</v>
      </c>
      <c r="P694" s="110"/>
      <c r="Q694" s="109">
        <f t="shared" si="53"/>
        <v>1267976040</v>
      </c>
      <c r="R694" s="14">
        <v>1260476040</v>
      </c>
      <c r="S694" s="5"/>
      <c r="T694" s="33">
        <v>7500000</v>
      </c>
      <c r="U694" s="5"/>
      <c r="V694" s="5"/>
      <c r="W694" s="28"/>
      <c r="X694" s="28">
        <f t="shared" si="58"/>
        <v>0</v>
      </c>
      <c r="Y694" s="28">
        <f t="shared" si="55"/>
        <v>0</v>
      </c>
      <c r="Z694" s="28">
        <f t="shared" si="56"/>
        <v>0</v>
      </c>
      <c r="AA694" s="4"/>
      <c r="AB694" s="4"/>
      <c r="AC694">
        <f t="shared" si="57"/>
        <v>2</v>
      </c>
    </row>
    <row r="695" spans="1:30" ht="46.8" x14ac:dyDescent="0.3">
      <c r="A695" s="7" t="s">
        <v>18</v>
      </c>
      <c r="B695" s="6">
        <v>682</v>
      </c>
      <c r="C695" s="7" t="s">
        <v>2877</v>
      </c>
      <c r="D695" s="7" t="s">
        <v>2923</v>
      </c>
      <c r="E695" s="5"/>
      <c r="F695" s="4"/>
      <c r="G695" s="7" t="s">
        <v>2924</v>
      </c>
      <c r="H695" s="5"/>
      <c r="I695" s="5"/>
      <c r="J695" s="21" t="s">
        <v>2925</v>
      </c>
      <c r="K695" s="7" t="s">
        <v>24</v>
      </c>
      <c r="L695" s="7" t="s">
        <v>2926</v>
      </c>
      <c r="M695" s="114">
        <v>331459398</v>
      </c>
      <c r="N695" s="111"/>
      <c r="O695" s="114">
        <v>15000000</v>
      </c>
      <c r="P695" s="110"/>
      <c r="Q695" s="109">
        <f t="shared" si="53"/>
        <v>346459398</v>
      </c>
      <c r="R695" s="14">
        <v>331459398</v>
      </c>
      <c r="S695" s="5"/>
      <c r="T695" s="30">
        <v>15000000</v>
      </c>
      <c r="U695" s="5"/>
      <c r="V695" s="5"/>
      <c r="W695" s="28"/>
      <c r="X695" s="28">
        <f t="shared" si="58"/>
        <v>0</v>
      </c>
      <c r="Y695" s="28">
        <f t="shared" si="55"/>
        <v>0</v>
      </c>
      <c r="Z695" s="28">
        <f t="shared" si="56"/>
        <v>0</v>
      </c>
      <c r="AA695" s="4"/>
      <c r="AB695" s="4"/>
      <c r="AC695">
        <f t="shared" si="57"/>
        <v>2</v>
      </c>
    </row>
    <row r="696" spans="1:30" ht="46.8" x14ac:dyDescent="0.3">
      <c r="A696" s="7" t="s">
        <v>2290</v>
      </c>
      <c r="B696" s="6">
        <v>683</v>
      </c>
      <c r="C696" s="7" t="s">
        <v>2877</v>
      </c>
      <c r="D696" s="7" t="s">
        <v>2927</v>
      </c>
      <c r="E696" s="5"/>
      <c r="F696" s="4"/>
      <c r="G696" s="7" t="s">
        <v>2928</v>
      </c>
      <c r="H696" s="5"/>
      <c r="I696" s="5"/>
      <c r="J696" s="21" t="s">
        <v>2929</v>
      </c>
      <c r="K696" s="7" t="s">
        <v>24</v>
      </c>
      <c r="L696" s="7" t="s">
        <v>2930</v>
      </c>
      <c r="M696" s="114">
        <v>10000000</v>
      </c>
      <c r="N696" s="111"/>
      <c r="O696" s="114">
        <v>15000000</v>
      </c>
      <c r="P696" s="110"/>
      <c r="Q696" s="109">
        <f t="shared" si="53"/>
        <v>25000000</v>
      </c>
      <c r="R696" s="14">
        <v>10000000</v>
      </c>
      <c r="S696" s="5"/>
      <c r="T696" s="30">
        <v>15000000</v>
      </c>
      <c r="U696" s="5"/>
      <c r="V696" s="5"/>
      <c r="W696" s="28"/>
      <c r="X696" s="28">
        <f t="shared" si="58"/>
        <v>0</v>
      </c>
      <c r="Y696" s="28">
        <f t="shared" si="55"/>
        <v>0</v>
      </c>
      <c r="Z696" s="28">
        <f t="shared" si="56"/>
        <v>0</v>
      </c>
      <c r="AA696" s="4"/>
      <c r="AB696" s="4"/>
      <c r="AC696">
        <f t="shared" si="57"/>
        <v>2</v>
      </c>
    </row>
    <row r="697" spans="1:30" ht="78" customHeight="1" x14ac:dyDescent="0.3">
      <c r="A697" s="7" t="s">
        <v>2290</v>
      </c>
      <c r="B697" s="6">
        <v>684</v>
      </c>
      <c r="C697" s="7" t="s">
        <v>2877</v>
      </c>
      <c r="D697" s="7" t="s">
        <v>2931</v>
      </c>
      <c r="E697" s="5"/>
      <c r="F697" s="40" t="s">
        <v>2932</v>
      </c>
      <c r="G697" s="7" t="s">
        <v>2933</v>
      </c>
      <c r="H697" s="5"/>
      <c r="I697" s="5"/>
      <c r="J697" s="21" t="s">
        <v>1153</v>
      </c>
      <c r="K697" s="7" t="s">
        <v>24</v>
      </c>
      <c r="L697" s="7" t="s">
        <v>2934</v>
      </c>
      <c r="M697" s="114">
        <v>731347144</v>
      </c>
      <c r="N697" s="111"/>
      <c r="O697" s="114">
        <v>15000000</v>
      </c>
      <c r="P697" s="112">
        <v>72000000</v>
      </c>
      <c r="Q697" s="109">
        <f t="shared" si="53"/>
        <v>818347144</v>
      </c>
      <c r="R697" s="14">
        <v>731347144</v>
      </c>
      <c r="S697" s="5"/>
      <c r="T697" s="33">
        <v>15000000</v>
      </c>
      <c r="U697" s="14">
        <v>72000000</v>
      </c>
      <c r="V697" s="5"/>
      <c r="W697" s="28"/>
      <c r="X697" s="28">
        <f t="shared" si="58"/>
        <v>0</v>
      </c>
      <c r="Y697" s="28">
        <f t="shared" si="55"/>
        <v>0</v>
      </c>
      <c r="Z697" s="28">
        <f t="shared" si="56"/>
        <v>0</v>
      </c>
      <c r="AA697" s="4"/>
      <c r="AB697" s="4"/>
      <c r="AC697">
        <f t="shared" si="57"/>
        <v>2</v>
      </c>
    </row>
    <row r="698" spans="1:30" ht="42" x14ac:dyDescent="0.3">
      <c r="A698" s="7" t="s">
        <v>62</v>
      </c>
      <c r="B698" s="6">
        <v>685</v>
      </c>
      <c r="C698" s="7" t="s">
        <v>2877</v>
      </c>
      <c r="D698" s="7" t="s">
        <v>2935</v>
      </c>
      <c r="E698" s="5"/>
      <c r="F698" s="40" t="s">
        <v>637</v>
      </c>
      <c r="G698" s="7" t="s">
        <v>2936</v>
      </c>
      <c r="H698" s="5"/>
      <c r="I698" s="5"/>
      <c r="J698" s="21" t="s">
        <v>2937</v>
      </c>
      <c r="K698" s="7" t="s">
        <v>24</v>
      </c>
      <c r="L698" s="7" t="s">
        <v>2938</v>
      </c>
      <c r="M698" s="114">
        <v>9840789310</v>
      </c>
      <c r="N698" s="111"/>
      <c r="O698" s="114">
        <v>15000000</v>
      </c>
      <c r="P698" s="112">
        <v>120000000</v>
      </c>
      <c r="Q698" s="109">
        <f t="shared" si="53"/>
        <v>9975789310</v>
      </c>
      <c r="R698" s="14">
        <v>9840789310</v>
      </c>
      <c r="S698" s="5"/>
      <c r="T698" s="33">
        <v>15000000</v>
      </c>
      <c r="U698" s="14">
        <v>120000000</v>
      </c>
      <c r="V698" s="5"/>
      <c r="W698" s="28"/>
      <c r="X698" s="28">
        <f t="shared" si="58"/>
        <v>0</v>
      </c>
      <c r="Y698" s="28">
        <f t="shared" si="55"/>
        <v>0</v>
      </c>
      <c r="Z698" s="28">
        <f t="shared" si="56"/>
        <v>0</v>
      </c>
      <c r="AA698" s="4"/>
      <c r="AB698" s="4"/>
      <c r="AC698">
        <f t="shared" si="57"/>
        <v>2</v>
      </c>
    </row>
    <row r="699" spans="1:30" ht="62.4" x14ac:dyDescent="0.3">
      <c r="A699" s="7" t="s">
        <v>18</v>
      </c>
      <c r="B699" s="6">
        <v>686</v>
      </c>
      <c r="C699" s="7" t="s">
        <v>2877</v>
      </c>
      <c r="D699" s="7" t="s">
        <v>2939</v>
      </c>
      <c r="E699" s="7" t="s">
        <v>2940</v>
      </c>
      <c r="F699" s="4"/>
      <c r="G699" s="7"/>
      <c r="H699" s="7"/>
      <c r="I699" s="7" t="s">
        <v>2941</v>
      </c>
      <c r="J699" s="7" t="s">
        <v>2942</v>
      </c>
      <c r="K699" s="7" t="s">
        <v>24</v>
      </c>
      <c r="L699" s="7" t="s">
        <v>2943</v>
      </c>
      <c r="M699" s="114">
        <v>0</v>
      </c>
      <c r="N699" s="111"/>
      <c r="O699" s="109">
        <v>7500000</v>
      </c>
      <c r="P699" s="110"/>
      <c r="Q699" s="109">
        <f t="shared" si="53"/>
        <v>7500000</v>
      </c>
      <c r="R699" s="6">
        <v>0</v>
      </c>
      <c r="S699" s="5"/>
      <c r="T699" s="72"/>
      <c r="U699" s="5"/>
      <c r="V699" s="5"/>
      <c r="W699" s="28"/>
      <c r="X699" s="28">
        <f t="shared" si="58"/>
        <v>0</v>
      </c>
      <c r="Y699" s="36">
        <f t="shared" si="55"/>
        <v>7500000</v>
      </c>
      <c r="Z699" s="28">
        <f t="shared" si="56"/>
        <v>0</v>
      </c>
      <c r="AA699" s="4"/>
      <c r="AB699" s="40"/>
      <c r="AC699" s="121">
        <f t="shared" si="57"/>
        <v>1</v>
      </c>
      <c r="AD699" s="121"/>
    </row>
    <row r="700" spans="1:30" ht="78" x14ac:dyDescent="0.3">
      <c r="A700" s="7" t="s">
        <v>18</v>
      </c>
      <c r="B700" s="6">
        <v>687</v>
      </c>
      <c r="C700" s="7" t="s">
        <v>2877</v>
      </c>
      <c r="D700" s="7" t="s">
        <v>2944</v>
      </c>
      <c r="E700" s="7" t="s">
        <v>2940</v>
      </c>
      <c r="F700" s="4"/>
      <c r="G700" s="7"/>
      <c r="H700" s="7"/>
      <c r="I700" s="7" t="s">
        <v>2945</v>
      </c>
      <c r="J700" s="7" t="s">
        <v>346</v>
      </c>
      <c r="K700" s="7" t="s">
        <v>24</v>
      </c>
      <c r="L700" s="7" t="s">
        <v>2943</v>
      </c>
      <c r="M700" s="114">
        <v>10000000</v>
      </c>
      <c r="N700" s="111"/>
      <c r="O700" s="109">
        <v>15000000</v>
      </c>
      <c r="P700" s="110"/>
      <c r="Q700" s="109">
        <f t="shared" si="53"/>
        <v>25000000</v>
      </c>
      <c r="R700" s="5"/>
      <c r="S700" s="5"/>
      <c r="T700" s="72"/>
      <c r="U700" s="5"/>
      <c r="V700" s="5"/>
      <c r="W700" s="28">
        <v>10000000</v>
      </c>
      <c r="X700" s="28">
        <f t="shared" si="58"/>
        <v>0</v>
      </c>
      <c r="Y700" s="36">
        <f t="shared" si="55"/>
        <v>15000000</v>
      </c>
      <c r="Z700" s="28">
        <f t="shared" si="56"/>
        <v>0</v>
      </c>
      <c r="AA700" s="8">
        <v>10000000</v>
      </c>
      <c r="AB700" s="40"/>
      <c r="AC700" s="121">
        <f t="shared" si="57"/>
        <v>1</v>
      </c>
      <c r="AD700" s="121"/>
    </row>
    <row r="701" spans="1:30" ht="46.8" x14ac:dyDescent="0.3">
      <c r="A701" s="7" t="s">
        <v>62</v>
      </c>
      <c r="B701" s="6">
        <v>688</v>
      </c>
      <c r="C701" s="7" t="s">
        <v>2877</v>
      </c>
      <c r="D701" s="7" t="s">
        <v>2946</v>
      </c>
      <c r="E701" s="7" t="s">
        <v>764</v>
      </c>
      <c r="F701" s="4" t="s">
        <v>3885</v>
      </c>
      <c r="G701" s="7" t="s">
        <v>2947</v>
      </c>
      <c r="H701" s="7" t="s">
        <v>2948</v>
      </c>
      <c r="I701" s="5"/>
      <c r="J701" s="21" t="s">
        <v>2949</v>
      </c>
      <c r="K701" s="7" t="s">
        <v>24</v>
      </c>
      <c r="L701" s="7" t="s">
        <v>2950</v>
      </c>
      <c r="M701" s="114">
        <v>1016998986</v>
      </c>
      <c r="N701" s="114">
        <v>86605610</v>
      </c>
      <c r="O701" s="114">
        <v>15000000</v>
      </c>
      <c r="P701" s="110">
        <v>48000000</v>
      </c>
      <c r="Q701" s="109">
        <f t="shared" si="53"/>
        <v>1166604596</v>
      </c>
      <c r="R701" s="14">
        <v>1016998986</v>
      </c>
      <c r="S701" s="14">
        <v>86605610</v>
      </c>
      <c r="T701" s="33">
        <v>15000000</v>
      </c>
      <c r="U701" s="28">
        <v>48000000</v>
      </c>
      <c r="V701" s="5"/>
      <c r="W701" s="28"/>
      <c r="X701" s="28">
        <f t="shared" si="58"/>
        <v>0</v>
      </c>
      <c r="Y701" s="28">
        <f t="shared" si="55"/>
        <v>0</v>
      </c>
      <c r="Z701" s="28">
        <f t="shared" si="56"/>
        <v>0</v>
      </c>
      <c r="AA701" s="4"/>
      <c r="AB701" s="4"/>
      <c r="AC701">
        <f t="shared" si="57"/>
        <v>2</v>
      </c>
    </row>
    <row r="702" spans="1:30" ht="31.2" x14ac:dyDescent="0.3">
      <c r="A702" s="7" t="s">
        <v>46</v>
      </c>
      <c r="B702" s="6">
        <v>689</v>
      </c>
      <c r="C702" s="7" t="s">
        <v>2877</v>
      </c>
      <c r="D702" s="7" t="s">
        <v>2951</v>
      </c>
      <c r="E702" s="7" t="s">
        <v>3897</v>
      </c>
      <c r="F702" s="40" t="s">
        <v>1559</v>
      </c>
      <c r="G702" s="7" t="s">
        <v>2952</v>
      </c>
      <c r="H702" s="7" t="s">
        <v>3906</v>
      </c>
      <c r="I702" s="5"/>
      <c r="J702" s="7" t="s">
        <v>2953</v>
      </c>
      <c r="K702" s="7" t="s">
        <v>24</v>
      </c>
      <c r="L702" s="7" t="s">
        <v>2954</v>
      </c>
      <c r="M702" s="109">
        <v>309253343</v>
      </c>
      <c r="N702" s="74">
        <v>1023702675</v>
      </c>
      <c r="O702" s="114">
        <v>15000000</v>
      </c>
      <c r="P702" s="112">
        <v>30000000</v>
      </c>
      <c r="Q702" s="109">
        <f t="shared" si="53"/>
        <v>1377956018</v>
      </c>
      <c r="R702" s="14">
        <v>309253343</v>
      </c>
      <c r="S702" s="36">
        <v>1023702675</v>
      </c>
      <c r="T702" s="31">
        <v>15000000</v>
      </c>
      <c r="U702" s="14">
        <v>30000000</v>
      </c>
      <c r="V702" s="5"/>
      <c r="W702" s="28"/>
      <c r="X702" s="36">
        <f t="shared" si="58"/>
        <v>0</v>
      </c>
      <c r="Y702" s="28">
        <f t="shared" si="55"/>
        <v>0</v>
      </c>
      <c r="Z702" s="28">
        <f t="shared" si="56"/>
        <v>0</v>
      </c>
      <c r="AA702" s="40"/>
      <c r="AB702" s="40"/>
      <c r="AC702" s="61">
        <f t="shared" si="57"/>
        <v>2</v>
      </c>
      <c r="AD702" s="61"/>
    </row>
    <row r="703" spans="1:30" ht="62.4" customHeight="1" x14ac:dyDescent="0.3">
      <c r="A703" s="7" t="s">
        <v>18</v>
      </c>
      <c r="B703" s="6">
        <v>690</v>
      </c>
      <c r="C703" s="7" t="s">
        <v>2877</v>
      </c>
      <c r="D703" s="7" t="s">
        <v>2955</v>
      </c>
      <c r="E703" s="5"/>
      <c r="F703" s="40" t="s">
        <v>1679</v>
      </c>
      <c r="G703" s="7" t="s">
        <v>2956</v>
      </c>
      <c r="H703" s="5"/>
      <c r="I703" s="5"/>
      <c r="J703" s="21" t="s">
        <v>2957</v>
      </c>
      <c r="K703" s="7" t="s">
        <v>24</v>
      </c>
      <c r="L703" s="7" t="s">
        <v>2958</v>
      </c>
      <c r="M703" s="114">
        <v>1095920500</v>
      </c>
      <c r="N703" s="111"/>
      <c r="O703" s="114">
        <v>15000000</v>
      </c>
      <c r="P703" s="112">
        <v>90000000</v>
      </c>
      <c r="Q703" s="109">
        <f t="shared" si="53"/>
        <v>1200920500</v>
      </c>
      <c r="R703" s="14">
        <v>1095920500</v>
      </c>
      <c r="S703" s="5"/>
      <c r="T703" s="30">
        <v>15000000</v>
      </c>
      <c r="U703" s="14">
        <v>90000000</v>
      </c>
      <c r="V703" s="5"/>
      <c r="W703" s="28"/>
      <c r="X703" s="28">
        <f t="shared" si="58"/>
        <v>0</v>
      </c>
      <c r="Y703" s="28">
        <f t="shared" si="55"/>
        <v>0</v>
      </c>
      <c r="Z703" s="28">
        <f t="shared" si="56"/>
        <v>0</v>
      </c>
      <c r="AA703" s="4"/>
      <c r="AB703" s="4"/>
      <c r="AC703">
        <f t="shared" si="57"/>
        <v>2</v>
      </c>
    </row>
    <row r="704" spans="1:30" ht="42" x14ac:dyDescent="0.3">
      <c r="A704" s="7" t="s">
        <v>2290</v>
      </c>
      <c r="B704" s="6">
        <v>691</v>
      </c>
      <c r="C704" s="7" t="s">
        <v>2877</v>
      </c>
      <c r="D704" s="7" t="s">
        <v>2959</v>
      </c>
      <c r="E704" s="5"/>
      <c r="F704" s="4"/>
      <c r="G704" s="7" t="s">
        <v>2960</v>
      </c>
      <c r="H704" s="5"/>
      <c r="I704" s="5"/>
      <c r="J704" s="21" t="s">
        <v>2961</v>
      </c>
      <c r="K704" s="7" t="s">
        <v>24</v>
      </c>
      <c r="L704" s="7" t="s">
        <v>2962</v>
      </c>
      <c r="M704" s="114">
        <v>1271355500</v>
      </c>
      <c r="N704" s="111"/>
      <c r="O704" s="114">
        <v>7500000</v>
      </c>
      <c r="P704" s="110"/>
      <c r="Q704" s="109">
        <f t="shared" si="53"/>
        <v>1278855500</v>
      </c>
      <c r="R704" s="14">
        <v>1271355500</v>
      </c>
      <c r="S704" s="5"/>
      <c r="T704" s="33">
        <v>7500000</v>
      </c>
      <c r="U704" s="5"/>
      <c r="V704" s="5"/>
      <c r="W704" s="28"/>
      <c r="X704" s="28">
        <f t="shared" si="58"/>
        <v>0</v>
      </c>
      <c r="Y704" s="28">
        <f t="shared" si="55"/>
        <v>0</v>
      </c>
      <c r="Z704" s="28">
        <f t="shared" si="56"/>
        <v>0</v>
      </c>
      <c r="AA704" s="4"/>
      <c r="AB704" s="4"/>
      <c r="AC704">
        <f t="shared" si="57"/>
        <v>2</v>
      </c>
    </row>
    <row r="705" spans="1:29" ht="140.4" customHeight="1" x14ac:dyDescent="0.3">
      <c r="A705" s="7" t="s">
        <v>18</v>
      </c>
      <c r="B705" s="6">
        <v>692</v>
      </c>
      <c r="C705" s="7" t="s">
        <v>2877</v>
      </c>
      <c r="D705" s="7" t="s">
        <v>2963</v>
      </c>
      <c r="E705" s="5"/>
      <c r="F705" s="40" t="s">
        <v>2964</v>
      </c>
      <c r="G705" s="7" t="s">
        <v>2965</v>
      </c>
      <c r="H705" s="7" t="s">
        <v>1656</v>
      </c>
      <c r="I705" s="5"/>
      <c r="J705" s="21" t="s">
        <v>2966</v>
      </c>
      <c r="K705" s="7" t="s">
        <v>24</v>
      </c>
      <c r="L705" s="7" t="s">
        <v>2967</v>
      </c>
      <c r="M705" s="114">
        <v>1213968903</v>
      </c>
      <c r="N705" s="111"/>
      <c r="O705" s="109">
        <v>15000000</v>
      </c>
      <c r="P705" s="112">
        <v>192000000</v>
      </c>
      <c r="Q705" s="109">
        <f t="shared" si="53"/>
        <v>1420968903</v>
      </c>
      <c r="R705" s="14">
        <v>1213968903</v>
      </c>
      <c r="S705" s="5"/>
      <c r="T705" s="30">
        <v>15000000</v>
      </c>
      <c r="U705" s="14">
        <v>192000000</v>
      </c>
      <c r="V705" s="5"/>
      <c r="W705" s="28"/>
      <c r="X705" s="28">
        <f t="shared" si="58"/>
        <v>0</v>
      </c>
      <c r="Y705" s="28">
        <f t="shared" si="55"/>
        <v>0</v>
      </c>
      <c r="Z705" s="28">
        <f t="shared" si="56"/>
        <v>0</v>
      </c>
      <c r="AA705" s="4"/>
      <c r="AB705" s="4"/>
      <c r="AC705">
        <f t="shared" si="57"/>
        <v>2</v>
      </c>
    </row>
    <row r="706" spans="1:29" ht="42" customHeight="1" x14ac:dyDescent="0.3">
      <c r="A706" s="7" t="s">
        <v>62</v>
      </c>
      <c r="B706" s="6">
        <v>693</v>
      </c>
      <c r="C706" s="7" t="s">
        <v>2877</v>
      </c>
      <c r="D706" s="7" t="s">
        <v>2968</v>
      </c>
      <c r="E706" s="5"/>
      <c r="F706" s="4"/>
      <c r="G706" s="7" t="s">
        <v>2969</v>
      </c>
      <c r="H706" s="5"/>
      <c r="I706" s="5"/>
      <c r="J706" s="21" t="s">
        <v>2970</v>
      </c>
      <c r="K706" s="7" t="s">
        <v>24</v>
      </c>
      <c r="L706" s="7" t="s">
        <v>2971</v>
      </c>
      <c r="M706" s="114">
        <v>3795291327</v>
      </c>
      <c r="N706" s="111"/>
      <c r="O706" s="114">
        <v>7500000</v>
      </c>
      <c r="P706" s="110"/>
      <c r="Q706" s="109">
        <f t="shared" si="53"/>
        <v>3802791327</v>
      </c>
      <c r="R706" s="14">
        <v>3795291327</v>
      </c>
      <c r="S706" s="5"/>
      <c r="T706" s="30">
        <v>7500000</v>
      </c>
      <c r="U706" s="5"/>
      <c r="V706" s="5"/>
      <c r="W706" s="28"/>
      <c r="X706" s="28">
        <f t="shared" si="58"/>
        <v>0</v>
      </c>
      <c r="Y706" s="28">
        <f t="shared" si="55"/>
        <v>0</v>
      </c>
      <c r="Z706" s="28">
        <f t="shared" si="56"/>
        <v>0</v>
      </c>
      <c r="AA706" s="4"/>
      <c r="AB706" s="4"/>
      <c r="AC706">
        <f t="shared" si="57"/>
        <v>2</v>
      </c>
    </row>
    <row r="707" spans="1:29" ht="42" x14ac:dyDescent="0.3">
      <c r="A707" s="7" t="s">
        <v>62</v>
      </c>
      <c r="B707" s="6">
        <v>694</v>
      </c>
      <c r="C707" s="7" t="s">
        <v>2877</v>
      </c>
      <c r="D707" s="7" t="s">
        <v>2972</v>
      </c>
      <c r="E707" s="5"/>
      <c r="F707" s="4"/>
      <c r="G707" s="7" t="s">
        <v>2973</v>
      </c>
      <c r="H707" s="5"/>
      <c r="I707" s="5"/>
      <c r="J707" s="21" t="s">
        <v>2974</v>
      </c>
      <c r="K707" s="7" t="s">
        <v>24</v>
      </c>
      <c r="L707" s="7" t="s">
        <v>2975</v>
      </c>
      <c r="M707" s="114">
        <v>1838697914</v>
      </c>
      <c r="N707" s="111"/>
      <c r="O707" s="114">
        <v>7500000</v>
      </c>
      <c r="P707" s="110"/>
      <c r="Q707" s="109">
        <f t="shared" si="53"/>
        <v>1846197914</v>
      </c>
      <c r="R707" s="14">
        <v>1838697914</v>
      </c>
      <c r="S707" s="5"/>
      <c r="T707" s="33">
        <v>7500000</v>
      </c>
      <c r="U707" s="5"/>
      <c r="V707" s="5"/>
      <c r="W707" s="28"/>
      <c r="X707" s="28">
        <f t="shared" si="58"/>
        <v>0</v>
      </c>
      <c r="Y707" s="28">
        <f t="shared" si="55"/>
        <v>0</v>
      </c>
      <c r="Z707" s="28">
        <f t="shared" si="56"/>
        <v>0</v>
      </c>
      <c r="AA707" s="4"/>
      <c r="AB707" s="4"/>
      <c r="AC707">
        <f t="shared" si="57"/>
        <v>2</v>
      </c>
    </row>
    <row r="708" spans="1:29" ht="42" x14ac:dyDescent="0.3">
      <c r="A708" s="7" t="s">
        <v>46</v>
      </c>
      <c r="B708" s="6">
        <v>695</v>
      </c>
      <c r="C708" s="7" t="s">
        <v>2877</v>
      </c>
      <c r="D708" s="7" t="s">
        <v>2976</v>
      </c>
      <c r="E708" s="5"/>
      <c r="F708" s="4"/>
      <c r="G708" s="7" t="s">
        <v>2977</v>
      </c>
      <c r="H708" s="5"/>
      <c r="I708" s="5"/>
      <c r="J708" s="21" t="s">
        <v>2978</v>
      </c>
      <c r="K708" s="7" t="s">
        <v>24</v>
      </c>
      <c r="L708" s="7" t="s">
        <v>2979</v>
      </c>
      <c r="M708" s="114">
        <v>9228830690</v>
      </c>
      <c r="N708" s="111"/>
      <c r="O708" s="114">
        <v>15000000</v>
      </c>
      <c r="P708" s="110"/>
      <c r="Q708" s="109">
        <f t="shared" si="53"/>
        <v>9243830690</v>
      </c>
      <c r="R708" s="14">
        <v>9228830690</v>
      </c>
      <c r="S708" s="5"/>
      <c r="T708" s="31">
        <v>15000000</v>
      </c>
      <c r="U708" s="5"/>
      <c r="V708" s="5"/>
      <c r="W708" s="28"/>
      <c r="X708" s="28">
        <f t="shared" si="58"/>
        <v>0</v>
      </c>
      <c r="Y708" s="28">
        <f t="shared" si="55"/>
        <v>0</v>
      </c>
      <c r="Z708" s="28">
        <f t="shared" si="56"/>
        <v>0</v>
      </c>
      <c r="AA708" s="4"/>
      <c r="AB708" s="4"/>
      <c r="AC708">
        <f t="shared" si="57"/>
        <v>2</v>
      </c>
    </row>
    <row r="709" spans="1:29" ht="62.4" customHeight="1" x14ac:dyDescent="0.3">
      <c r="A709" s="7" t="s">
        <v>62</v>
      </c>
      <c r="B709" s="6">
        <v>696</v>
      </c>
      <c r="C709" s="7" t="s">
        <v>2877</v>
      </c>
      <c r="D709" s="7" t="s">
        <v>2980</v>
      </c>
      <c r="E709" s="5"/>
      <c r="F709" s="40" t="s">
        <v>3870</v>
      </c>
      <c r="G709" s="7" t="s">
        <v>2981</v>
      </c>
      <c r="H709" s="5"/>
      <c r="I709" s="5"/>
      <c r="J709" s="21" t="s">
        <v>2982</v>
      </c>
      <c r="K709" s="7" t="s">
        <v>24</v>
      </c>
      <c r="L709" s="7" t="s">
        <v>2983</v>
      </c>
      <c r="M709" s="114">
        <v>1043360216</v>
      </c>
      <c r="N709" s="111"/>
      <c r="O709" s="114">
        <v>15000000</v>
      </c>
      <c r="P709" s="112">
        <v>72000000</v>
      </c>
      <c r="Q709" s="109">
        <f t="shared" si="53"/>
        <v>1130360216</v>
      </c>
      <c r="R709" s="14">
        <v>1043360216</v>
      </c>
      <c r="S709" s="5"/>
      <c r="T709" s="30">
        <v>15000000</v>
      </c>
      <c r="U709" s="14">
        <v>72000000</v>
      </c>
      <c r="V709" s="5"/>
      <c r="W709" s="28"/>
      <c r="X709" s="28">
        <f t="shared" si="58"/>
        <v>0</v>
      </c>
      <c r="Y709" s="28">
        <f t="shared" si="55"/>
        <v>0</v>
      </c>
      <c r="Z709" s="28">
        <f t="shared" si="56"/>
        <v>0</v>
      </c>
      <c r="AA709" s="4"/>
      <c r="AB709" s="4"/>
      <c r="AC709">
        <f t="shared" si="57"/>
        <v>2</v>
      </c>
    </row>
    <row r="710" spans="1:29" ht="31.2" x14ac:dyDescent="0.3">
      <c r="A710" s="7" t="s">
        <v>46</v>
      </c>
      <c r="B710" s="6">
        <v>697</v>
      </c>
      <c r="C710" s="7" t="s">
        <v>2877</v>
      </c>
      <c r="D710" s="7" t="s">
        <v>2984</v>
      </c>
      <c r="E710" s="7" t="s">
        <v>2669</v>
      </c>
      <c r="F710" s="4"/>
      <c r="G710" s="7" t="s">
        <v>2985</v>
      </c>
      <c r="H710" s="7" t="s">
        <v>2986</v>
      </c>
      <c r="I710" s="5"/>
      <c r="J710" s="21" t="s">
        <v>2987</v>
      </c>
      <c r="K710" s="7" t="s">
        <v>24</v>
      </c>
      <c r="L710" s="7" t="s">
        <v>2988</v>
      </c>
      <c r="M710" s="114">
        <v>8588500084</v>
      </c>
      <c r="N710" s="114">
        <v>1184688218</v>
      </c>
      <c r="O710" s="114">
        <v>7500000</v>
      </c>
      <c r="P710" s="110"/>
      <c r="Q710" s="109">
        <f t="shared" si="53"/>
        <v>9780688302</v>
      </c>
      <c r="R710" s="14">
        <v>8588500084</v>
      </c>
      <c r="S710" s="14">
        <v>1184688218</v>
      </c>
      <c r="T710" s="30">
        <v>7500000</v>
      </c>
      <c r="U710" s="5"/>
      <c r="V710" s="5"/>
      <c r="W710" s="28"/>
      <c r="X710" s="28">
        <f t="shared" si="58"/>
        <v>0</v>
      </c>
      <c r="Y710" s="28">
        <f t="shared" si="55"/>
        <v>0</v>
      </c>
      <c r="Z710" s="28">
        <f t="shared" si="56"/>
        <v>0</v>
      </c>
      <c r="AA710" s="4"/>
      <c r="AB710" s="4"/>
      <c r="AC710">
        <f t="shared" si="57"/>
        <v>2</v>
      </c>
    </row>
    <row r="711" spans="1:29" ht="62.4" customHeight="1" x14ac:dyDescent="0.3">
      <c r="A711" s="7" t="s">
        <v>46</v>
      </c>
      <c r="B711" s="6">
        <v>698</v>
      </c>
      <c r="C711" s="7" t="s">
        <v>2877</v>
      </c>
      <c r="D711" s="7" t="s">
        <v>2989</v>
      </c>
      <c r="E711" s="7" t="s">
        <v>1922</v>
      </c>
      <c r="F711" s="40" t="s">
        <v>3892</v>
      </c>
      <c r="G711" s="7" t="s">
        <v>2991</v>
      </c>
      <c r="H711" s="7" t="s">
        <v>2992</v>
      </c>
      <c r="I711" s="5"/>
      <c r="J711" s="21" t="s">
        <v>2993</v>
      </c>
      <c r="K711" s="7" t="s">
        <v>24</v>
      </c>
      <c r="L711" s="7" t="s">
        <v>2994</v>
      </c>
      <c r="M711" s="114">
        <v>1495439088</v>
      </c>
      <c r="N711" s="114">
        <v>330415722</v>
      </c>
      <c r="O711" s="114">
        <v>15000000</v>
      </c>
      <c r="P711" s="112">
        <v>72000000</v>
      </c>
      <c r="Q711" s="109">
        <f t="shared" si="53"/>
        <v>1912854810</v>
      </c>
      <c r="R711" s="14">
        <v>1495439088</v>
      </c>
      <c r="S711" s="14">
        <v>330415722</v>
      </c>
      <c r="T711" s="31">
        <v>15000000</v>
      </c>
      <c r="U711" s="5"/>
      <c r="V711" s="5"/>
      <c r="W711" s="28"/>
      <c r="X711" s="28">
        <f t="shared" si="58"/>
        <v>0</v>
      </c>
      <c r="Y711" s="28">
        <f t="shared" si="55"/>
        <v>0</v>
      </c>
      <c r="Z711" s="28">
        <f t="shared" si="56"/>
        <v>72000000</v>
      </c>
      <c r="AA711" s="4"/>
      <c r="AB711" s="4"/>
      <c r="AC711">
        <f t="shared" si="57"/>
        <v>2</v>
      </c>
    </row>
    <row r="712" spans="1:29" ht="31.2" x14ac:dyDescent="0.3">
      <c r="A712" s="7" t="s">
        <v>62</v>
      </c>
      <c r="B712" s="6">
        <v>699</v>
      </c>
      <c r="C712" s="7" t="s">
        <v>2877</v>
      </c>
      <c r="D712" s="7" t="s">
        <v>2995</v>
      </c>
      <c r="E712" s="5"/>
      <c r="F712" s="4"/>
      <c r="G712" s="7" t="s">
        <v>2996</v>
      </c>
      <c r="H712" s="5"/>
      <c r="I712" s="5"/>
      <c r="J712" s="21" t="s">
        <v>2997</v>
      </c>
      <c r="K712" s="7" t="s">
        <v>24</v>
      </c>
      <c r="L712" s="7" t="s">
        <v>2998</v>
      </c>
      <c r="M712" s="114">
        <v>793397916</v>
      </c>
      <c r="N712" s="111"/>
      <c r="O712" s="114">
        <v>15000000</v>
      </c>
      <c r="P712" s="110"/>
      <c r="Q712" s="109">
        <f t="shared" si="53"/>
        <v>808397916</v>
      </c>
      <c r="R712" s="14">
        <v>793397916</v>
      </c>
      <c r="S712" s="5"/>
      <c r="T712" s="33">
        <v>15000000</v>
      </c>
      <c r="U712" s="5"/>
      <c r="V712" s="5"/>
      <c r="W712" s="28"/>
      <c r="X712" s="28">
        <f t="shared" si="58"/>
        <v>0</v>
      </c>
      <c r="Y712" s="28">
        <f t="shared" si="55"/>
        <v>0</v>
      </c>
      <c r="Z712" s="28">
        <f t="shared" si="56"/>
        <v>0</v>
      </c>
      <c r="AA712" s="4"/>
      <c r="AB712" s="4"/>
      <c r="AC712">
        <f t="shared" si="57"/>
        <v>2</v>
      </c>
    </row>
    <row r="713" spans="1:29" ht="31.2" x14ac:dyDescent="0.3">
      <c r="A713" s="7" t="s">
        <v>62</v>
      </c>
      <c r="B713" s="6">
        <v>700</v>
      </c>
      <c r="C713" s="7" t="s">
        <v>2877</v>
      </c>
      <c r="D713" s="7" t="s">
        <v>2999</v>
      </c>
      <c r="E713" s="5"/>
      <c r="F713" s="40" t="s">
        <v>505</v>
      </c>
      <c r="G713" s="7" t="s">
        <v>3000</v>
      </c>
      <c r="H713" s="5"/>
      <c r="I713" s="5"/>
      <c r="J713" s="21" t="s">
        <v>3001</v>
      </c>
      <c r="K713" s="7" t="s">
        <v>24</v>
      </c>
      <c r="L713" s="7" t="s">
        <v>3002</v>
      </c>
      <c r="M713" s="114">
        <v>776854950</v>
      </c>
      <c r="N713" s="111"/>
      <c r="O713" s="114">
        <v>15000000</v>
      </c>
      <c r="P713" s="112">
        <v>8000000</v>
      </c>
      <c r="Q713" s="109">
        <f t="shared" si="53"/>
        <v>799854950</v>
      </c>
      <c r="R713" s="14">
        <v>776854950</v>
      </c>
      <c r="S713" s="5"/>
      <c r="T713" s="33">
        <v>15000000</v>
      </c>
      <c r="U713" s="14">
        <v>8000000</v>
      </c>
      <c r="V713" s="5"/>
      <c r="W713" s="28"/>
      <c r="X713" s="28">
        <f t="shared" si="58"/>
        <v>0</v>
      </c>
      <c r="Y713" s="28">
        <f t="shared" si="55"/>
        <v>0</v>
      </c>
      <c r="Z713" s="28">
        <f t="shared" si="56"/>
        <v>0</v>
      </c>
      <c r="AA713" s="4"/>
      <c r="AB713" s="4"/>
      <c r="AC713">
        <f t="shared" si="57"/>
        <v>2</v>
      </c>
    </row>
    <row r="714" spans="1:29" ht="62.4" customHeight="1" x14ac:dyDescent="0.3">
      <c r="A714" s="7" t="s">
        <v>46</v>
      </c>
      <c r="B714" s="6">
        <v>701</v>
      </c>
      <c r="C714" s="7" t="s">
        <v>2877</v>
      </c>
      <c r="D714" s="7" t="s">
        <v>3003</v>
      </c>
      <c r="E714" s="5"/>
      <c r="F714" s="40" t="s">
        <v>953</v>
      </c>
      <c r="G714" s="7" t="s">
        <v>3004</v>
      </c>
      <c r="H714" s="5"/>
      <c r="I714" s="5"/>
      <c r="J714" s="21" t="s">
        <v>3005</v>
      </c>
      <c r="K714" s="7" t="s">
        <v>24</v>
      </c>
      <c r="L714" s="7" t="s">
        <v>3006</v>
      </c>
      <c r="M714" s="114">
        <v>1219499284</v>
      </c>
      <c r="N714" s="111"/>
      <c r="O714" s="114">
        <v>15000000</v>
      </c>
      <c r="P714" s="112">
        <v>88000000</v>
      </c>
      <c r="Q714" s="109">
        <f t="shared" si="53"/>
        <v>1322499284</v>
      </c>
      <c r="R714" s="14">
        <v>1219499284</v>
      </c>
      <c r="S714" s="5"/>
      <c r="T714" s="30">
        <v>15000000</v>
      </c>
      <c r="U714" s="14">
        <v>88000000</v>
      </c>
      <c r="V714" s="5"/>
      <c r="W714" s="28"/>
      <c r="X714" s="28">
        <f t="shared" si="58"/>
        <v>0</v>
      </c>
      <c r="Y714" s="28">
        <f t="shared" si="55"/>
        <v>0</v>
      </c>
      <c r="Z714" s="28">
        <f t="shared" si="56"/>
        <v>0</v>
      </c>
      <c r="AA714" s="4"/>
      <c r="AB714" s="4"/>
      <c r="AC714">
        <f t="shared" si="57"/>
        <v>2</v>
      </c>
    </row>
    <row r="715" spans="1:29" ht="42" x14ac:dyDescent="0.3">
      <c r="A715" s="7" t="s">
        <v>62</v>
      </c>
      <c r="B715" s="6">
        <v>702</v>
      </c>
      <c r="C715" s="7" t="s">
        <v>2877</v>
      </c>
      <c r="D715" s="7" t="s">
        <v>3007</v>
      </c>
      <c r="E715" s="7" t="s">
        <v>3008</v>
      </c>
      <c r="F715" s="4" t="s">
        <v>3885</v>
      </c>
      <c r="G715" s="7" t="s">
        <v>3009</v>
      </c>
      <c r="H715" s="7" t="s">
        <v>3010</v>
      </c>
      <c r="I715" s="5"/>
      <c r="J715" s="21" t="s">
        <v>3011</v>
      </c>
      <c r="K715" s="7" t="s">
        <v>24</v>
      </c>
      <c r="L715" s="7" t="s">
        <v>3012</v>
      </c>
      <c r="M715" s="114">
        <v>1540321022</v>
      </c>
      <c r="N715" s="114">
        <v>659051076</v>
      </c>
      <c r="O715" s="114">
        <v>15000000</v>
      </c>
      <c r="P715" s="110">
        <v>48000000</v>
      </c>
      <c r="Q715" s="109">
        <f t="shared" si="53"/>
        <v>2262372098</v>
      </c>
      <c r="R715" s="14">
        <v>1540321022</v>
      </c>
      <c r="S715" s="28">
        <v>659051076</v>
      </c>
      <c r="T715" s="30">
        <v>15000000</v>
      </c>
      <c r="U715" s="5"/>
      <c r="V715" s="5"/>
      <c r="W715" s="28"/>
      <c r="X715" s="28">
        <f t="shared" si="58"/>
        <v>0</v>
      </c>
      <c r="Y715" s="28">
        <f t="shared" si="55"/>
        <v>0</v>
      </c>
      <c r="Z715" s="28">
        <f t="shared" si="56"/>
        <v>48000000</v>
      </c>
      <c r="AA715" s="4"/>
      <c r="AB715" s="4"/>
      <c r="AC715">
        <f t="shared" si="57"/>
        <v>2</v>
      </c>
    </row>
    <row r="716" spans="1:29" ht="78" customHeight="1" x14ac:dyDescent="0.3">
      <c r="A716" s="7" t="s">
        <v>62</v>
      </c>
      <c r="B716" s="6">
        <v>703</v>
      </c>
      <c r="C716" s="7" t="s">
        <v>2877</v>
      </c>
      <c r="D716" s="7" t="s">
        <v>3013</v>
      </c>
      <c r="E716" s="5"/>
      <c r="F716" s="40" t="s">
        <v>3893</v>
      </c>
      <c r="G716" s="7" t="s">
        <v>3015</v>
      </c>
      <c r="H716" s="5"/>
      <c r="I716" s="5"/>
      <c r="J716" s="21" t="s">
        <v>3016</v>
      </c>
      <c r="K716" s="7" t="s">
        <v>24</v>
      </c>
      <c r="L716" s="7" t="s">
        <v>3017</v>
      </c>
      <c r="M716" s="114">
        <v>732297702</v>
      </c>
      <c r="N716" s="111"/>
      <c r="O716" s="114">
        <v>15000000</v>
      </c>
      <c r="P716" s="112">
        <v>72000000</v>
      </c>
      <c r="Q716" s="109">
        <f t="shared" si="53"/>
        <v>819297702</v>
      </c>
      <c r="R716" s="14">
        <v>732297702</v>
      </c>
      <c r="S716" s="5"/>
      <c r="T716" s="30">
        <v>15000000</v>
      </c>
      <c r="U716" s="14">
        <v>72000000</v>
      </c>
      <c r="V716" s="5"/>
      <c r="W716" s="28"/>
      <c r="X716" s="28">
        <f t="shared" si="58"/>
        <v>0</v>
      </c>
      <c r="Y716" s="28">
        <f t="shared" si="55"/>
        <v>0</v>
      </c>
      <c r="Z716" s="28">
        <f t="shared" si="56"/>
        <v>0</v>
      </c>
      <c r="AA716" s="4"/>
      <c r="AB716" s="4"/>
      <c r="AC716">
        <f t="shared" si="57"/>
        <v>2</v>
      </c>
    </row>
    <row r="717" spans="1:29" ht="42" x14ac:dyDescent="0.3">
      <c r="A717" s="7" t="s">
        <v>46</v>
      </c>
      <c r="B717" s="6">
        <v>704</v>
      </c>
      <c r="C717" s="7" t="s">
        <v>2877</v>
      </c>
      <c r="D717" s="7" t="s">
        <v>3018</v>
      </c>
      <c r="E717" s="5"/>
      <c r="F717" s="4"/>
      <c r="G717" s="7" t="s">
        <v>3019</v>
      </c>
      <c r="H717" s="5"/>
      <c r="I717" s="5"/>
      <c r="J717" s="21" t="s">
        <v>3020</v>
      </c>
      <c r="K717" s="7" t="s">
        <v>24</v>
      </c>
      <c r="L717" s="7" t="s">
        <v>3021</v>
      </c>
      <c r="M717" s="114">
        <v>1040312692</v>
      </c>
      <c r="N717" s="111"/>
      <c r="O717" s="114">
        <v>7500000</v>
      </c>
      <c r="P717" s="110"/>
      <c r="Q717" s="109">
        <f t="shared" si="53"/>
        <v>1047812692</v>
      </c>
      <c r="R717" s="14">
        <v>1040312692</v>
      </c>
      <c r="S717" s="5"/>
      <c r="T717" s="30">
        <v>7500000</v>
      </c>
      <c r="U717" s="5"/>
      <c r="V717" s="5"/>
      <c r="W717" s="28"/>
      <c r="X717" s="28">
        <f t="shared" si="58"/>
        <v>0</v>
      </c>
      <c r="Y717" s="28">
        <f t="shared" si="55"/>
        <v>0</v>
      </c>
      <c r="Z717" s="28">
        <f t="shared" si="56"/>
        <v>0</v>
      </c>
      <c r="AA717" s="4"/>
      <c r="AB717" s="4"/>
      <c r="AC717">
        <f t="shared" si="57"/>
        <v>2</v>
      </c>
    </row>
    <row r="718" spans="1:29" ht="31.2" x14ac:dyDescent="0.3">
      <c r="A718" s="7" t="s">
        <v>46</v>
      </c>
      <c r="B718" s="6">
        <v>705</v>
      </c>
      <c r="C718" s="7" t="s">
        <v>2877</v>
      </c>
      <c r="D718" s="7" t="s">
        <v>3022</v>
      </c>
      <c r="E718" s="5"/>
      <c r="F718" s="4"/>
      <c r="G718" s="7" t="s">
        <v>3023</v>
      </c>
      <c r="H718" s="7" t="s">
        <v>728</v>
      </c>
      <c r="I718" s="5"/>
      <c r="J718" s="46" t="s">
        <v>3024</v>
      </c>
      <c r="K718" s="7" t="s">
        <v>24</v>
      </c>
      <c r="L718" s="7" t="s">
        <v>3025</v>
      </c>
      <c r="M718" s="114">
        <v>810543033</v>
      </c>
      <c r="N718" s="111"/>
      <c r="O718" s="114">
        <v>15000000</v>
      </c>
      <c r="P718" s="110"/>
      <c r="Q718" s="109">
        <f t="shared" ref="Q718:Q781" si="59">M718+N718+O718+P718</f>
        <v>825543033</v>
      </c>
      <c r="R718" s="14">
        <v>810543033</v>
      </c>
      <c r="S718" s="5"/>
      <c r="T718" s="30">
        <v>15000000</v>
      </c>
      <c r="U718" s="5"/>
      <c r="V718" s="5"/>
      <c r="W718" s="28"/>
      <c r="X718" s="28">
        <f t="shared" ref="X718:X781" si="60">N718-S718</f>
        <v>0</v>
      </c>
      <c r="Y718" s="28">
        <f t="shared" ref="Y718:Y781" si="61">O718-T718</f>
        <v>0</v>
      </c>
      <c r="Z718" s="28">
        <f t="shared" ref="Z718:Z781" si="62">P718-U718</f>
        <v>0</v>
      </c>
      <c r="AA718" s="4"/>
      <c r="AB718" s="4"/>
      <c r="AC718">
        <f t="shared" ref="AC718:AC781" si="63">IF(AB718=G718,1,2)</f>
        <v>2</v>
      </c>
    </row>
    <row r="719" spans="1:29" ht="42" x14ac:dyDescent="0.3">
      <c r="A719" s="7" t="s">
        <v>46</v>
      </c>
      <c r="B719" s="6">
        <v>706</v>
      </c>
      <c r="C719" s="7" t="s">
        <v>2877</v>
      </c>
      <c r="D719" s="7" t="s">
        <v>3026</v>
      </c>
      <c r="E719" s="5"/>
      <c r="F719" s="4"/>
      <c r="G719" s="7" t="s">
        <v>3027</v>
      </c>
      <c r="H719" s="5"/>
      <c r="I719" s="5"/>
      <c r="J719" s="21" t="s">
        <v>3028</v>
      </c>
      <c r="K719" s="7" t="s">
        <v>24</v>
      </c>
      <c r="L719" s="7" t="s">
        <v>3029</v>
      </c>
      <c r="M719" s="114">
        <v>332579306</v>
      </c>
      <c r="N719" s="111"/>
      <c r="O719" s="114">
        <v>7500000</v>
      </c>
      <c r="P719" s="110"/>
      <c r="Q719" s="109">
        <f t="shared" si="59"/>
        <v>340079306</v>
      </c>
      <c r="R719" s="14">
        <v>332579306</v>
      </c>
      <c r="S719" s="5"/>
      <c r="T719" s="33">
        <v>7500000</v>
      </c>
      <c r="U719" s="5"/>
      <c r="V719" s="5"/>
      <c r="W719" s="28"/>
      <c r="X719" s="28">
        <f t="shared" si="60"/>
        <v>0</v>
      </c>
      <c r="Y719" s="28">
        <f t="shared" si="61"/>
        <v>0</v>
      </c>
      <c r="Z719" s="28">
        <f t="shared" si="62"/>
        <v>0</v>
      </c>
      <c r="AA719" s="4"/>
      <c r="AB719" s="4"/>
      <c r="AC719">
        <f t="shared" si="63"/>
        <v>2</v>
      </c>
    </row>
    <row r="720" spans="1:29" ht="46.8" x14ac:dyDescent="0.3">
      <c r="A720" s="7" t="s">
        <v>46</v>
      </c>
      <c r="B720" s="6">
        <v>707</v>
      </c>
      <c r="C720" s="7" t="s">
        <v>2877</v>
      </c>
      <c r="D720" s="7" t="s">
        <v>3030</v>
      </c>
      <c r="E720" s="5"/>
      <c r="F720" s="4"/>
      <c r="G720" s="7" t="s">
        <v>3031</v>
      </c>
      <c r="H720" s="5"/>
      <c r="I720" s="5"/>
      <c r="J720" s="21" t="s">
        <v>3032</v>
      </c>
      <c r="K720" s="7" t="s">
        <v>24</v>
      </c>
      <c r="L720" s="7" t="s">
        <v>3033</v>
      </c>
      <c r="M720" s="114">
        <v>72618840</v>
      </c>
      <c r="N720" s="111"/>
      <c r="O720" s="114">
        <v>7500000</v>
      </c>
      <c r="P720" s="110"/>
      <c r="Q720" s="109">
        <f t="shared" si="59"/>
        <v>80118840</v>
      </c>
      <c r="R720" s="14">
        <v>72618840</v>
      </c>
      <c r="S720" s="5"/>
      <c r="T720" s="30">
        <v>7500000</v>
      </c>
      <c r="U720" s="5"/>
      <c r="V720" s="5"/>
      <c r="W720" s="28"/>
      <c r="X720" s="28">
        <f t="shared" si="60"/>
        <v>0</v>
      </c>
      <c r="Y720" s="28">
        <f t="shared" si="61"/>
        <v>0</v>
      </c>
      <c r="Z720" s="28">
        <f t="shared" si="62"/>
        <v>0</v>
      </c>
      <c r="AA720" s="4"/>
      <c r="AB720" s="4"/>
      <c r="AC720">
        <f t="shared" si="63"/>
        <v>2</v>
      </c>
    </row>
    <row r="721" spans="1:30" ht="46.8" x14ac:dyDescent="0.3">
      <c r="A721" s="7" t="s">
        <v>46</v>
      </c>
      <c r="B721" s="6">
        <v>708</v>
      </c>
      <c r="C721" s="7" t="s">
        <v>2877</v>
      </c>
      <c r="D721" s="7" t="s">
        <v>3034</v>
      </c>
      <c r="E721" s="5"/>
      <c r="F721" s="40" t="s">
        <v>2139</v>
      </c>
      <c r="G721" s="7" t="s">
        <v>3035</v>
      </c>
      <c r="H721" s="7" t="s">
        <v>27</v>
      </c>
      <c r="I721" s="5"/>
      <c r="J721" s="21" t="s">
        <v>3036</v>
      </c>
      <c r="K721" s="7" t="s">
        <v>24</v>
      </c>
      <c r="L721" s="7" t="s">
        <v>3037</v>
      </c>
      <c r="M721" s="114">
        <v>2877293872</v>
      </c>
      <c r="N721" s="111"/>
      <c r="O721" s="114">
        <v>15000000</v>
      </c>
      <c r="P721" s="112">
        <v>32000000</v>
      </c>
      <c r="Q721" s="109">
        <f t="shared" si="59"/>
        <v>2924293872</v>
      </c>
      <c r="R721" s="14">
        <v>2877293872</v>
      </c>
      <c r="S721" s="5"/>
      <c r="T721" s="30">
        <v>15000000</v>
      </c>
      <c r="U721" s="14">
        <v>32000000</v>
      </c>
      <c r="V721" s="5"/>
      <c r="W721" s="28"/>
      <c r="X721" s="28">
        <f t="shared" si="60"/>
        <v>0</v>
      </c>
      <c r="Y721" s="28">
        <f t="shared" si="61"/>
        <v>0</v>
      </c>
      <c r="Z721" s="28">
        <f t="shared" si="62"/>
        <v>0</v>
      </c>
      <c r="AA721" s="4"/>
      <c r="AB721" s="4"/>
      <c r="AC721">
        <f t="shared" si="63"/>
        <v>2</v>
      </c>
    </row>
    <row r="722" spans="1:30" ht="31.2" x14ac:dyDescent="0.3">
      <c r="A722" s="7" t="s">
        <v>46</v>
      </c>
      <c r="B722" s="6">
        <v>709</v>
      </c>
      <c r="C722" s="7" t="s">
        <v>2877</v>
      </c>
      <c r="D722" s="7" t="s">
        <v>3038</v>
      </c>
      <c r="E722" s="5"/>
      <c r="F722" s="4"/>
      <c r="G722" s="7" t="s">
        <v>3039</v>
      </c>
      <c r="H722" s="7" t="s">
        <v>3040</v>
      </c>
      <c r="I722" s="5"/>
      <c r="J722" s="21" t="s">
        <v>3041</v>
      </c>
      <c r="K722" s="7" t="s">
        <v>24</v>
      </c>
      <c r="L722" s="7" t="s">
        <v>2524</v>
      </c>
      <c r="M722" s="114">
        <v>3969631000</v>
      </c>
      <c r="N722" s="111"/>
      <c r="O722" s="114">
        <v>15000000</v>
      </c>
      <c r="P722" s="110"/>
      <c r="Q722" s="109">
        <f t="shared" si="59"/>
        <v>3984631000</v>
      </c>
      <c r="R722" s="14">
        <v>3969631000</v>
      </c>
      <c r="S722" s="5"/>
      <c r="T722" s="30">
        <v>15000000</v>
      </c>
      <c r="U722" s="5"/>
      <c r="V722" s="5"/>
      <c r="W722" s="28"/>
      <c r="X722" s="28">
        <f t="shared" si="60"/>
        <v>0</v>
      </c>
      <c r="Y722" s="28">
        <f t="shared" si="61"/>
        <v>0</v>
      </c>
      <c r="Z722" s="28">
        <f t="shared" si="62"/>
        <v>0</v>
      </c>
      <c r="AA722" s="4"/>
      <c r="AB722" s="4"/>
      <c r="AC722">
        <f t="shared" si="63"/>
        <v>2</v>
      </c>
    </row>
    <row r="723" spans="1:30" ht="42" x14ac:dyDescent="0.3">
      <c r="A723" s="7" t="s">
        <v>18</v>
      </c>
      <c r="B723" s="6">
        <v>710</v>
      </c>
      <c r="C723" s="7" t="s">
        <v>2877</v>
      </c>
      <c r="D723" s="7" t="s">
        <v>3042</v>
      </c>
      <c r="E723" s="5"/>
      <c r="F723" s="40" t="s">
        <v>691</v>
      </c>
      <c r="G723" s="7" t="s">
        <v>3043</v>
      </c>
      <c r="H723" s="7" t="s">
        <v>681</v>
      </c>
      <c r="I723" s="5"/>
      <c r="J723" s="21" t="s">
        <v>3044</v>
      </c>
      <c r="K723" s="7" t="s">
        <v>24</v>
      </c>
      <c r="L723" s="7" t="s">
        <v>3045</v>
      </c>
      <c r="M723" s="114">
        <v>770926012</v>
      </c>
      <c r="N723" s="111"/>
      <c r="O723" s="114">
        <v>15000000</v>
      </c>
      <c r="P723" s="112">
        <v>17866669</v>
      </c>
      <c r="Q723" s="109">
        <f t="shared" si="59"/>
        <v>803792681</v>
      </c>
      <c r="R723" s="14">
        <v>770926012</v>
      </c>
      <c r="S723" s="5"/>
      <c r="T723" s="30">
        <v>15000000</v>
      </c>
      <c r="U723" s="14">
        <v>17866669</v>
      </c>
      <c r="V723" s="5"/>
      <c r="W723" s="28"/>
      <c r="X723" s="28">
        <f t="shared" si="60"/>
        <v>0</v>
      </c>
      <c r="Y723" s="28">
        <f t="shared" si="61"/>
        <v>0</v>
      </c>
      <c r="Z723" s="28">
        <f t="shared" si="62"/>
        <v>0</v>
      </c>
      <c r="AA723" s="4"/>
      <c r="AB723" s="4"/>
      <c r="AC723">
        <f t="shared" si="63"/>
        <v>2</v>
      </c>
    </row>
    <row r="724" spans="1:30" ht="62.4" customHeight="1" x14ac:dyDescent="0.3">
      <c r="A724" s="7" t="s">
        <v>62</v>
      </c>
      <c r="B724" s="6">
        <v>711</v>
      </c>
      <c r="C724" s="7" t="s">
        <v>2877</v>
      </c>
      <c r="D724" s="7" t="s">
        <v>3046</v>
      </c>
      <c r="E724" s="5"/>
      <c r="F724" s="40" t="s">
        <v>3047</v>
      </c>
      <c r="G724" s="7" t="s">
        <v>3048</v>
      </c>
      <c r="H724" s="5"/>
      <c r="I724" s="5"/>
      <c r="J724" s="21" t="s">
        <v>3049</v>
      </c>
      <c r="K724" s="7" t="s">
        <v>24</v>
      </c>
      <c r="L724" s="7" t="s">
        <v>3050</v>
      </c>
      <c r="M724" s="114">
        <v>1080696928</v>
      </c>
      <c r="N724" s="111"/>
      <c r="O724" s="114">
        <v>15000000</v>
      </c>
      <c r="P724" s="112">
        <v>120000000</v>
      </c>
      <c r="Q724" s="109">
        <f t="shared" si="59"/>
        <v>1215696928</v>
      </c>
      <c r="R724" s="14">
        <v>1080696928</v>
      </c>
      <c r="S724" s="5"/>
      <c r="T724" s="33">
        <v>15000000</v>
      </c>
      <c r="U724" s="14">
        <v>120000000</v>
      </c>
      <c r="V724" s="5"/>
      <c r="W724" s="28"/>
      <c r="X724" s="28">
        <f t="shared" si="60"/>
        <v>0</v>
      </c>
      <c r="Y724" s="28">
        <f t="shared" si="61"/>
        <v>0</v>
      </c>
      <c r="Z724" s="28">
        <f t="shared" si="62"/>
        <v>0</v>
      </c>
      <c r="AA724" s="4"/>
      <c r="AB724" s="4"/>
      <c r="AC724">
        <f t="shared" si="63"/>
        <v>2</v>
      </c>
    </row>
    <row r="725" spans="1:30" ht="63" x14ac:dyDescent="0.3">
      <c r="A725" s="7" t="s">
        <v>62</v>
      </c>
      <c r="B725" s="6">
        <v>712</v>
      </c>
      <c r="C725" s="7" t="s">
        <v>2877</v>
      </c>
      <c r="D725" s="7" t="s">
        <v>3051</v>
      </c>
      <c r="E725" s="7" t="s">
        <v>3052</v>
      </c>
      <c r="F725" s="4"/>
      <c r="G725" s="7" t="s">
        <v>3053</v>
      </c>
      <c r="H725" s="7" t="s">
        <v>3054</v>
      </c>
      <c r="I725" s="5"/>
      <c r="J725" s="21" t="s">
        <v>3055</v>
      </c>
      <c r="K725" s="7" t="s">
        <v>24</v>
      </c>
      <c r="L725" s="7" t="s">
        <v>2856</v>
      </c>
      <c r="M725" s="114">
        <v>560918363</v>
      </c>
      <c r="N725" s="114">
        <v>113902001</v>
      </c>
      <c r="O725" s="114">
        <v>15000000</v>
      </c>
      <c r="P725" s="110"/>
      <c r="Q725" s="109">
        <f t="shared" si="59"/>
        <v>689820364</v>
      </c>
      <c r="R725" s="14">
        <v>560918363</v>
      </c>
      <c r="S725" s="14">
        <v>113902001</v>
      </c>
      <c r="T725" s="33">
        <v>15000000</v>
      </c>
      <c r="U725" s="5"/>
      <c r="V725" s="5"/>
      <c r="W725" s="28"/>
      <c r="X725" s="28">
        <f t="shared" si="60"/>
        <v>0</v>
      </c>
      <c r="Y725" s="28">
        <f t="shared" si="61"/>
        <v>0</v>
      </c>
      <c r="Z725" s="28">
        <f t="shared" si="62"/>
        <v>0</v>
      </c>
      <c r="AA725" s="4"/>
      <c r="AB725" s="4"/>
      <c r="AC725">
        <f t="shared" si="63"/>
        <v>2</v>
      </c>
    </row>
    <row r="726" spans="1:30" ht="42" x14ac:dyDescent="0.3">
      <c r="A726" s="7" t="s">
        <v>62</v>
      </c>
      <c r="B726" s="6">
        <v>713</v>
      </c>
      <c r="C726" s="7" t="s">
        <v>2877</v>
      </c>
      <c r="D726" s="7" t="s">
        <v>3056</v>
      </c>
      <c r="E726" s="7" t="s">
        <v>3057</v>
      </c>
      <c r="F726" s="4"/>
      <c r="G726" s="7" t="s">
        <v>3058</v>
      </c>
      <c r="H726" s="7" t="s">
        <v>3059</v>
      </c>
      <c r="I726" s="5"/>
      <c r="J726" s="21" t="s">
        <v>3060</v>
      </c>
      <c r="K726" s="7" t="s">
        <v>24</v>
      </c>
      <c r="L726" s="7" t="s">
        <v>3061</v>
      </c>
      <c r="M726" s="114">
        <v>905632360</v>
      </c>
      <c r="N726" s="114">
        <v>164705380</v>
      </c>
      <c r="O726" s="114">
        <v>15000000</v>
      </c>
      <c r="P726" s="110"/>
      <c r="Q726" s="109">
        <f t="shared" si="59"/>
        <v>1085337740</v>
      </c>
      <c r="R726" s="14">
        <v>905632360</v>
      </c>
      <c r="S726" s="14">
        <v>164705380</v>
      </c>
      <c r="T726" s="33">
        <v>15000000</v>
      </c>
      <c r="U726" s="5"/>
      <c r="V726" s="5"/>
      <c r="W726" s="28"/>
      <c r="X726" s="28">
        <f t="shared" si="60"/>
        <v>0</v>
      </c>
      <c r="Y726" s="28">
        <f t="shared" si="61"/>
        <v>0</v>
      </c>
      <c r="Z726" s="28">
        <f t="shared" si="62"/>
        <v>0</v>
      </c>
      <c r="AA726" s="4"/>
      <c r="AB726" s="4"/>
      <c r="AC726">
        <f t="shared" si="63"/>
        <v>2</v>
      </c>
    </row>
    <row r="727" spans="1:30" ht="31.2" x14ac:dyDescent="0.3">
      <c r="A727" s="7" t="s">
        <v>46</v>
      </c>
      <c r="B727" s="6">
        <v>714</v>
      </c>
      <c r="C727" s="7" t="s">
        <v>2877</v>
      </c>
      <c r="D727" s="7" t="s">
        <v>3062</v>
      </c>
      <c r="E727" s="7" t="s">
        <v>3063</v>
      </c>
      <c r="F727" s="4"/>
      <c r="G727" s="7" t="s">
        <v>3064</v>
      </c>
      <c r="H727" s="7" t="s">
        <v>3065</v>
      </c>
      <c r="I727" s="5"/>
      <c r="J727" s="7" t="s">
        <v>3066</v>
      </c>
      <c r="K727" s="7" t="s">
        <v>24</v>
      </c>
      <c r="L727" s="7" t="s">
        <v>3067</v>
      </c>
      <c r="M727" s="109">
        <v>366299104</v>
      </c>
      <c r="N727" s="109">
        <v>60646656</v>
      </c>
      <c r="O727" s="114">
        <v>15000000</v>
      </c>
      <c r="P727" s="110"/>
      <c r="Q727" s="109">
        <f t="shared" si="59"/>
        <v>441945760</v>
      </c>
      <c r="R727" s="14">
        <v>366299104</v>
      </c>
      <c r="S727" s="7"/>
      <c r="T727" s="30">
        <v>15000000</v>
      </c>
      <c r="U727" s="5"/>
      <c r="V727" s="5"/>
      <c r="W727" s="28"/>
      <c r="X727" s="36">
        <f t="shared" si="60"/>
        <v>60646656</v>
      </c>
      <c r="Y727" s="28">
        <f t="shared" si="61"/>
        <v>0</v>
      </c>
      <c r="Z727" s="28">
        <f t="shared" si="62"/>
        <v>0</v>
      </c>
      <c r="AA727" s="40"/>
      <c r="AB727" s="40"/>
      <c r="AC727" s="61">
        <f t="shared" si="63"/>
        <v>2</v>
      </c>
      <c r="AD727" s="61"/>
    </row>
    <row r="728" spans="1:30" ht="46.8" x14ac:dyDescent="0.3">
      <c r="A728" s="7" t="s">
        <v>46</v>
      </c>
      <c r="B728" s="6">
        <v>715</v>
      </c>
      <c r="C728" s="7" t="s">
        <v>2877</v>
      </c>
      <c r="D728" s="7" t="s">
        <v>3068</v>
      </c>
      <c r="E728" s="5"/>
      <c r="F728" s="4"/>
      <c r="G728" s="7" t="s">
        <v>3069</v>
      </c>
      <c r="H728" s="5"/>
      <c r="I728" s="5"/>
      <c r="J728" s="21" t="s">
        <v>3070</v>
      </c>
      <c r="K728" s="7" t="s">
        <v>24</v>
      </c>
      <c r="L728" s="7" t="s">
        <v>3071</v>
      </c>
      <c r="M728" s="114">
        <v>4243700000</v>
      </c>
      <c r="N728" s="111"/>
      <c r="O728" s="114">
        <v>15000000</v>
      </c>
      <c r="P728" s="110"/>
      <c r="Q728" s="109">
        <f t="shared" si="59"/>
        <v>4258700000</v>
      </c>
      <c r="R728" s="14">
        <v>4243700000</v>
      </c>
      <c r="S728" s="5"/>
      <c r="T728" s="30">
        <v>15000000</v>
      </c>
      <c r="U728" s="5"/>
      <c r="V728" s="5"/>
      <c r="W728" s="28"/>
      <c r="X728" s="28">
        <f t="shared" si="60"/>
        <v>0</v>
      </c>
      <c r="Y728" s="28">
        <f t="shared" si="61"/>
        <v>0</v>
      </c>
      <c r="Z728" s="28">
        <f t="shared" si="62"/>
        <v>0</v>
      </c>
      <c r="AA728" s="4"/>
      <c r="AB728" s="4"/>
      <c r="AC728">
        <f t="shared" si="63"/>
        <v>2</v>
      </c>
    </row>
    <row r="729" spans="1:30" ht="46.8" x14ac:dyDescent="0.3">
      <c r="A729" s="7" t="s">
        <v>46</v>
      </c>
      <c r="B729" s="6">
        <v>716</v>
      </c>
      <c r="C729" s="7" t="s">
        <v>2877</v>
      </c>
      <c r="D729" s="7" t="s">
        <v>3072</v>
      </c>
      <c r="E729" s="7" t="s">
        <v>3073</v>
      </c>
      <c r="F729" s="4"/>
      <c r="G729" s="7" t="s">
        <v>3074</v>
      </c>
      <c r="H729" s="7" t="s">
        <v>3075</v>
      </c>
      <c r="I729" s="5"/>
      <c r="J729" s="21" t="s">
        <v>3070</v>
      </c>
      <c r="K729" s="7" t="s">
        <v>24</v>
      </c>
      <c r="L729" s="7" t="s">
        <v>3076</v>
      </c>
      <c r="M729" s="114">
        <v>2565803620</v>
      </c>
      <c r="N729" s="109">
        <v>861892128</v>
      </c>
      <c r="O729" s="114">
        <v>15000000</v>
      </c>
      <c r="P729" s="110"/>
      <c r="Q729" s="109">
        <f t="shared" si="59"/>
        <v>3442695748</v>
      </c>
      <c r="R729" s="14">
        <v>2565803620</v>
      </c>
      <c r="S729" s="14">
        <v>861892128</v>
      </c>
      <c r="T729" s="30">
        <v>15000000</v>
      </c>
      <c r="U729" s="5"/>
      <c r="V729" s="5"/>
      <c r="W729" s="28"/>
      <c r="X729" s="28">
        <f t="shared" si="60"/>
        <v>0</v>
      </c>
      <c r="Y729" s="28">
        <f t="shared" si="61"/>
        <v>0</v>
      </c>
      <c r="Z729" s="28">
        <f t="shared" si="62"/>
        <v>0</v>
      </c>
      <c r="AA729" s="4"/>
      <c r="AB729" s="4"/>
      <c r="AC729">
        <f t="shared" si="63"/>
        <v>2</v>
      </c>
    </row>
    <row r="730" spans="1:30" ht="62.4" customHeight="1" x14ac:dyDescent="0.3">
      <c r="A730" s="7" t="s">
        <v>1601</v>
      </c>
      <c r="B730" s="6">
        <v>717</v>
      </c>
      <c r="C730" s="7" t="s">
        <v>2877</v>
      </c>
      <c r="D730" s="7" t="s">
        <v>3077</v>
      </c>
      <c r="E730" s="7" t="s">
        <v>3079</v>
      </c>
      <c r="F730" s="40" t="s">
        <v>3078</v>
      </c>
      <c r="G730" s="7" t="s">
        <v>3080</v>
      </c>
      <c r="H730" s="7" t="s">
        <v>3081</v>
      </c>
      <c r="I730" s="5"/>
      <c r="J730" s="21" t="s">
        <v>3082</v>
      </c>
      <c r="K730" s="7" t="s">
        <v>24</v>
      </c>
      <c r="L730" s="7" t="s">
        <v>3083</v>
      </c>
      <c r="M730" s="114">
        <v>1085076464</v>
      </c>
      <c r="N730" s="114">
        <v>254396436</v>
      </c>
      <c r="O730" s="114">
        <v>15000000</v>
      </c>
      <c r="P730" s="112">
        <v>72000000</v>
      </c>
      <c r="Q730" s="109">
        <f t="shared" si="59"/>
        <v>1426472900</v>
      </c>
      <c r="R730" s="36">
        <v>1085076464</v>
      </c>
      <c r="S730" s="3">
        <v>254396436</v>
      </c>
      <c r="T730" s="30">
        <v>15000000</v>
      </c>
      <c r="U730" s="3">
        <v>72000000</v>
      </c>
      <c r="V730" s="5"/>
      <c r="W730" s="28"/>
      <c r="X730" s="28">
        <f t="shared" si="60"/>
        <v>0</v>
      </c>
      <c r="Y730" s="28">
        <f t="shared" si="61"/>
        <v>0</v>
      </c>
      <c r="Z730" s="28">
        <f t="shared" si="62"/>
        <v>0</v>
      </c>
      <c r="AA730" s="4"/>
      <c r="AB730" s="4"/>
      <c r="AC730">
        <f t="shared" si="63"/>
        <v>2</v>
      </c>
    </row>
    <row r="731" spans="1:30" ht="42" x14ac:dyDescent="0.3">
      <c r="A731" s="7" t="s">
        <v>46</v>
      </c>
      <c r="B731" s="6">
        <v>718</v>
      </c>
      <c r="C731" s="7" t="s">
        <v>2877</v>
      </c>
      <c r="D731" s="7" t="s">
        <v>3084</v>
      </c>
      <c r="E731" s="5"/>
      <c r="F731" s="4"/>
      <c r="G731" s="7" t="s">
        <v>3085</v>
      </c>
      <c r="H731" s="5"/>
      <c r="I731" s="5"/>
      <c r="J731" s="21" t="s">
        <v>3086</v>
      </c>
      <c r="K731" s="7" t="s">
        <v>24</v>
      </c>
      <c r="L731" s="7" t="s">
        <v>3087</v>
      </c>
      <c r="M731" s="114">
        <v>6447053210</v>
      </c>
      <c r="N731" s="111"/>
      <c r="O731" s="114">
        <v>7500000</v>
      </c>
      <c r="P731" s="110"/>
      <c r="Q731" s="109">
        <f t="shared" si="59"/>
        <v>6454553210</v>
      </c>
      <c r="R731" s="14">
        <v>6447053210</v>
      </c>
      <c r="S731" s="5"/>
      <c r="T731" s="33">
        <v>7500000</v>
      </c>
      <c r="U731" s="5"/>
      <c r="V731" s="5"/>
      <c r="W731" s="28"/>
      <c r="X731" s="28">
        <f t="shared" si="60"/>
        <v>0</v>
      </c>
      <c r="Y731" s="28">
        <f t="shared" si="61"/>
        <v>0</v>
      </c>
      <c r="Z731" s="28">
        <f t="shared" si="62"/>
        <v>0</v>
      </c>
      <c r="AA731" s="4"/>
      <c r="AB731" s="4"/>
      <c r="AC731">
        <f t="shared" si="63"/>
        <v>2</v>
      </c>
    </row>
    <row r="732" spans="1:30" ht="62.4" customHeight="1" x14ac:dyDescent="0.3">
      <c r="A732" s="7" t="s">
        <v>18</v>
      </c>
      <c r="B732" s="6">
        <v>719</v>
      </c>
      <c r="C732" s="7" t="s">
        <v>2877</v>
      </c>
      <c r="D732" s="7" t="s">
        <v>3088</v>
      </c>
      <c r="E732" s="5"/>
      <c r="F732" s="40" t="s">
        <v>3089</v>
      </c>
      <c r="G732" s="7" t="s">
        <v>3090</v>
      </c>
      <c r="H732" s="5"/>
      <c r="I732" s="5"/>
      <c r="J732" s="21" t="s">
        <v>3091</v>
      </c>
      <c r="K732" s="7" t="s">
        <v>24</v>
      </c>
      <c r="L732" s="7" t="s">
        <v>3092</v>
      </c>
      <c r="M732" s="114">
        <v>268708240</v>
      </c>
      <c r="N732" s="111"/>
      <c r="O732" s="114">
        <v>15000000</v>
      </c>
      <c r="P732" s="112">
        <v>72000000</v>
      </c>
      <c r="Q732" s="109">
        <f t="shared" si="59"/>
        <v>355708240</v>
      </c>
      <c r="R732" s="14">
        <v>268708240</v>
      </c>
      <c r="S732" s="5"/>
      <c r="T732" s="30">
        <v>15000000</v>
      </c>
      <c r="U732" s="14">
        <v>72000000</v>
      </c>
      <c r="V732" s="5"/>
      <c r="W732" s="28"/>
      <c r="X732" s="28">
        <f t="shared" si="60"/>
        <v>0</v>
      </c>
      <c r="Y732" s="28">
        <f t="shared" si="61"/>
        <v>0</v>
      </c>
      <c r="Z732" s="28">
        <f t="shared" si="62"/>
        <v>0</v>
      </c>
      <c r="AA732" s="4"/>
      <c r="AB732" s="4"/>
      <c r="AC732">
        <f t="shared" si="63"/>
        <v>2</v>
      </c>
    </row>
    <row r="733" spans="1:30" ht="31.2" x14ac:dyDescent="0.4">
      <c r="A733" s="7" t="s">
        <v>62</v>
      </c>
      <c r="B733" s="6">
        <v>720</v>
      </c>
      <c r="C733" s="7" t="s">
        <v>2877</v>
      </c>
      <c r="D733" s="7" t="s">
        <v>3093</v>
      </c>
      <c r="E733" s="7"/>
      <c r="F733" s="4"/>
      <c r="G733" s="7" t="s">
        <v>3094</v>
      </c>
      <c r="H733" s="7"/>
      <c r="I733" s="7"/>
      <c r="J733" s="7" t="s">
        <v>3095</v>
      </c>
      <c r="K733" s="7" t="s">
        <v>24</v>
      </c>
      <c r="L733" s="7" t="s">
        <v>3096</v>
      </c>
      <c r="M733" s="114">
        <v>1242447888</v>
      </c>
      <c r="N733" s="111"/>
      <c r="O733" s="109">
        <v>7500000</v>
      </c>
      <c r="P733" s="110"/>
      <c r="Q733" s="109">
        <f t="shared" si="59"/>
        <v>1249947888</v>
      </c>
      <c r="R733" s="5"/>
      <c r="S733" s="5"/>
      <c r="T733" s="72"/>
      <c r="U733" s="5"/>
      <c r="V733" s="5"/>
      <c r="W733" s="28">
        <v>1242447888</v>
      </c>
      <c r="X733" s="28">
        <f t="shared" si="60"/>
        <v>0</v>
      </c>
      <c r="Y733" s="36">
        <f t="shared" si="61"/>
        <v>7500000</v>
      </c>
      <c r="Z733" s="28">
        <f t="shared" si="62"/>
        <v>0</v>
      </c>
      <c r="AA733" s="16">
        <v>1242447888</v>
      </c>
      <c r="AB733" s="40"/>
      <c r="AC733" s="121">
        <f t="shared" si="63"/>
        <v>2</v>
      </c>
      <c r="AD733" s="121"/>
    </row>
    <row r="734" spans="1:30" ht="62.4" x14ac:dyDescent="0.3">
      <c r="A734" s="7" t="s">
        <v>46</v>
      </c>
      <c r="B734" s="6">
        <v>721</v>
      </c>
      <c r="C734" s="7" t="s">
        <v>2877</v>
      </c>
      <c r="D734" s="7" t="s">
        <v>3097</v>
      </c>
      <c r="E734" s="7" t="s">
        <v>3098</v>
      </c>
      <c r="F734" s="4"/>
      <c r="G734" s="7" t="s">
        <v>3099</v>
      </c>
      <c r="H734" s="7" t="s">
        <v>3100</v>
      </c>
      <c r="I734" s="5"/>
      <c r="J734" s="21" t="s">
        <v>3101</v>
      </c>
      <c r="K734" s="7" t="s">
        <v>24</v>
      </c>
      <c r="L734" s="7" t="s">
        <v>2856</v>
      </c>
      <c r="M734" s="114">
        <v>505786413</v>
      </c>
      <c r="N734" s="114">
        <v>205440547</v>
      </c>
      <c r="O734" s="114">
        <v>15000000</v>
      </c>
      <c r="P734" s="110"/>
      <c r="Q734" s="109">
        <f t="shared" si="59"/>
        <v>726226960</v>
      </c>
      <c r="R734" s="14">
        <v>505786413</v>
      </c>
      <c r="S734" s="14">
        <v>205440547</v>
      </c>
      <c r="T734" s="30">
        <v>15000000</v>
      </c>
      <c r="U734" s="5"/>
      <c r="V734" s="5"/>
      <c r="W734" s="28"/>
      <c r="X734" s="28">
        <f t="shared" si="60"/>
        <v>0</v>
      </c>
      <c r="Y734" s="28">
        <f t="shared" si="61"/>
        <v>0</v>
      </c>
      <c r="Z734" s="28">
        <f t="shared" si="62"/>
        <v>0</v>
      </c>
      <c r="AA734" s="4"/>
      <c r="AB734" s="4"/>
      <c r="AC734">
        <f t="shared" si="63"/>
        <v>2</v>
      </c>
    </row>
    <row r="735" spans="1:30" ht="42" x14ac:dyDescent="0.3">
      <c r="A735" s="7" t="s">
        <v>62</v>
      </c>
      <c r="B735" s="6">
        <v>722</v>
      </c>
      <c r="C735" s="7" t="s">
        <v>2877</v>
      </c>
      <c r="D735" s="7" t="s">
        <v>3102</v>
      </c>
      <c r="E735" s="5"/>
      <c r="F735" s="4"/>
      <c r="G735" s="7" t="s">
        <v>3103</v>
      </c>
      <c r="H735" s="5"/>
      <c r="I735" s="5"/>
      <c r="J735" s="21" t="s">
        <v>3104</v>
      </c>
      <c r="K735" s="7" t="s">
        <v>24</v>
      </c>
      <c r="L735" s="7" t="s">
        <v>3105</v>
      </c>
      <c r="M735" s="114">
        <v>5071257372</v>
      </c>
      <c r="N735" s="111"/>
      <c r="O735" s="114">
        <v>7500000</v>
      </c>
      <c r="P735" s="110"/>
      <c r="Q735" s="109">
        <f t="shared" si="59"/>
        <v>5078757372</v>
      </c>
      <c r="R735" s="14">
        <v>5071257372</v>
      </c>
      <c r="S735" s="5"/>
      <c r="T735" s="30">
        <v>7500000</v>
      </c>
      <c r="U735" s="5"/>
      <c r="V735" s="5"/>
      <c r="W735" s="28"/>
      <c r="X735" s="28">
        <f t="shared" si="60"/>
        <v>0</v>
      </c>
      <c r="Y735" s="28">
        <f t="shared" si="61"/>
        <v>0</v>
      </c>
      <c r="Z735" s="28">
        <f t="shared" si="62"/>
        <v>0</v>
      </c>
      <c r="AA735" s="4"/>
      <c r="AB735" s="4"/>
      <c r="AC735">
        <f t="shared" si="63"/>
        <v>2</v>
      </c>
    </row>
    <row r="736" spans="1:30" ht="42" x14ac:dyDescent="0.3">
      <c r="A736" s="7" t="s">
        <v>18</v>
      </c>
      <c r="B736" s="6">
        <v>723</v>
      </c>
      <c r="C736" s="7" t="s">
        <v>2877</v>
      </c>
      <c r="D736" s="7" t="s">
        <v>3106</v>
      </c>
      <c r="E736" s="5"/>
      <c r="F736" s="4"/>
      <c r="G736" s="7" t="s">
        <v>3107</v>
      </c>
      <c r="H736" s="5"/>
      <c r="I736" s="5"/>
      <c r="J736" s="21" t="s">
        <v>3108</v>
      </c>
      <c r="K736" s="7" t="s">
        <v>24</v>
      </c>
      <c r="L736" s="7" t="s">
        <v>3109</v>
      </c>
      <c r="M736" s="114">
        <v>835979508</v>
      </c>
      <c r="N736" s="111"/>
      <c r="O736" s="114">
        <v>7500000</v>
      </c>
      <c r="P736" s="110"/>
      <c r="Q736" s="109">
        <f t="shared" si="59"/>
        <v>843479508</v>
      </c>
      <c r="R736" s="14">
        <v>835979508</v>
      </c>
      <c r="S736" s="5"/>
      <c r="T736" s="30">
        <v>7500000</v>
      </c>
      <c r="U736" s="5"/>
      <c r="V736" s="5"/>
      <c r="W736" s="28"/>
      <c r="X736" s="28">
        <f t="shared" si="60"/>
        <v>0</v>
      </c>
      <c r="Y736" s="28">
        <f t="shared" si="61"/>
        <v>0</v>
      </c>
      <c r="Z736" s="28">
        <f t="shared" si="62"/>
        <v>0</v>
      </c>
      <c r="AA736" s="4"/>
      <c r="AB736" s="4"/>
      <c r="AC736">
        <f t="shared" si="63"/>
        <v>2</v>
      </c>
    </row>
    <row r="737" spans="1:30" ht="42" x14ac:dyDescent="0.3">
      <c r="A737" s="7" t="s">
        <v>1601</v>
      </c>
      <c r="B737" s="6">
        <v>724</v>
      </c>
      <c r="C737" s="7" t="s">
        <v>2877</v>
      </c>
      <c r="D737" s="7" t="s">
        <v>3110</v>
      </c>
      <c r="E737" s="5"/>
      <c r="F737" s="4"/>
      <c r="G737" s="7" t="s">
        <v>3111</v>
      </c>
      <c r="H737" s="5"/>
      <c r="I737" s="5"/>
      <c r="J737" s="21" t="s">
        <v>3112</v>
      </c>
      <c r="K737" s="7" t="s">
        <v>24</v>
      </c>
      <c r="L737" s="7" t="s">
        <v>3113</v>
      </c>
      <c r="M737" s="114">
        <v>1687785424</v>
      </c>
      <c r="N737" s="111"/>
      <c r="O737" s="114">
        <v>15000000</v>
      </c>
      <c r="P737" s="110"/>
      <c r="Q737" s="109">
        <f t="shared" si="59"/>
        <v>1702785424</v>
      </c>
      <c r="R737" s="36">
        <v>1687785424</v>
      </c>
      <c r="S737" s="5"/>
      <c r="T737" s="30">
        <v>15000000</v>
      </c>
      <c r="U737" s="5"/>
      <c r="V737" s="5"/>
      <c r="W737" s="28"/>
      <c r="X737" s="28">
        <f t="shared" si="60"/>
        <v>0</v>
      </c>
      <c r="Y737" s="28">
        <f t="shared" si="61"/>
        <v>0</v>
      </c>
      <c r="Z737" s="28">
        <f t="shared" si="62"/>
        <v>0</v>
      </c>
      <c r="AA737" s="4"/>
      <c r="AB737" s="4"/>
      <c r="AC737">
        <f t="shared" si="63"/>
        <v>2</v>
      </c>
    </row>
    <row r="738" spans="1:30" ht="62.4" customHeight="1" x14ac:dyDescent="0.3">
      <c r="A738" s="7" t="s">
        <v>2290</v>
      </c>
      <c r="B738" s="6">
        <v>725</v>
      </c>
      <c r="C738" s="7" t="s">
        <v>2877</v>
      </c>
      <c r="D738" s="7" t="s">
        <v>3114</v>
      </c>
      <c r="E738" s="5"/>
      <c r="F738" s="40" t="s">
        <v>3115</v>
      </c>
      <c r="G738" s="7" t="s">
        <v>3116</v>
      </c>
      <c r="H738" s="5"/>
      <c r="I738" s="5"/>
      <c r="J738" s="21" t="s">
        <v>321</v>
      </c>
      <c r="K738" s="7" t="s">
        <v>24</v>
      </c>
      <c r="L738" s="7" t="s">
        <v>3117</v>
      </c>
      <c r="M738" s="114">
        <v>33238029</v>
      </c>
      <c r="N738" s="111"/>
      <c r="O738" s="114">
        <v>15000000</v>
      </c>
      <c r="P738" s="112">
        <v>108000000</v>
      </c>
      <c r="Q738" s="109">
        <f t="shared" si="59"/>
        <v>156238029</v>
      </c>
      <c r="R738" s="14">
        <v>33238029</v>
      </c>
      <c r="S738" s="5"/>
      <c r="T738" s="33">
        <v>15000000</v>
      </c>
      <c r="U738" s="14">
        <v>108000000</v>
      </c>
      <c r="V738" s="5"/>
      <c r="W738" s="28"/>
      <c r="X738" s="28">
        <f t="shared" si="60"/>
        <v>0</v>
      </c>
      <c r="Y738" s="28">
        <f t="shared" si="61"/>
        <v>0</v>
      </c>
      <c r="Z738" s="28">
        <f t="shared" si="62"/>
        <v>0</v>
      </c>
      <c r="AA738" s="4"/>
      <c r="AB738" s="4"/>
      <c r="AC738">
        <f t="shared" si="63"/>
        <v>2</v>
      </c>
    </row>
    <row r="739" spans="1:30" ht="62.4" customHeight="1" x14ac:dyDescent="0.3">
      <c r="A739" s="7" t="s">
        <v>2290</v>
      </c>
      <c r="B739" s="6">
        <v>726</v>
      </c>
      <c r="C739" s="7" t="s">
        <v>2877</v>
      </c>
      <c r="D739" s="7" t="s">
        <v>3118</v>
      </c>
      <c r="E739" s="5"/>
      <c r="F739" s="40" t="s">
        <v>3119</v>
      </c>
      <c r="G739" s="7" t="s">
        <v>3120</v>
      </c>
      <c r="H739" s="5"/>
      <c r="I739" s="5"/>
      <c r="J739" s="21" t="s">
        <v>3121</v>
      </c>
      <c r="K739" s="7" t="s">
        <v>24</v>
      </c>
      <c r="L739" s="7" t="s">
        <v>3122</v>
      </c>
      <c r="M739" s="114">
        <v>2218823050</v>
      </c>
      <c r="N739" s="111"/>
      <c r="O739" s="114">
        <v>15000000</v>
      </c>
      <c r="P739" s="112">
        <v>72000000</v>
      </c>
      <c r="Q739" s="109">
        <f t="shared" si="59"/>
        <v>2305823050</v>
      </c>
      <c r="R739" s="14">
        <v>2218823050</v>
      </c>
      <c r="S739" s="5"/>
      <c r="T739" s="30">
        <v>15000000</v>
      </c>
      <c r="U739" s="14">
        <v>72000000</v>
      </c>
      <c r="V739" s="5"/>
      <c r="W739" s="28"/>
      <c r="X739" s="28">
        <f t="shared" si="60"/>
        <v>0</v>
      </c>
      <c r="Y739" s="28">
        <f t="shared" si="61"/>
        <v>0</v>
      </c>
      <c r="Z739" s="28">
        <f t="shared" si="62"/>
        <v>0</v>
      </c>
      <c r="AA739" s="4"/>
      <c r="AB739" s="4"/>
      <c r="AC739">
        <f t="shared" si="63"/>
        <v>2</v>
      </c>
    </row>
    <row r="740" spans="1:30" ht="62.4" x14ac:dyDescent="0.4">
      <c r="A740" s="7" t="s">
        <v>18</v>
      </c>
      <c r="B740" s="6">
        <v>727</v>
      </c>
      <c r="C740" s="7" t="s">
        <v>2877</v>
      </c>
      <c r="D740" s="7" t="s">
        <v>3123</v>
      </c>
      <c r="E740" s="7" t="s">
        <v>2940</v>
      </c>
      <c r="F740" s="4"/>
      <c r="G740" s="7"/>
      <c r="H740" s="7"/>
      <c r="I740" s="7" t="s">
        <v>3124</v>
      </c>
      <c r="J740" s="7" t="s">
        <v>3125</v>
      </c>
      <c r="K740" s="7" t="s">
        <v>24</v>
      </c>
      <c r="L740" s="7" t="s">
        <v>2826</v>
      </c>
      <c r="M740" s="114">
        <v>10000000</v>
      </c>
      <c r="N740" s="111"/>
      <c r="O740" s="109">
        <v>15000000</v>
      </c>
      <c r="P740" s="110"/>
      <c r="Q740" s="109">
        <f t="shared" si="59"/>
        <v>25000000</v>
      </c>
      <c r="R740" s="5"/>
      <c r="S740" s="5"/>
      <c r="T740" s="72"/>
      <c r="U740" s="5"/>
      <c r="V740" s="5"/>
      <c r="W740" s="28">
        <v>10000000</v>
      </c>
      <c r="X740" s="28">
        <f t="shared" si="60"/>
        <v>0</v>
      </c>
      <c r="Y740" s="36">
        <f t="shared" si="61"/>
        <v>15000000</v>
      </c>
      <c r="Z740" s="28">
        <f t="shared" si="62"/>
        <v>0</v>
      </c>
      <c r="AA740" s="16">
        <v>10000000</v>
      </c>
      <c r="AB740" s="40"/>
      <c r="AC740" s="121">
        <f t="shared" si="63"/>
        <v>1</v>
      </c>
      <c r="AD740" s="121"/>
    </row>
    <row r="741" spans="1:30" ht="62.4" customHeight="1" x14ac:dyDescent="0.3">
      <c r="A741" s="7" t="s">
        <v>2290</v>
      </c>
      <c r="B741" s="6">
        <v>728</v>
      </c>
      <c r="C741" s="7" t="s">
        <v>2877</v>
      </c>
      <c r="D741" s="7" t="s">
        <v>3126</v>
      </c>
      <c r="E741" s="5"/>
      <c r="F741" s="40" t="s">
        <v>3115</v>
      </c>
      <c r="G741" s="7" t="s">
        <v>3127</v>
      </c>
      <c r="H741" s="5"/>
      <c r="I741" s="5"/>
      <c r="J741" s="21" t="s">
        <v>3128</v>
      </c>
      <c r="K741" s="7" t="s">
        <v>24</v>
      </c>
      <c r="L741" s="7" t="s">
        <v>3129</v>
      </c>
      <c r="M741" s="114">
        <v>804477970</v>
      </c>
      <c r="N741" s="111"/>
      <c r="O741" s="114">
        <v>15000000</v>
      </c>
      <c r="P741" s="112">
        <v>72000000</v>
      </c>
      <c r="Q741" s="109">
        <f t="shared" si="59"/>
        <v>891477970</v>
      </c>
      <c r="R741" s="14">
        <v>804477970</v>
      </c>
      <c r="S741" s="5"/>
      <c r="T741" s="33">
        <v>15000000</v>
      </c>
      <c r="U741" s="14">
        <v>72000000</v>
      </c>
      <c r="V741" s="5"/>
      <c r="W741" s="28"/>
      <c r="X741" s="28">
        <f t="shared" si="60"/>
        <v>0</v>
      </c>
      <c r="Y741" s="28">
        <f t="shared" si="61"/>
        <v>0</v>
      </c>
      <c r="Z741" s="28">
        <f t="shared" si="62"/>
        <v>0</v>
      </c>
      <c r="AA741" s="4"/>
      <c r="AB741" s="4"/>
      <c r="AC741">
        <f t="shared" si="63"/>
        <v>2</v>
      </c>
    </row>
    <row r="742" spans="1:30" ht="46.8" x14ac:dyDescent="0.3">
      <c r="A742" s="7" t="s">
        <v>18</v>
      </c>
      <c r="B742" s="6">
        <v>729</v>
      </c>
      <c r="C742" s="7" t="s">
        <v>2877</v>
      </c>
      <c r="D742" s="7" t="s">
        <v>3130</v>
      </c>
      <c r="E742" s="5"/>
      <c r="F742" s="4"/>
      <c r="G742" s="7" t="s">
        <v>3131</v>
      </c>
      <c r="H742" s="5"/>
      <c r="I742" s="5"/>
      <c r="J742" s="21" t="s">
        <v>3132</v>
      </c>
      <c r="K742" s="7" t="s">
        <v>24</v>
      </c>
      <c r="L742" s="7" t="s">
        <v>3133</v>
      </c>
      <c r="M742" s="114">
        <v>379903110</v>
      </c>
      <c r="N742" s="111"/>
      <c r="O742" s="114">
        <v>7500000</v>
      </c>
      <c r="P742" s="110"/>
      <c r="Q742" s="109">
        <f t="shared" si="59"/>
        <v>387403110</v>
      </c>
      <c r="R742" s="14">
        <v>379903110</v>
      </c>
      <c r="S742" s="5"/>
      <c r="T742" s="30">
        <v>7500000</v>
      </c>
      <c r="U742" s="5"/>
      <c r="V742" s="5"/>
      <c r="W742" s="28"/>
      <c r="X742" s="28">
        <f t="shared" si="60"/>
        <v>0</v>
      </c>
      <c r="Y742" s="28">
        <f t="shared" si="61"/>
        <v>0</v>
      </c>
      <c r="Z742" s="28">
        <f t="shared" si="62"/>
        <v>0</v>
      </c>
      <c r="AA742" s="4"/>
      <c r="AB742" s="4"/>
      <c r="AC742">
        <f t="shared" si="63"/>
        <v>2</v>
      </c>
    </row>
    <row r="743" spans="1:30" ht="78" customHeight="1" x14ac:dyDescent="0.3">
      <c r="A743" s="7" t="s">
        <v>2290</v>
      </c>
      <c r="B743" s="6">
        <v>730</v>
      </c>
      <c r="C743" s="7" t="s">
        <v>2877</v>
      </c>
      <c r="D743" s="7" t="s">
        <v>3134</v>
      </c>
      <c r="E743" s="5"/>
      <c r="F743" s="40" t="s">
        <v>1203</v>
      </c>
      <c r="G743" s="7" t="s">
        <v>3135</v>
      </c>
      <c r="H743" s="5"/>
      <c r="I743" s="5"/>
      <c r="J743" s="21" t="s">
        <v>3136</v>
      </c>
      <c r="K743" s="7" t="s">
        <v>24</v>
      </c>
      <c r="L743" s="7" t="s">
        <v>3137</v>
      </c>
      <c r="M743" s="114">
        <v>401173485</v>
      </c>
      <c r="N743" s="111"/>
      <c r="O743" s="114">
        <v>15000000</v>
      </c>
      <c r="P743" s="112">
        <v>120000000</v>
      </c>
      <c r="Q743" s="109">
        <f t="shared" si="59"/>
        <v>536173485</v>
      </c>
      <c r="R743" s="14">
        <v>401173485</v>
      </c>
      <c r="S743" s="5"/>
      <c r="T743" s="30">
        <v>15000000</v>
      </c>
      <c r="U743" s="14">
        <v>120000000</v>
      </c>
      <c r="V743" s="5"/>
      <c r="W743" s="28"/>
      <c r="X743" s="28">
        <f t="shared" si="60"/>
        <v>0</v>
      </c>
      <c r="Y743" s="28">
        <f t="shared" si="61"/>
        <v>0</v>
      </c>
      <c r="Z743" s="28">
        <f t="shared" si="62"/>
        <v>0</v>
      </c>
      <c r="AA743" s="4"/>
      <c r="AB743" s="4"/>
      <c r="AC743">
        <f t="shared" si="63"/>
        <v>2</v>
      </c>
    </row>
    <row r="744" spans="1:30" ht="62.4" x14ac:dyDescent="0.3">
      <c r="A744" s="7" t="s">
        <v>62</v>
      </c>
      <c r="B744" s="6">
        <v>731</v>
      </c>
      <c r="C744" s="7" t="s">
        <v>2877</v>
      </c>
      <c r="D744" s="7" t="s">
        <v>3138</v>
      </c>
      <c r="E744" s="7" t="s">
        <v>3139</v>
      </c>
      <c r="F744" s="4"/>
      <c r="G744" s="7" t="s">
        <v>3140</v>
      </c>
      <c r="H744" s="7" t="s">
        <v>3141</v>
      </c>
      <c r="I744" s="5"/>
      <c r="J744" s="21" t="s">
        <v>3142</v>
      </c>
      <c r="K744" s="7" t="s">
        <v>24</v>
      </c>
      <c r="L744" s="7" t="s">
        <v>3143</v>
      </c>
      <c r="M744" s="114">
        <v>4043584200</v>
      </c>
      <c r="N744" s="114">
        <v>161992320</v>
      </c>
      <c r="O744" s="114">
        <v>15000000</v>
      </c>
      <c r="P744" s="110"/>
      <c r="Q744" s="109">
        <f t="shared" si="59"/>
        <v>4220576520</v>
      </c>
      <c r="R744" s="37">
        <v>4043584200</v>
      </c>
      <c r="S744" s="14">
        <v>161992320</v>
      </c>
      <c r="T744" s="30">
        <v>15000000</v>
      </c>
      <c r="U744" s="5"/>
      <c r="V744" s="5"/>
      <c r="W744" s="28"/>
      <c r="X744" s="28">
        <f t="shared" si="60"/>
        <v>0</v>
      </c>
      <c r="Y744" s="28">
        <f t="shared" si="61"/>
        <v>0</v>
      </c>
      <c r="Z744" s="28">
        <f t="shared" si="62"/>
        <v>0</v>
      </c>
      <c r="AA744" s="4"/>
      <c r="AB744" s="4"/>
      <c r="AC744">
        <f t="shared" si="63"/>
        <v>2</v>
      </c>
    </row>
    <row r="745" spans="1:30" ht="42" x14ac:dyDescent="0.3">
      <c r="A745" s="7" t="s">
        <v>1601</v>
      </c>
      <c r="B745" s="6">
        <v>732</v>
      </c>
      <c r="C745" s="7" t="s">
        <v>2877</v>
      </c>
      <c r="D745" s="7" t="s">
        <v>3144</v>
      </c>
      <c r="E745" s="5"/>
      <c r="F745" s="40" t="s">
        <v>3145</v>
      </c>
      <c r="G745" s="7" t="s">
        <v>3146</v>
      </c>
      <c r="H745" s="7" t="s">
        <v>3147</v>
      </c>
      <c r="I745" s="5"/>
      <c r="J745" s="21" t="s">
        <v>3148</v>
      </c>
      <c r="K745" s="7" t="s">
        <v>24</v>
      </c>
      <c r="L745" s="7" t="s">
        <v>3149</v>
      </c>
      <c r="M745" s="114">
        <v>13921454534</v>
      </c>
      <c r="N745" s="111"/>
      <c r="O745" s="114">
        <v>15000000</v>
      </c>
      <c r="P745" s="112">
        <v>96000000</v>
      </c>
      <c r="Q745" s="109">
        <f t="shared" si="59"/>
        <v>14032454534</v>
      </c>
      <c r="R745" s="14">
        <v>13921454534</v>
      </c>
      <c r="S745" s="5"/>
      <c r="T745" s="30">
        <v>15000000</v>
      </c>
      <c r="U745" s="3">
        <v>96000000</v>
      </c>
      <c r="V745" s="5"/>
      <c r="W745" s="28"/>
      <c r="X745" s="28">
        <f t="shared" si="60"/>
        <v>0</v>
      </c>
      <c r="Y745" s="28">
        <f t="shared" si="61"/>
        <v>0</v>
      </c>
      <c r="Z745" s="28">
        <f t="shared" si="62"/>
        <v>0</v>
      </c>
      <c r="AA745" s="4"/>
      <c r="AB745" s="4"/>
      <c r="AC745">
        <f t="shared" si="63"/>
        <v>2</v>
      </c>
    </row>
    <row r="746" spans="1:30" ht="46.8" x14ac:dyDescent="0.3">
      <c r="A746" s="7" t="s">
        <v>62</v>
      </c>
      <c r="B746" s="6">
        <v>733</v>
      </c>
      <c r="C746" s="7" t="s">
        <v>2877</v>
      </c>
      <c r="D746" s="7" t="s">
        <v>3150</v>
      </c>
      <c r="E746" s="7" t="s">
        <v>3152</v>
      </c>
      <c r="F746" s="40" t="s">
        <v>3151</v>
      </c>
      <c r="G746" s="7" t="s">
        <v>3153</v>
      </c>
      <c r="H746" s="7" t="s">
        <v>3154</v>
      </c>
      <c r="I746" s="5"/>
      <c r="J746" s="21" t="s">
        <v>3155</v>
      </c>
      <c r="K746" s="7" t="s">
        <v>24</v>
      </c>
      <c r="L746" s="7" t="s">
        <v>3156</v>
      </c>
      <c r="M746" s="114">
        <v>1706747626</v>
      </c>
      <c r="N746" s="114">
        <v>471972074</v>
      </c>
      <c r="O746" s="114">
        <v>15000000</v>
      </c>
      <c r="P746" s="112">
        <v>24000000</v>
      </c>
      <c r="Q746" s="109">
        <f t="shared" si="59"/>
        <v>2217719700</v>
      </c>
      <c r="R746" s="37">
        <v>1706747626</v>
      </c>
      <c r="S746" s="14">
        <v>471972074</v>
      </c>
      <c r="T746" s="30">
        <v>15000000</v>
      </c>
      <c r="U746" s="14">
        <v>24000000</v>
      </c>
      <c r="V746" s="5"/>
      <c r="W746" s="28"/>
      <c r="X746" s="28">
        <f t="shared" si="60"/>
        <v>0</v>
      </c>
      <c r="Y746" s="28">
        <f t="shared" si="61"/>
        <v>0</v>
      </c>
      <c r="Z746" s="28">
        <f t="shared" si="62"/>
        <v>0</v>
      </c>
      <c r="AA746" s="4"/>
      <c r="AB746" s="4"/>
      <c r="AC746">
        <f t="shared" si="63"/>
        <v>2</v>
      </c>
    </row>
    <row r="747" spans="1:30" ht="63" x14ac:dyDescent="0.3">
      <c r="A747" s="7" t="s">
        <v>46</v>
      </c>
      <c r="B747" s="6">
        <v>734</v>
      </c>
      <c r="C747" s="7" t="s">
        <v>2877</v>
      </c>
      <c r="D747" s="7" t="s">
        <v>3157</v>
      </c>
      <c r="E747" s="5"/>
      <c r="F747" s="4"/>
      <c r="G747" s="7" t="s">
        <v>3158</v>
      </c>
      <c r="H747" s="5"/>
      <c r="I747" s="5"/>
      <c r="J747" s="21" t="s">
        <v>3159</v>
      </c>
      <c r="K747" s="7" t="s">
        <v>24</v>
      </c>
      <c r="L747" s="7" t="s">
        <v>3160</v>
      </c>
      <c r="M747" s="114">
        <v>7225075720</v>
      </c>
      <c r="N747" s="111"/>
      <c r="O747" s="114">
        <v>15000000</v>
      </c>
      <c r="P747" s="110"/>
      <c r="Q747" s="109">
        <f t="shared" si="59"/>
        <v>7240075720</v>
      </c>
      <c r="R747" s="14">
        <v>7225075720</v>
      </c>
      <c r="S747" s="5"/>
      <c r="T747" s="30">
        <v>15000000</v>
      </c>
      <c r="U747" s="5"/>
      <c r="V747" s="5"/>
      <c r="W747" s="28"/>
      <c r="X747" s="28">
        <f t="shared" si="60"/>
        <v>0</v>
      </c>
      <c r="Y747" s="28">
        <f t="shared" si="61"/>
        <v>0</v>
      </c>
      <c r="Z747" s="28">
        <f t="shared" si="62"/>
        <v>0</v>
      </c>
      <c r="AA747" s="4"/>
      <c r="AB747" s="4"/>
      <c r="AC747">
        <f t="shared" si="63"/>
        <v>2</v>
      </c>
    </row>
    <row r="748" spans="1:30" ht="62.4" customHeight="1" x14ac:dyDescent="0.3">
      <c r="A748" s="7" t="s">
        <v>62</v>
      </c>
      <c r="B748" s="6">
        <v>735</v>
      </c>
      <c r="C748" s="7" t="s">
        <v>2877</v>
      </c>
      <c r="D748" s="7" t="s">
        <v>3161</v>
      </c>
      <c r="E748" s="5"/>
      <c r="F748" s="40" t="s">
        <v>3870</v>
      </c>
      <c r="G748" s="7" t="s">
        <v>3162</v>
      </c>
      <c r="H748" s="5"/>
      <c r="I748" s="5"/>
      <c r="J748" s="21" t="s">
        <v>3163</v>
      </c>
      <c r="K748" s="7" t="s">
        <v>24</v>
      </c>
      <c r="L748" s="7" t="s">
        <v>3164</v>
      </c>
      <c r="M748" s="114">
        <v>853559360</v>
      </c>
      <c r="N748" s="111"/>
      <c r="O748" s="114">
        <v>15000000</v>
      </c>
      <c r="P748" s="112">
        <v>90000000</v>
      </c>
      <c r="Q748" s="109">
        <f t="shared" si="59"/>
        <v>958559360</v>
      </c>
      <c r="R748" s="37">
        <v>853559360</v>
      </c>
      <c r="S748" s="5"/>
      <c r="T748" s="33">
        <v>15000000</v>
      </c>
      <c r="U748" s="14">
        <v>90000000</v>
      </c>
      <c r="V748" s="5"/>
      <c r="W748" s="28"/>
      <c r="X748" s="28">
        <f t="shared" si="60"/>
        <v>0</v>
      </c>
      <c r="Y748" s="28">
        <f t="shared" si="61"/>
        <v>0</v>
      </c>
      <c r="Z748" s="28">
        <f t="shared" si="62"/>
        <v>0</v>
      </c>
      <c r="AA748" s="4"/>
      <c r="AB748" s="4"/>
      <c r="AC748">
        <f t="shared" si="63"/>
        <v>2</v>
      </c>
    </row>
    <row r="749" spans="1:30" ht="31.2" x14ac:dyDescent="0.3">
      <c r="A749" s="7" t="s">
        <v>62</v>
      </c>
      <c r="B749" s="6">
        <v>736</v>
      </c>
      <c r="C749" s="7" t="s">
        <v>2877</v>
      </c>
      <c r="D749" s="7" t="s">
        <v>3165</v>
      </c>
      <c r="E749" s="5"/>
      <c r="F749" s="4"/>
      <c r="G749" s="7" t="s">
        <v>3166</v>
      </c>
      <c r="H749" s="5"/>
      <c r="I749" s="5"/>
      <c r="J749" s="21" t="s">
        <v>3167</v>
      </c>
      <c r="K749" s="7" t="s">
        <v>24</v>
      </c>
      <c r="L749" s="7" t="s">
        <v>3168</v>
      </c>
      <c r="M749" s="114">
        <v>1376202443</v>
      </c>
      <c r="N749" s="111"/>
      <c r="O749" s="114">
        <v>15000000</v>
      </c>
      <c r="P749" s="110"/>
      <c r="Q749" s="109">
        <f t="shared" si="59"/>
        <v>1391202443</v>
      </c>
      <c r="R749" s="37">
        <v>1376202443</v>
      </c>
      <c r="S749" s="5"/>
      <c r="T749" s="33">
        <v>15000000</v>
      </c>
      <c r="U749" s="5"/>
      <c r="V749" s="5"/>
      <c r="W749" s="28"/>
      <c r="X749" s="28">
        <f t="shared" si="60"/>
        <v>0</v>
      </c>
      <c r="Y749" s="28">
        <f t="shared" si="61"/>
        <v>0</v>
      </c>
      <c r="Z749" s="28">
        <f t="shared" si="62"/>
        <v>0</v>
      </c>
      <c r="AA749" s="4"/>
      <c r="AB749" s="4"/>
      <c r="AC749">
        <f t="shared" si="63"/>
        <v>2</v>
      </c>
    </row>
    <row r="750" spans="1:30" ht="63" x14ac:dyDescent="0.3">
      <c r="A750" s="7" t="s">
        <v>62</v>
      </c>
      <c r="B750" s="6">
        <v>737</v>
      </c>
      <c r="C750" s="7" t="s">
        <v>2877</v>
      </c>
      <c r="D750" s="7" t="s">
        <v>3169</v>
      </c>
      <c r="E750" s="5"/>
      <c r="F750" s="4"/>
      <c r="G750" s="7" t="s">
        <v>3170</v>
      </c>
      <c r="H750" s="5"/>
      <c r="I750" s="5"/>
      <c r="J750" s="21" t="s">
        <v>3171</v>
      </c>
      <c r="K750" s="7" t="s">
        <v>24</v>
      </c>
      <c r="L750" s="7" t="s">
        <v>3172</v>
      </c>
      <c r="M750" s="114">
        <v>299923956</v>
      </c>
      <c r="N750" s="111"/>
      <c r="O750" s="114">
        <v>15000000</v>
      </c>
      <c r="P750" s="110"/>
      <c r="Q750" s="109">
        <f t="shared" si="59"/>
        <v>314923956</v>
      </c>
      <c r="R750" s="37">
        <v>299923956</v>
      </c>
      <c r="S750" s="5"/>
      <c r="T750" s="33">
        <v>15000000</v>
      </c>
      <c r="U750" s="5"/>
      <c r="V750" s="5"/>
      <c r="W750" s="28"/>
      <c r="X750" s="28">
        <f t="shared" si="60"/>
        <v>0</v>
      </c>
      <c r="Y750" s="28">
        <f t="shared" si="61"/>
        <v>0</v>
      </c>
      <c r="Z750" s="28">
        <f t="shared" si="62"/>
        <v>0</v>
      </c>
      <c r="AA750" s="4"/>
      <c r="AB750" s="4"/>
      <c r="AC750">
        <f t="shared" si="63"/>
        <v>2</v>
      </c>
    </row>
    <row r="751" spans="1:30" ht="42" x14ac:dyDescent="0.3">
      <c r="A751" s="7" t="s">
        <v>62</v>
      </c>
      <c r="B751" s="6">
        <v>738</v>
      </c>
      <c r="C751" s="7" t="s">
        <v>2877</v>
      </c>
      <c r="D751" s="7" t="s">
        <v>3173</v>
      </c>
      <c r="E751" s="5"/>
      <c r="F751" s="4"/>
      <c r="G751" s="7" t="s">
        <v>3174</v>
      </c>
      <c r="H751" s="5"/>
      <c r="I751" s="5"/>
      <c r="J751" s="21" t="s">
        <v>3175</v>
      </c>
      <c r="K751" s="7" t="s">
        <v>24</v>
      </c>
      <c r="L751" s="7" t="s">
        <v>3176</v>
      </c>
      <c r="M751" s="114">
        <v>5079928644</v>
      </c>
      <c r="N751" s="111"/>
      <c r="O751" s="114">
        <v>7500000</v>
      </c>
      <c r="P751" s="110"/>
      <c r="Q751" s="109">
        <f t="shared" si="59"/>
        <v>5087428644</v>
      </c>
      <c r="R751" s="14">
        <v>5079928644</v>
      </c>
      <c r="S751" s="5"/>
      <c r="T751" s="33">
        <v>7500000</v>
      </c>
      <c r="U751" s="5"/>
      <c r="V751" s="5"/>
      <c r="W751" s="28"/>
      <c r="X751" s="28">
        <f t="shared" si="60"/>
        <v>0</v>
      </c>
      <c r="Y751" s="28">
        <f t="shared" si="61"/>
        <v>0</v>
      </c>
      <c r="Z751" s="28">
        <f t="shared" si="62"/>
        <v>0</v>
      </c>
      <c r="AA751" s="4"/>
      <c r="AB751" s="4"/>
      <c r="AC751">
        <f t="shared" si="63"/>
        <v>2</v>
      </c>
    </row>
    <row r="752" spans="1:30" ht="42" x14ac:dyDescent="0.3">
      <c r="A752" s="7" t="s">
        <v>18</v>
      </c>
      <c r="B752" s="6">
        <v>739</v>
      </c>
      <c r="C752" s="7" t="s">
        <v>2877</v>
      </c>
      <c r="D752" s="7" t="s">
        <v>3177</v>
      </c>
      <c r="E752" s="5"/>
      <c r="F752" s="4"/>
      <c r="G752" s="7" t="s">
        <v>3178</v>
      </c>
      <c r="H752" s="7" t="s">
        <v>1791</v>
      </c>
      <c r="I752" s="5"/>
      <c r="J752" s="21" t="s">
        <v>3179</v>
      </c>
      <c r="K752" s="7" t="s">
        <v>24</v>
      </c>
      <c r="L752" s="7" t="s">
        <v>3180</v>
      </c>
      <c r="M752" s="114">
        <v>2887146088</v>
      </c>
      <c r="N752" s="111"/>
      <c r="O752" s="114">
        <v>15000000</v>
      </c>
      <c r="P752" s="110"/>
      <c r="Q752" s="109">
        <f t="shared" si="59"/>
        <v>2902146088</v>
      </c>
      <c r="R752" s="37">
        <v>2887146088</v>
      </c>
      <c r="S752" s="5"/>
      <c r="T752" s="33">
        <v>15000000</v>
      </c>
      <c r="U752" s="5"/>
      <c r="V752" s="5"/>
      <c r="W752" s="28"/>
      <c r="X752" s="28">
        <f t="shared" si="60"/>
        <v>0</v>
      </c>
      <c r="Y752" s="28">
        <f t="shared" si="61"/>
        <v>0</v>
      </c>
      <c r="Z752" s="28">
        <f t="shared" si="62"/>
        <v>0</v>
      </c>
      <c r="AA752" s="4"/>
      <c r="AB752" s="4"/>
      <c r="AC752">
        <f t="shared" si="63"/>
        <v>2</v>
      </c>
    </row>
    <row r="753" spans="1:29" ht="63" x14ac:dyDescent="0.3">
      <c r="A753" s="7" t="s">
        <v>62</v>
      </c>
      <c r="B753" s="6">
        <v>740</v>
      </c>
      <c r="C753" s="7" t="s">
        <v>2877</v>
      </c>
      <c r="D753" s="7" t="s">
        <v>3181</v>
      </c>
      <c r="E753" s="5"/>
      <c r="F753" s="4"/>
      <c r="G753" s="7" t="s">
        <v>3182</v>
      </c>
      <c r="H753" s="7" t="s">
        <v>3183</v>
      </c>
      <c r="I753" s="5"/>
      <c r="J753" s="21" t="s">
        <v>3184</v>
      </c>
      <c r="K753" s="7" t="s">
        <v>24</v>
      </c>
      <c r="L753" s="7" t="s">
        <v>3185</v>
      </c>
      <c r="M753" s="114">
        <v>1459373626</v>
      </c>
      <c r="N753" s="111"/>
      <c r="O753" s="114">
        <v>15000000</v>
      </c>
      <c r="P753" s="110"/>
      <c r="Q753" s="109">
        <f t="shared" si="59"/>
        <v>1474373626</v>
      </c>
      <c r="R753" s="14">
        <v>1459373626</v>
      </c>
      <c r="S753" s="5"/>
      <c r="T753" s="33">
        <v>15000000</v>
      </c>
      <c r="U753" s="5"/>
      <c r="V753" s="5"/>
      <c r="W753" s="28"/>
      <c r="X753" s="28">
        <f t="shared" si="60"/>
        <v>0</v>
      </c>
      <c r="Y753" s="28">
        <f t="shared" si="61"/>
        <v>0</v>
      </c>
      <c r="Z753" s="28">
        <f t="shared" si="62"/>
        <v>0</v>
      </c>
      <c r="AA753" s="4"/>
      <c r="AB753" s="4"/>
      <c r="AC753">
        <f t="shared" si="63"/>
        <v>2</v>
      </c>
    </row>
    <row r="754" spans="1:29" ht="31.2" x14ac:dyDescent="0.3">
      <c r="A754" s="7" t="s">
        <v>2290</v>
      </c>
      <c r="B754" s="6">
        <v>741</v>
      </c>
      <c r="C754" s="7" t="s">
        <v>2877</v>
      </c>
      <c r="D754" s="7" t="s">
        <v>3186</v>
      </c>
      <c r="E754" s="5"/>
      <c r="F754" s="4"/>
      <c r="G754" s="7" t="s">
        <v>3187</v>
      </c>
      <c r="H754" s="5"/>
      <c r="I754" s="5"/>
      <c r="J754" s="21" t="s">
        <v>3188</v>
      </c>
      <c r="K754" s="7" t="s">
        <v>24</v>
      </c>
      <c r="L754" s="7" t="s">
        <v>3189</v>
      </c>
      <c r="M754" s="114">
        <v>82301352</v>
      </c>
      <c r="N754" s="111"/>
      <c r="O754" s="114">
        <v>7500000</v>
      </c>
      <c r="P754" s="110"/>
      <c r="Q754" s="109">
        <f t="shared" si="59"/>
        <v>89801352</v>
      </c>
      <c r="R754" s="14">
        <v>82301352</v>
      </c>
      <c r="S754" s="5"/>
      <c r="T754" s="33">
        <v>7500000</v>
      </c>
      <c r="U754" s="5"/>
      <c r="V754" s="5"/>
      <c r="W754" s="28"/>
      <c r="X754" s="28">
        <f t="shared" si="60"/>
        <v>0</v>
      </c>
      <c r="Y754" s="28">
        <f t="shared" si="61"/>
        <v>0</v>
      </c>
      <c r="Z754" s="28">
        <f t="shared" si="62"/>
        <v>0</v>
      </c>
      <c r="AA754" s="4"/>
      <c r="AB754" s="4"/>
      <c r="AC754">
        <f t="shared" si="63"/>
        <v>2</v>
      </c>
    </row>
    <row r="755" spans="1:29" ht="63" x14ac:dyDescent="0.3">
      <c r="A755" s="7" t="s">
        <v>62</v>
      </c>
      <c r="B755" s="6">
        <v>742</v>
      </c>
      <c r="C755" s="7" t="s">
        <v>2877</v>
      </c>
      <c r="D755" s="7" t="s">
        <v>3190</v>
      </c>
      <c r="E755" s="5"/>
      <c r="F755" s="4"/>
      <c r="G755" s="7" t="s">
        <v>3191</v>
      </c>
      <c r="H755" s="5"/>
      <c r="I755" s="5"/>
      <c r="J755" s="21" t="s">
        <v>3192</v>
      </c>
      <c r="K755" s="7" t="s">
        <v>24</v>
      </c>
      <c r="L755" s="7" t="s">
        <v>3193</v>
      </c>
      <c r="M755" s="114">
        <v>1439532080</v>
      </c>
      <c r="N755" s="111"/>
      <c r="O755" s="114">
        <v>15000000</v>
      </c>
      <c r="P755" s="110"/>
      <c r="Q755" s="109">
        <f t="shared" si="59"/>
        <v>1454532080</v>
      </c>
      <c r="R755" s="37">
        <v>1439532080</v>
      </c>
      <c r="S755" s="5"/>
      <c r="T755" s="30">
        <v>15000000</v>
      </c>
      <c r="U755" s="5"/>
      <c r="V755" s="5"/>
      <c r="W755" s="28"/>
      <c r="X755" s="28">
        <f t="shared" si="60"/>
        <v>0</v>
      </c>
      <c r="Y755" s="28">
        <f t="shared" si="61"/>
        <v>0</v>
      </c>
      <c r="Z755" s="28">
        <f t="shared" si="62"/>
        <v>0</v>
      </c>
      <c r="AA755" s="4"/>
      <c r="AB755" s="4"/>
      <c r="AC755">
        <f t="shared" si="63"/>
        <v>2</v>
      </c>
    </row>
    <row r="756" spans="1:29" ht="62.4" customHeight="1" x14ac:dyDescent="0.3">
      <c r="A756" s="7" t="s">
        <v>1601</v>
      </c>
      <c r="B756" s="6">
        <v>743</v>
      </c>
      <c r="C756" s="7" t="s">
        <v>2877</v>
      </c>
      <c r="D756" s="7" t="s">
        <v>3194</v>
      </c>
      <c r="E756" s="5"/>
      <c r="F756" s="40" t="s">
        <v>3195</v>
      </c>
      <c r="G756" s="7" t="s">
        <v>3196</v>
      </c>
      <c r="H756" s="5"/>
      <c r="I756" s="5"/>
      <c r="J756" s="21" t="s">
        <v>3197</v>
      </c>
      <c r="K756" s="7" t="s">
        <v>24</v>
      </c>
      <c r="L756" s="7" t="s">
        <v>3198</v>
      </c>
      <c r="M756" s="114">
        <v>749131120</v>
      </c>
      <c r="N756" s="111"/>
      <c r="O756" s="114">
        <v>15000000</v>
      </c>
      <c r="P756" s="112">
        <v>90000000</v>
      </c>
      <c r="Q756" s="109">
        <f t="shared" si="59"/>
        <v>854131120</v>
      </c>
      <c r="R756" s="14">
        <v>749131120</v>
      </c>
      <c r="S756" s="5"/>
      <c r="T756" s="33">
        <v>15000000</v>
      </c>
      <c r="U756" s="14">
        <v>30000000</v>
      </c>
      <c r="V756" s="5"/>
      <c r="W756" s="28"/>
      <c r="X756" s="28">
        <f t="shared" si="60"/>
        <v>0</v>
      </c>
      <c r="Y756" s="28">
        <f t="shared" si="61"/>
        <v>0</v>
      </c>
      <c r="Z756" s="28">
        <f t="shared" si="62"/>
        <v>60000000</v>
      </c>
      <c r="AA756" s="4"/>
      <c r="AB756" s="4"/>
      <c r="AC756">
        <f t="shared" si="63"/>
        <v>2</v>
      </c>
    </row>
    <row r="757" spans="1:29" ht="62.4" customHeight="1" x14ac:dyDescent="0.3">
      <c r="A757" s="7" t="s">
        <v>1601</v>
      </c>
      <c r="B757" s="6">
        <v>744</v>
      </c>
      <c r="C757" s="7" t="s">
        <v>2877</v>
      </c>
      <c r="D757" s="7" t="s">
        <v>3199</v>
      </c>
      <c r="E757" s="5"/>
      <c r="F757" s="40" t="s">
        <v>3047</v>
      </c>
      <c r="G757" s="7" t="s">
        <v>3200</v>
      </c>
      <c r="H757" s="5"/>
      <c r="I757" s="5"/>
      <c r="J757" s="21" t="s">
        <v>605</v>
      </c>
      <c r="K757" s="7" t="s">
        <v>24</v>
      </c>
      <c r="L757" s="7" t="s">
        <v>3201</v>
      </c>
      <c r="M757" s="114">
        <v>416665504</v>
      </c>
      <c r="N757" s="111"/>
      <c r="O757" s="114">
        <v>15000000</v>
      </c>
      <c r="P757" s="112">
        <v>72000000</v>
      </c>
      <c r="Q757" s="109">
        <f t="shared" si="59"/>
        <v>503665504</v>
      </c>
      <c r="R757" s="14">
        <v>416665504</v>
      </c>
      <c r="S757" s="5"/>
      <c r="T757" s="30">
        <v>15000000</v>
      </c>
      <c r="U757" s="14">
        <v>72000000</v>
      </c>
      <c r="V757" s="5"/>
      <c r="W757" s="28"/>
      <c r="X757" s="28">
        <f t="shared" si="60"/>
        <v>0</v>
      </c>
      <c r="Y757" s="28">
        <f t="shared" si="61"/>
        <v>0</v>
      </c>
      <c r="Z757" s="28">
        <f t="shared" si="62"/>
        <v>0</v>
      </c>
      <c r="AA757" s="4"/>
      <c r="AB757" s="4"/>
      <c r="AC757">
        <f t="shared" si="63"/>
        <v>2</v>
      </c>
    </row>
    <row r="758" spans="1:29" ht="78" customHeight="1" x14ac:dyDescent="0.3">
      <c r="A758" s="7" t="s">
        <v>2290</v>
      </c>
      <c r="B758" s="6">
        <v>745</v>
      </c>
      <c r="C758" s="7" t="s">
        <v>2877</v>
      </c>
      <c r="D758" s="7" t="s">
        <v>3202</v>
      </c>
      <c r="E758" s="7" t="s">
        <v>1145</v>
      </c>
      <c r="F758" s="40" t="s">
        <v>1203</v>
      </c>
      <c r="G758" s="7" t="s">
        <v>3203</v>
      </c>
      <c r="H758" s="7" t="s">
        <v>3204</v>
      </c>
      <c r="I758" s="5"/>
      <c r="J758" s="21" t="s">
        <v>3205</v>
      </c>
      <c r="K758" s="7" t="s">
        <v>24</v>
      </c>
      <c r="L758" s="7" t="s">
        <v>3206</v>
      </c>
      <c r="M758" s="114">
        <v>1596400307</v>
      </c>
      <c r="N758" s="114">
        <v>333382157</v>
      </c>
      <c r="O758" s="114">
        <v>15000000</v>
      </c>
      <c r="P758" s="112">
        <v>96000000</v>
      </c>
      <c r="Q758" s="109">
        <f t="shared" si="59"/>
        <v>2040782464</v>
      </c>
      <c r="R758" s="14">
        <v>1596400307</v>
      </c>
      <c r="S758" s="14">
        <v>333382157</v>
      </c>
      <c r="T758" s="30">
        <v>15000000</v>
      </c>
      <c r="U758" s="14">
        <v>48000000</v>
      </c>
      <c r="V758" s="5"/>
      <c r="W758" s="28"/>
      <c r="X758" s="28">
        <f t="shared" si="60"/>
        <v>0</v>
      </c>
      <c r="Y758" s="28">
        <f t="shared" si="61"/>
        <v>0</v>
      </c>
      <c r="Z758" s="28">
        <f t="shared" si="62"/>
        <v>48000000</v>
      </c>
      <c r="AA758" s="4"/>
      <c r="AB758" s="4"/>
      <c r="AC758">
        <f t="shared" si="63"/>
        <v>2</v>
      </c>
    </row>
    <row r="759" spans="1:29" ht="93.6" customHeight="1" x14ac:dyDescent="0.3">
      <c r="A759" s="7" t="s">
        <v>1601</v>
      </c>
      <c r="B759" s="6">
        <v>746</v>
      </c>
      <c r="C759" s="7" t="s">
        <v>2877</v>
      </c>
      <c r="D759" s="7" t="s">
        <v>3207</v>
      </c>
      <c r="E759" s="5"/>
      <c r="F759" s="40" t="s">
        <v>3208</v>
      </c>
      <c r="G759" s="7" t="s">
        <v>3209</v>
      </c>
      <c r="H759" s="7" t="s">
        <v>3210</v>
      </c>
      <c r="I759" s="5"/>
      <c r="J759" s="21" t="s">
        <v>3211</v>
      </c>
      <c r="K759" s="7" t="s">
        <v>24</v>
      </c>
      <c r="L759" s="7" t="s">
        <v>3212</v>
      </c>
      <c r="M759" s="114">
        <v>748291540</v>
      </c>
      <c r="N759" s="111"/>
      <c r="O759" s="114">
        <v>15000000</v>
      </c>
      <c r="P759" s="112">
        <v>144000000</v>
      </c>
      <c r="Q759" s="109">
        <f t="shared" si="59"/>
        <v>907291540</v>
      </c>
      <c r="R759" s="36">
        <v>748291540</v>
      </c>
      <c r="S759" s="5"/>
      <c r="T759" s="30">
        <v>15000000</v>
      </c>
      <c r="U759" s="3">
        <v>144000000</v>
      </c>
      <c r="V759" s="5"/>
      <c r="W759" s="28"/>
      <c r="X759" s="28">
        <f t="shared" si="60"/>
        <v>0</v>
      </c>
      <c r="Y759" s="28">
        <f t="shared" si="61"/>
        <v>0</v>
      </c>
      <c r="Z759" s="28">
        <f t="shared" si="62"/>
        <v>0</v>
      </c>
      <c r="AA759" s="4"/>
      <c r="AB759" s="4"/>
      <c r="AC759">
        <f t="shared" si="63"/>
        <v>2</v>
      </c>
    </row>
    <row r="760" spans="1:29" ht="62.4" customHeight="1" x14ac:dyDescent="0.3">
      <c r="A760" s="7" t="s">
        <v>46</v>
      </c>
      <c r="B760" s="6">
        <v>747</v>
      </c>
      <c r="C760" s="7" t="s">
        <v>2877</v>
      </c>
      <c r="D760" s="7" t="s">
        <v>3213</v>
      </c>
      <c r="E760" s="5"/>
      <c r="F760" s="40" t="s">
        <v>3195</v>
      </c>
      <c r="G760" s="7" t="s">
        <v>3214</v>
      </c>
      <c r="H760" s="5"/>
      <c r="I760" s="5"/>
      <c r="J760" s="21" t="s">
        <v>3215</v>
      </c>
      <c r="K760" s="7" t="s">
        <v>24</v>
      </c>
      <c r="L760" s="7" t="s">
        <v>3216</v>
      </c>
      <c r="M760" s="114">
        <v>1886255920</v>
      </c>
      <c r="N760" s="111"/>
      <c r="O760" s="114">
        <v>15000000</v>
      </c>
      <c r="P760" s="112">
        <v>72000000</v>
      </c>
      <c r="Q760" s="109">
        <f t="shared" si="59"/>
        <v>1973255920</v>
      </c>
      <c r="R760" s="14">
        <v>1886255920</v>
      </c>
      <c r="S760" s="5"/>
      <c r="T760" s="30">
        <v>15000000</v>
      </c>
      <c r="U760" s="14">
        <v>72000000</v>
      </c>
      <c r="V760" s="5"/>
      <c r="W760" s="28"/>
      <c r="X760" s="28">
        <f t="shared" si="60"/>
        <v>0</v>
      </c>
      <c r="Y760" s="28">
        <f t="shared" si="61"/>
        <v>0</v>
      </c>
      <c r="Z760" s="28">
        <f t="shared" si="62"/>
        <v>0</v>
      </c>
      <c r="AA760" s="4"/>
      <c r="AB760" s="4"/>
      <c r="AC760">
        <f t="shared" si="63"/>
        <v>2</v>
      </c>
    </row>
    <row r="761" spans="1:29" ht="42" x14ac:dyDescent="0.3">
      <c r="A761" s="7" t="s">
        <v>1601</v>
      </c>
      <c r="B761" s="6">
        <v>748</v>
      </c>
      <c r="C761" s="7" t="s">
        <v>2877</v>
      </c>
      <c r="D761" s="7" t="s">
        <v>3217</v>
      </c>
      <c r="E761" s="5"/>
      <c r="F761" s="4"/>
      <c r="G761" s="7" t="s">
        <v>3218</v>
      </c>
      <c r="H761" s="5"/>
      <c r="I761" s="5"/>
      <c r="J761" s="21" t="s">
        <v>3219</v>
      </c>
      <c r="K761" s="7" t="s">
        <v>24</v>
      </c>
      <c r="L761" s="7" t="s">
        <v>2632</v>
      </c>
      <c r="M761" s="114">
        <v>1272966611</v>
      </c>
      <c r="N761" s="111"/>
      <c r="O761" s="114">
        <v>15000000</v>
      </c>
      <c r="P761" s="110"/>
      <c r="Q761" s="109">
        <f t="shared" si="59"/>
        <v>1287966611</v>
      </c>
      <c r="R761" s="36">
        <v>1272966611</v>
      </c>
      <c r="S761" s="5"/>
      <c r="T761" s="30">
        <v>15000000</v>
      </c>
      <c r="U761" s="5"/>
      <c r="V761" s="5"/>
      <c r="W761" s="28"/>
      <c r="X761" s="28">
        <f t="shared" si="60"/>
        <v>0</v>
      </c>
      <c r="Y761" s="28">
        <f t="shared" si="61"/>
        <v>0</v>
      </c>
      <c r="Z761" s="28">
        <f t="shared" si="62"/>
        <v>0</v>
      </c>
      <c r="AA761" s="4"/>
      <c r="AB761" s="4"/>
      <c r="AC761">
        <f t="shared" si="63"/>
        <v>2</v>
      </c>
    </row>
    <row r="762" spans="1:29" ht="62.4" customHeight="1" x14ac:dyDescent="0.3">
      <c r="A762" s="7" t="s">
        <v>2290</v>
      </c>
      <c r="B762" s="6">
        <v>749</v>
      </c>
      <c r="C762" s="7" t="s">
        <v>2877</v>
      </c>
      <c r="D762" s="7" t="s">
        <v>3220</v>
      </c>
      <c r="E762" s="7" t="s">
        <v>3222</v>
      </c>
      <c r="F762" s="40" t="s">
        <v>3221</v>
      </c>
      <c r="G762" s="7" t="s">
        <v>3223</v>
      </c>
      <c r="H762" s="7" t="s">
        <v>3224</v>
      </c>
      <c r="I762" s="5"/>
      <c r="J762" s="21" t="s">
        <v>3225</v>
      </c>
      <c r="K762" s="7" t="s">
        <v>24</v>
      </c>
      <c r="L762" s="7" t="s">
        <v>3226</v>
      </c>
      <c r="M762" s="114">
        <v>1467836032</v>
      </c>
      <c r="N762" s="116">
        <v>1187425264</v>
      </c>
      <c r="O762" s="114">
        <v>15000000</v>
      </c>
      <c r="P762" s="112">
        <v>72000000</v>
      </c>
      <c r="Q762" s="109">
        <f t="shared" si="59"/>
        <v>2742261296</v>
      </c>
      <c r="R762" s="14">
        <v>1467836032</v>
      </c>
      <c r="S762" s="14">
        <v>1187425264</v>
      </c>
      <c r="T762" s="30">
        <v>15000000</v>
      </c>
      <c r="U762" s="14">
        <v>72000000</v>
      </c>
      <c r="V762" s="5"/>
      <c r="W762" s="28"/>
      <c r="X762" s="28">
        <f t="shared" si="60"/>
        <v>0</v>
      </c>
      <c r="Y762" s="28">
        <f t="shared" si="61"/>
        <v>0</v>
      </c>
      <c r="Z762" s="28">
        <f t="shared" si="62"/>
        <v>0</v>
      </c>
      <c r="AA762" s="4"/>
      <c r="AB762" s="4"/>
      <c r="AC762">
        <f t="shared" si="63"/>
        <v>2</v>
      </c>
    </row>
    <row r="763" spans="1:29" ht="62.4" customHeight="1" x14ac:dyDescent="0.3">
      <c r="A763" s="7" t="s">
        <v>1601</v>
      </c>
      <c r="B763" s="6">
        <v>750</v>
      </c>
      <c r="C763" s="7" t="s">
        <v>2877</v>
      </c>
      <c r="D763" s="7" t="s">
        <v>3227</v>
      </c>
      <c r="E763" s="5"/>
      <c r="F763" s="40" t="s">
        <v>3195</v>
      </c>
      <c r="G763" s="7" t="s">
        <v>3228</v>
      </c>
      <c r="H763" s="5"/>
      <c r="I763" s="5"/>
      <c r="J763" s="21" t="s">
        <v>3229</v>
      </c>
      <c r="K763" s="7" t="s">
        <v>24</v>
      </c>
      <c r="L763" s="7" t="s">
        <v>3230</v>
      </c>
      <c r="M763" s="114">
        <v>923490256</v>
      </c>
      <c r="N763" s="111"/>
      <c r="O763" s="114">
        <v>15000000</v>
      </c>
      <c r="P763" s="112">
        <v>96000000</v>
      </c>
      <c r="Q763" s="109">
        <f t="shared" si="59"/>
        <v>1034490256</v>
      </c>
      <c r="R763" s="36">
        <v>923490256</v>
      </c>
      <c r="S763" s="5"/>
      <c r="T763" s="30">
        <v>15000000</v>
      </c>
      <c r="U763" s="3">
        <v>96000000</v>
      </c>
      <c r="V763" s="5"/>
      <c r="W763" s="28"/>
      <c r="X763" s="28">
        <f t="shared" si="60"/>
        <v>0</v>
      </c>
      <c r="Y763" s="28">
        <f t="shared" si="61"/>
        <v>0</v>
      </c>
      <c r="Z763" s="28">
        <f t="shared" si="62"/>
        <v>0</v>
      </c>
      <c r="AA763" s="4"/>
      <c r="AB763" s="4"/>
      <c r="AC763">
        <f t="shared" si="63"/>
        <v>2</v>
      </c>
    </row>
    <row r="764" spans="1:29" ht="63" x14ac:dyDescent="0.3">
      <c r="A764" s="7" t="s">
        <v>18</v>
      </c>
      <c r="B764" s="6">
        <v>751</v>
      </c>
      <c r="C764" s="7" t="s">
        <v>2877</v>
      </c>
      <c r="D764" s="7" t="s">
        <v>3231</v>
      </c>
      <c r="E764" s="5"/>
      <c r="F764" s="4"/>
      <c r="G764" s="7" t="s">
        <v>3232</v>
      </c>
      <c r="H764" s="7" t="s">
        <v>3233</v>
      </c>
      <c r="I764" s="5"/>
      <c r="J764" s="21" t="s">
        <v>3234</v>
      </c>
      <c r="K764" s="7" t="s">
        <v>24</v>
      </c>
      <c r="L764" s="7" t="s">
        <v>3235</v>
      </c>
      <c r="M764" s="114">
        <v>10997534236</v>
      </c>
      <c r="N764" s="111"/>
      <c r="O764" s="114">
        <v>15000000</v>
      </c>
      <c r="P764" s="110"/>
      <c r="Q764" s="109">
        <f t="shared" si="59"/>
        <v>11012534236</v>
      </c>
      <c r="R764" s="14">
        <v>10997534236</v>
      </c>
      <c r="S764" s="5"/>
      <c r="T764" s="31">
        <v>15000000</v>
      </c>
      <c r="U764" s="5"/>
      <c r="V764" s="5"/>
      <c r="W764" s="28"/>
      <c r="X764" s="28">
        <f t="shared" si="60"/>
        <v>0</v>
      </c>
      <c r="Y764" s="28">
        <f t="shared" si="61"/>
        <v>0</v>
      </c>
      <c r="Z764" s="28">
        <f t="shared" si="62"/>
        <v>0</v>
      </c>
      <c r="AA764" s="4"/>
      <c r="AB764" s="4"/>
      <c r="AC764">
        <f t="shared" si="63"/>
        <v>2</v>
      </c>
    </row>
    <row r="765" spans="1:29" ht="42" x14ac:dyDescent="0.3">
      <c r="A765" s="7" t="s">
        <v>1601</v>
      </c>
      <c r="B765" s="6">
        <v>752</v>
      </c>
      <c r="C765" s="7" t="s">
        <v>2877</v>
      </c>
      <c r="D765" s="7" t="s">
        <v>3236</v>
      </c>
      <c r="E765" s="7" t="s">
        <v>2343</v>
      </c>
      <c r="F765" s="40" t="s">
        <v>1397</v>
      </c>
      <c r="G765" s="7" t="s">
        <v>3237</v>
      </c>
      <c r="H765" s="5"/>
      <c r="I765" s="5"/>
      <c r="J765" s="21" t="s">
        <v>3238</v>
      </c>
      <c r="K765" s="7" t="s">
        <v>24</v>
      </c>
      <c r="L765" s="7" t="s">
        <v>3239</v>
      </c>
      <c r="M765" s="114">
        <v>10000000</v>
      </c>
      <c r="N765" s="116">
        <v>1047274020</v>
      </c>
      <c r="O765" s="114">
        <v>15000000</v>
      </c>
      <c r="P765" s="112">
        <v>60000000</v>
      </c>
      <c r="Q765" s="109">
        <f t="shared" si="59"/>
        <v>1132274020</v>
      </c>
      <c r="R765" s="14">
        <v>10000000</v>
      </c>
      <c r="S765" s="14">
        <v>1047274020</v>
      </c>
      <c r="T765" s="30">
        <v>15000000</v>
      </c>
      <c r="U765" s="28">
        <v>60000000</v>
      </c>
      <c r="V765" s="5"/>
      <c r="W765" s="28"/>
      <c r="X765" s="28">
        <f t="shared" si="60"/>
        <v>0</v>
      </c>
      <c r="Y765" s="28">
        <f t="shared" si="61"/>
        <v>0</v>
      </c>
      <c r="Z765" s="28">
        <f t="shared" si="62"/>
        <v>0</v>
      </c>
      <c r="AA765" s="4"/>
      <c r="AB765" s="4"/>
      <c r="AC765">
        <f t="shared" si="63"/>
        <v>2</v>
      </c>
    </row>
    <row r="766" spans="1:29" ht="42" x14ac:dyDescent="0.3">
      <c r="A766" s="7" t="s">
        <v>1601</v>
      </c>
      <c r="B766" s="6">
        <v>753</v>
      </c>
      <c r="C766" s="7" t="s">
        <v>2877</v>
      </c>
      <c r="D766" s="7" t="s">
        <v>3240</v>
      </c>
      <c r="E766" s="5"/>
      <c r="F766" s="4"/>
      <c r="G766" s="7" t="s">
        <v>3241</v>
      </c>
      <c r="H766" s="7" t="s">
        <v>3242</v>
      </c>
      <c r="I766" s="5"/>
      <c r="J766" s="21" t="s">
        <v>3243</v>
      </c>
      <c r="K766" s="7" t="s">
        <v>24</v>
      </c>
      <c r="L766" s="7" t="s">
        <v>3244</v>
      </c>
      <c r="M766" s="114">
        <v>2463725120</v>
      </c>
      <c r="N766" s="111"/>
      <c r="O766" s="114">
        <v>15000000</v>
      </c>
      <c r="P766" s="110"/>
      <c r="Q766" s="109">
        <f t="shared" si="59"/>
        <v>2478725120</v>
      </c>
      <c r="R766" s="3">
        <v>2463725120</v>
      </c>
      <c r="S766" s="5"/>
      <c r="T766" s="30">
        <v>15000000</v>
      </c>
      <c r="U766" s="5"/>
      <c r="V766" s="5"/>
      <c r="W766" s="28"/>
      <c r="X766" s="28">
        <f t="shared" si="60"/>
        <v>0</v>
      </c>
      <c r="Y766" s="28">
        <f t="shared" si="61"/>
        <v>0</v>
      </c>
      <c r="Z766" s="28">
        <f t="shared" si="62"/>
        <v>0</v>
      </c>
      <c r="AA766" s="4"/>
      <c r="AB766" s="4"/>
      <c r="AC766">
        <f t="shared" si="63"/>
        <v>2</v>
      </c>
    </row>
    <row r="767" spans="1:29" ht="42" x14ac:dyDescent="0.3">
      <c r="A767" s="7" t="s">
        <v>46</v>
      </c>
      <c r="B767" s="6">
        <v>754</v>
      </c>
      <c r="C767" s="7" t="s">
        <v>2877</v>
      </c>
      <c r="D767" s="7" t="s">
        <v>3245</v>
      </c>
      <c r="E767" s="5"/>
      <c r="F767" s="4"/>
      <c r="G767" s="7" t="s">
        <v>3246</v>
      </c>
      <c r="H767" s="5"/>
      <c r="I767" s="5"/>
      <c r="J767" s="21" t="s">
        <v>3247</v>
      </c>
      <c r="K767" s="7" t="s">
        <v>24</v>
      </c>
      <c r="L767" s="7" t="s">
        <v>2779</v>
      </c>
      <c r="M767" s="114">
        <v>1935531328</v>
      </c>
      <c r="N767" s="111"/>
      <c r="O767" s="114">
        <v>15000000</v>
      </c>
      <c r="P767" s="110"/>
      <c r="Q767" s="109">
        <f t="shared" si="59"/>
        <v>1950531328</v>
      </c>
      <c r="R767" s="36">
        <v>1935531328</v>
      </c>
      <c r="S767" s="5"/>
      <c r="T767" s="30">
        <v>15000000</v>
      </c>
      <c r="U767" s="5"/>
      <c r="V767" s="5"/>
      <c r="W767" s="28"/>
      <c r="X767" s="28">
        <f t="shared" si="60"/>
        <v>0</v>
      </c>
      <c r="Y767" s="28">
        <f t="shared" si="61"/>
        <v>0</v>
      </c>
      <c r="Z767" s="28">
        <f t="shared" si="62"/>
        <v>0</v>
      </c>
      <c r="AA767" s="4"/>
      <c r="AB767" s="4"/>
      <c r="AC767">
        <f t="shared" si="63"/>
        <v>2</v>
      </c>
    </row>
    <row r="768" spans="1:29" ht="78" customHeight="1" x14ac:dyDescent="0.3">
      <c r="A768" s="7" t="s">
        <v>1601</v>
      </c>
      <c r="B768" s="6">
        <v>755</v>
      </c>
      <c r="C768" s="7" t="s">
        <v>2877</v>
      </c>
      <c r="D768" s="7" t="s">
        <v>3248</v>
      </c>
      <c r="E768" s="5"/>
      <c r="F768" s="40" t="s">
        <v>3249</v>
      </c>
      <c r="G768" s="7" t="s">
        <v>3250</v>
      </c>
      <c r="H768" s="5"/>
      <c r="I768" s="5"/>
      <c r="J768" s="21" t="s">
        <v>3251</v>
      </c>
      <c r="K768" s="7" t="s">
        <v>24</v>
      </c>
      <c r="L768" s="7" t="s">
        <v>3252</v>
      </c>
      <c r="M768" s="114">
        <v>10000000</v>
      </c>
      <c r="N768" s="111"/>
      <c r="O768" s="114">
        <v>15000000</v>
      </c>
      <c r="P768" s="112">
        <v>72000000</v>
      </c>
      <c r="Q768" s="109">
        <f t="shared" si="59"/>
        <v>97000000</v>
      </c>
      <c r="R768" s="14">
        <v>10000000</v>
      </c>
      <c r="S768" s="5"/>
      <c r="T768" s="30">
        <v>15000000</v>
      </c>
      <c r="U768" s="14">
        <v>72000000</v>
      </c>
      <c r="V768" s="5"/>
      <c r="W768" s="28"/>
      <c r="X768" s="28">
        <f t="shared" si="60"/>
        <v>0</v>
      </c>
      <c r="Y768" s="28">
        <f t="shared" si="61"/>
        <v>0</v>
      </c>
      <c r="Z768" s="28">
        <f t="shared" si="62"/>
        <v>0</v>
      </c>
      <c r="AA768" s="4"/>
      <c r="AB768" s="4"/>
      <c r="AC768">
        <f t="shared" si="63"/>
        <v>2</v>
      </c>
    </row>
    <row r="769" spans="1:30" ht="63" x14ac:dyDescent="0.3">
      <c r="A769" s="7" t="s">
        <v>2290</v>
      </c>
      <c r="B769" s="6">
        <v>756</v>
      </c>
      <c r="C769" s="7" t="s">
        <v>2877</v>
      </c>
      <c r="D769" s="7" t="s">
        <v>3253</v>
      </c>
      <c r="E769" s="7" t="s">
        <v>3255</v>
      </c>
      <c r="F769" s="40" t="s">
        <v>3254</v>
      </c>
      <c r="G769" s="7" t="s">
        <v>3256</v>
      </c>
      <c r="H769" s="7" t="s">
        <v>3257</v>
      </c>
      <c r="I769" s="5"/>
      <c r="J769" s="21" t="s">
        <v>3258</v>
      </c>
      <c r="K769" s="7" t="s">
        <v>24</v>
      </c>
      <c r="L769" s="7" t="s">
        <v>3259</v>
      </c>
      <c r="M769" s="114">
        <v>1842294840</v>
      </c>
      <c r="N769" s="114">
        <v>866576480</v>
      </c>
      <c r="O769" s="114">
        <v>15000000</v>
      </c>
      <c r="P769" s="112">
        <v>72000000</v>
      </c>
      <c r="Q769" s="109">
        <f t="shared" si="59"/>
        <v>2795871320</v>
      </c>
      <c r="R769" s="14">
        <v>1842294840</v>
      </c>
      <c r="S769" s="14">
        <v>866576480</v>
      </c>
      <c r="T769" s="33">
        <v>15000000</v>
      </c>
      <c r="U769" s="14">
        <v>24000000</v>
      </c>
      <c r="V769" s="5"/>
      <c r="W769" s="28"/>
      <c r="X769" s="28">
        <f t="shared" si="60"/>
        <v>0</v>
      </c>
      <c r="Y769" s="28">
        <f t="shared" si="61"/>
        <v>0</v>
      </c>
      <c r="Z769" s="28">
        <f t="shared" si="62"/>
        <v>48000000</v>
      </c>
      <c r="AA769" s="4"/>
      <c r="AB769" s="4"/>
      <c r="AC769">
        <f t="shared" si="63"/>
        <v>2</v>
      </c>
    </row>
    <row r="770" spans="1:30" ht="42" x14ac:dyDescent="0.3">
      <c r="A770" s="7" t="s">
        <v>18</v>
      </c>
      <c r="B770" s="6">
        <v>757</v>
      </c>
      <c r="C770" s="7" t="s">
        <v>2877</v>
      </c>
      <c r="D770" s="7" t="s">
        <v>3260</v>
      </c>
      <c r="E770" s="5"/>
      <c r="F770" s="4"/>
      <c r="G770" s="7" t="s">
        <v>3261</v>
      </c>
      <c r="H770" s="7" t="s">
        <v>877</v>
      </c>
      <c r="I770" s="5"/>
      <c r="J770" s="21" t="s">
        <v>3262</v>
      </c>
      <c r="K770" s="7" t="s">
        <v>24</v>
      </c>
      <c r="L770" s="7" t="s">
        <v>3263</v>
      </c>
      <c r="M770" s="114">
        <v>5689097581</v>
      </c>
      <c r="N770" s="111"/>
      <c r="O770" s="114">
        <v>15000000</v>
      </c>
      <c r="P770" s="110"/>
      <c r="Q770" s="109">
        <f t="shared" si="59"/>
        <v>5704097581</v>
      </c>
      <c r="R770" s="14">
        <v>5689097581</v>
      </c>
      <c r="S770" s="5"/>
      <c r="T770" s="30">
        <v>15000000</v>
      </c>
      <c r="U770" s="5"/>
      <c r="V770" s="5"/>
      <c r="W770" s="28"/>
      <c r="X770" s="28">
        <f t="shared" si="60"/>
        <v>0</v>
      </c>
      <c r="Y770" s="28">
        <f t="shared" si="61"/>
        <v>0</v>
      </c>
      <c r="Z770" s="28">
        <f t="shared" si="62"/>
        <v>0</v>
      </c>
      <c r="AA770" s="4"/>
      <c r="AB770" s="4"/>
      <c r="AC770">
        <f t="shared" si="63"/>
        <v>2</v>
      </c>
    </row>
    <row r="771" spans="1:30" ht="63" x14ac:dyDescent="0.3">
      <c r="A771" s="7" t="s">
        <v>62</v>
      </c>
      <c r="B771" s="6">
        <v>758</v>
      </c>
      <c r="C771" s="7" t="s">
        <v>2877</v>
      </c>
      <c r="D771" s="7" t="s">
        <v>3264</v>
      </c>
      <c r="E771" s="5"/>
      <c r="F771" s="4"/>
      <c r="G771" s="7" t="s">
        <v>3265</v>
      </c>
      <c r="H771" s="5"/>
      <c r="I771" s="5"/>
      <c r="J771" s="21" t="s">
        <v>3266</v>
      </c>
      <c r="K771" s="7" t="s">
        <v>24</v>
      </c>
      <c r="L771" s="7" t="s">
        <v>3267</v>
      </c>
      <c r="M771" s="114">
        <v>2504835588</v>
      </c>
      <c r="N771" s="111"/>
      <c r="O771" s="114">
        <v>15000000</v>
      </c>
      <c r="P771" s="110"/>
      <c r="Q771" s="109">
        <f t="shared" si="59"/>
        <v>2519835588</v>
      </c>
      <c r="R771" s="14">
        <v>2504835588</v>
      </c>
      <c r="S771" s="5"/>
      <c r="T771" s="33">
        <v>15000000</v>
      </c>
      <c r="U771" s="5"/>
      <c r="V771" s="5"/>
      <c r="W771" s="28"/>
      <c r="X771" s="28">
        <f t="shared" si="60"/>
        <v>0</v>
      </c>
      <c r="Y771" s="28">
        <f t="shared" si="61"/>
        <v>0</v>
      </c>
      <c r="Z771" s="28">
        <f t="shared" si="62"/>
        <v>0</v>
      </c>
      <c r="AA771" s="4"/>
      <c r="AB771" s="4"/>
      <c r="AC771">
        <f t="shared" si="63"/>
        <v>2</v>
      </c>
    </row>
    <row r="772" spans="1:30" ht="42" x14ac:dyDescent="0.3">
      <c r="A772" s="7" t="s">
        <v>46</v>
      </c>
      <c r="B772" s="6">
        <v>759</v>
      </c>
      <c r="C772" s="7" t="s">
        <v>2877</v>
      </c>
      <c r="D772" s="7" t="s">
        <v>3268</v>
      </c>
      <c r="E772" s="5"/>
      <c r="F772" s="4"/>
      <c r="G772" s="7" t="s">
        <v>3269</v>
      </c>
      <c r="H772" s="5"/>
      <c r="I772" s="5"/>
      <c r="J772" s="21" t="s">
        <v>197</v>
      </c>
      <c r="K772" s="7" t="s">
        <v>24</v>
      </c>
      <c r="L772" s="7" t="s">
        <v>2856</v>
      </c>
      <c r="M772" s="114">
        <v>851472352</v>
      </c>
      <c r="N772" s="111"/>
      <c r="O772" s="114">
        <v>15000000</v>
      </c>
      <c r="P772" s="110"/>
      <c r="Q772" s="109">
        <f t="shared" si="59"/>
        <v>866472352</v>
      </c>
      <c r="R772" s="14">
        <v>851472352</v>
      </c>
      <c r="S772" s="5"/>
      <c r="T772" s="33">
        <v>15000000</v>
      </c>
      <c r="U772" s="5"/>
      <c r="V772" s="5"/>
      <c r="W772" s="28"/>
      <c r="X772" s="28">
        <f t="shared" si="60"/>
        <v>0</v>
      </c>
      <c r="Y772" s="28">
        <f t="shared" si="61"/>
        <v>0</v>
      </c>
      <c r="Z772" s="28">
        <f t="shared" si="62"/>
        <v>0</v>
      </c>
      <c r="AA772" s="4"/>
      <c r="AB772" s="4"/>
      <c r="AC772">
        <f t="shared" si="63"/>
        <v>2</v>
      </c>
    </row>
    <row r="773" spans="1:30" ht="63.6" x14ac:dyDescent="0.4">
      <c r="A773" s="40" t="s">
        <v>46</v>
      </c>
      <c r="B773" s="6">
        <v>760</v>
      </c>
      <c r="C773" s="7" t="s">
        <v>2877</v>
      </c>
      <c r="D773" s="7" t="s">
        <v>3270</v>
      </c>
      <c r="E773" s="4"/>
      <c r="F773" s="40" t="s">
        <v>3271</v>
      </c>
      <c r="G773" s="40" t="s">
        <v>3272</v>
      </c>
      <c r="H773" s="4"/>
      <c r="I773" s="4"/>
      <c r="J773" s="21" t="s">
        <v>3273</v>
      </c>
      <c r="K773" s="40" t="s">
        <v>24</v>
      </c>
      <c r="L773" s="7" t="s">
        <v>2856</v>
      </c>
      <c r="M773" s="118">
        <v>1230286468</v>
      </c>
      <c r="N773" s="111"/>
      <c r="O773" s="114">
        <v>15000000</v>
      </c>
      <c r="P773" s="112">
        <v>72000000</v>
      </c>
      <c r="Q773" s="109">
        <f t="shared" si="59"/>
        <v>1317286468</v>
      </c>
      <c r="R773" s="14">
        <v>1230286468</v>
      </c>
      <c r="S773" s="5"/>
      <c r="T773" s="33">
        <v>15000000</v>
      </c>
      <c r="U773" s="14">
        <v>72000000</v>
      </c>
      <c r="V773" s="5"/>
      <c r="W773" s="28"/>
      <c r="X773" s="28">
        <f t="shared" si="60"/>
        <v>0</v>
      </c>
      <c r="Y773" s="28">
        <f t="shared" si="61"/>
        <v>0</v>
      </c>
      <c r="Z773" s="28">
        <f t="shared" si="62"/>
        <v>0</v>
      </c>
      <c r="AA773" s="4"/>
      <c r="AB773" s="4"/>
      <c r="AC773">
        <f t="shared" si="63"/>
        <v>2</v>
      </c>
    </row>
    <row r="774" spans="1:30" ht="63" x14ac:dyDescent="0.3">
      <c r="A774" s="7" t="s">
        <v>62</v>
      </c>
      <c r="B774" s="6">
        <v>761</v>
      </c>
      <c r="C774" s="7" t="s">
        <v>2877</v>
      </c>
      <c r="D774" s="7" t="s">
        <v>3274</v>
      </c>
      <c r="E774" s="7" t="s">
        <v>3275</v>
      </c>
      <c r="F774" s="4"/>
      <c r="G774" s="7" t="s">
        <v>3276</v>
      </c>
      <c r="H774" s="5"/>
      <c r="I774" s="5"/>
      <c r="J774" s="21" t="s">
        <v>3277</v>
      </c>
      <c r="K774" s="7" t="s">
        <v>24</v>
      </c>
      <c r="L774" s="7" t="s">
        <v>2856</v>
      </c>
      <c r="M774" s="114">
        <v>10000000</v>
      </c>
      <c r="N774" s="114">
        <v>570457608</v>
      </c>
      <c r="O774" s="114">
        <v>15000000</v>
      </c>
      <c r="P774" s="110"/>
      <c r="Q774" s="109">
        <f t="shared" si="59"/>
        <v>595457608</v>
      </c>
      <c r="R774" s="20">
        <v>10000000</v>
      </c>
      <c r="S774" s="20">
        <v>570457608</v>
      </c>
      <c r="T774" s="30">
        <v>15000000</v>
      </c>
      <c r="U774" s="5"/>
      <c r="V774" s="5"/>
      <c r="W774" s="28"/>
      <c r="X774" s="28">
        <f t="shared" si="60"/>
        <v>0</v>
      </c>
      <c r="Y774" s="28">
        <f t="shared" si="61"/>
        <v>0</v>
      </c>
      <c r="Z774" s="28">
        <f t="shared" si="62"/>
        <v>0</v>
      </c>
      <c r="AA774" s="4"/>
      <c r="AB774" s="4"/>
      <c r="AC774">
        <f t="shared" si="63"/>
        <v>2</v>
      </c>
    </row>
    <row r="775" spans="1:30" ht="46.8" x14ac:dyDescent="0.3">
      <c r="A775" s="7" t="s">
        <v>1601</v>
      </c>
      <c r="B775" s="6">
        <v>762</v>
      </c>
      <c r="C775" s="7" t="s">
        <v>2877</v>
      </c>
      <c r="D775" s="7" t="s">
        <v>3278</v>
      </c>
      <c r="E775" s="7"/>
      <c r="F775" s="40" t="s">
        <v>1208</v>
      </c>
      <c r="G775" s="7" t="s">
        <v>3279</v>
      </c>
      <c r="H775" s="7"/>
      <c r="I775" s="7"/>
      <c r="J775" s="7" t="s">
        <v>3280</v>
      </c>
      <c r="K775" s="7" t="s">
        <v>24</v>
      </c>
      <c r="L775" s="7" t="s">
        <v>3281</v>
      </c>
      <c r="M775" s="114">
        <v>2676184080</v>
      </c>
      <c r="N775" s="111"/>
      <c r="O775" s="109">
        <v>15000000</v>
      </c>
      <c r="P775" s="112">
        <v>48000000</v>
      </c>
      <c r="Q775" s="109">
        <f t="shared" si="59"/>
        <v>2739184080</v>
      </c>
      <c r="R775" s="37">
        <v>2676184080</v>
      </c>
      <c r="S775" s="5"/>
      <c r="T775" s="72"/>
      <c r="U775" s="20">
        <v>48000000</v>
      </c>
      <c r="V775" s="5"/>
      <c r="W775" s="28"/>
      <c r="X775" s="28">
        <f t="shared" si="60"/>
        <v>0</v>
      </c>
      <c r="Y775" s="36">
        <f t="shared" si="61"/>
        <v>15000000</v>
      </c>
      <c r="Z775" s="28">
        <f t="shared" si="62"/>
        <v>0</v>
      </c>
      <c r="AA775" s="4"/>
      <c r="AB775" s="40"/>
      <c r="AC775" s="121">
        <f t="shared" si="63"/>
        <v>2</v>
      </c>
      <c r="AD775" s="121"/>
    </row>
    <row r="776" spans="1:30" ht="42" x14ac:dyDescent="0.3">
      <c r="A776" s="7" t="s">
        <v>18</v>
      </c>
      <c r="B776" s="6">
        <v>763</v>
      </c>
      <c r="C776" s="7" t="s">
        <v>2877</v>
      </c>
      <c r="D776" s="7" t="s">
        <v>3282</v>
      </c>
      <c r="E776" s="5"/>
      <c r="F776" s="40" t="s">
        <v>1208</v>
      </c>
      <c r="G776" s="7" t="s">
        <v>3283</v>
      </c>
      <c r="H776" s="5"/>
      <c r="I776" s="5"/>
      <c r="J776" s="21" t="s">
        <v>3284</v>
      </c>
      <c r="K776" s="7" t="s">
        <v>24</v>
      </c>
      <c r="L776" s="7" t="s">
        <v>3285</v>
      </c>
      <c r="M776" s="114">
        <v>907403290</v>
      </c>
      <c r="N776" s="111"/>
      <c r="O776" s="114">
        <v>15000000</v>
      </c>
      <c r="P776" s="112">
        <v>96000000</v>
      </c>
      <c r="Q776" s="109">
        <f t="shared" si="59"/>
        <v>1018403290</v>
      </c>
      <c r="R776" s="20">
        <v>907403290</v>
      </c>
      <c r="S776" s="5"/>
      <c r="T776" s="30">
        <v>15000000</v>
      </c>
      <c r="U776" s="20">
        <v>96000000</v>
      </c>
      <c r="V776" s="5"/>
      <c r="W776" s="28"/>
      <c r="X776" s="28">
        <f t="shared" si="60"/>
        <v>0</v>
      </c>
      <c r="Y776" s="28">
        <f t="shared" si="61"/>
        <v>0</v>
      </c>
      <c r="Z776" s="28">
        <f t="shared" si="62"/>
        <v>0</v>
      </c>
      <c r="AA776" s="4"/>
      <c r="AB776" s="4"/>
      <c r="AC776">
        <f t="shared" si="63"/>
        <v>2</v>
      </c>
    </row>
    <row r="777" spans="1:30" ht="46.8" x14ac:dyDescent="0.3">
      <c r="A777" s="7" t="s">
        <v>18</v>
      </c>
      <c r="B777" s="6">
        <v>764</v>
      </c>
      <c r="C777" s="7" t="s">
        <v>2877</v>
      </c>
      <c r="D777" s="7" t="s">
        <v>3286</v>
      </c>
      <c r="E777" s="7"/>
      <c r="F777" s="40" t="s">
        <v>529</v>
      </c>
      <c r="G777" s="7" t="s">
        <v>3287</v>
      </c>
      <c r="H777" s="7"/>
      <c r="I777" s="7"/>
      <c r="J777" s="7" t="s">
        <v>3288</v>
      </c>
      <c r="K777" s="7" t="s">
        <v>24</v>
      </c>
      <c r="L777" s="7" t="s">
        <v>3289</v>
      </c>
      <c r="M777" s="114">
        <v>5514125770</v>
      </c>
      <c r="N777" s="111"/>
      <c r="O777" s="109">
        <v>15000000</v>
      </c>
      <c r="P777" s="112">
        <v>24000000</v>
      </c>
      <c r="Q777" s="109">
        <f t="shared" si="59"/>
        <v>5553125770</v>
      </c>
      <c r="R777" s="5"/>
      <c r="S777" s="5"/>
      <c r="T777" s="72"/>
      <c r="U777" s="5"/>
      <c r="V777" s="5"/>
      <c r="W777" s="28">
        <v>5514125770</v>
      </c>
      <c r="X777" s="28">
        <f t="shared" si="60"/>
        <v>0</v>
      </c>
      <c r="Y777" s="36">
        <f t="shared" si="61"/>
        <v>15000000</v>
      </c>
      <c r="Z777" s="28">
        <f t="shared" si="62"/>
        <v>24000000</v>
      </c>
      <c r="AA777" s="8">
        <v>5514125770</v>
      </c>
      <c r="AB777" s="40"/>
      <c r="AC777" s="121">
        <f t="shared" si="63"/>
        <v>2</v>
      </c>
      <c r="AD777" s="121"/>
    </row>
    <row r="778" spans="1:30" ht="46.8" x14ac:dyDescent="0.3">
      <c r="A778" s="7" t="s">
        <v>18</v>
      </c>
      <c r="B778" s="6">
        <v>765</v>
      </c>
      <c r="C778" s="7" t="s">
        <v>2877</v>
      </c>
      <c r="D778" s="7" t="s">
        <v>3290</v>
      </c>
      <c r="E778" s="5"/>
      <c r="F778" s="4"/>
      <c r="G778" s="7" t="s">
        <v>3291</v>
      </c>
      <c r="H778" s="5"/>
      <c r="I778" s="5"/>
      <c r="J778" s="21" t="s">
        <v>3292</v>
      </c>
      <c r="K778" s="7" t="s">
        <v>24</v>
      </c>
      <c r="L778" s="7" t="s">
        <v>2826</v>
      </c>
      <c r="M778" s="114">
        <v>10000000</v>
      </c>
      <c r="N778" s="111"/>
      <c r="O778" s="114">
        <v>15000000</v>
      </c>
      <c r="P778" s="110"/>
      <c r="Q778" s="109">
        <f t="shared" si="59"/>
        <v>25000000</v>
      </c>
      <c r="R778" s="20">
        <v>10000000</v>
      </c>
      <c r="S778" s="5"/>
      <c r="T778" s="30">
        <v>15000000</v>
      </c>
      <c r="U778" s="5"/>
      <c r="V778" s="5"/>
      <c r="W778" s="28"/>
      <c r="X778" s="28">
        <f t="shared" si="60"/>
        <v>0</v>
      </c>
      <c r="Y778" s="28">
        <f t="shared" si="61"/>
        <v>0</v>
      </c>
      <c r="Z778" s="28">
        <f t="shared" si="62"/>
        <v>0</v>
      </c>
      <c r="AA778" s="4"/>
      <c r="AB778" s="4"/>
      <c r="AC778">
        <f t="shared" si="63"/>
        <v>2</v>
      </c>
    </row>
    <row r="779" spans="1:30" ht="46.8" x14ac:dyDescent="0.3">
      <c r="A779" s="7" t="s">
        <v>18</v>
      </c>
      <c r="B779" s="6">
        <v>766</v>
      </c>
      <c r="C779" s="7" t="s">
        <v>2877</v>
      </c>
      <c r="D779" s="7" t="s">
        <v>3293</v>
      </c>
      <c r="E779" s="7"/>
      <c r="F779" s="4"/>
      <c r="G779" s="7" t="s">
        <v>3294</v>
      </c>
      <c r="H779" s="7"/>
      <c r="I779" s="7"/>
      <c r="J779" s="7" t="s">
        <v>3295</v>
      </c>
      <c r="K779" s="7" t="s">
        <v>24</v>
      </c>
      <c r="L779" s="7" t="s">
        <v>3296</v>
      </c>
      <c r="M779" s="114">
        <v>14658797865</v>
      </c>
      <c r="N779" s="111"/>
      <c r="O779" s="109">
        <v>15000000</v>
      </c>
      <c r="P779" s="110"/>
      <c r="Q779" s="109">
        <f t="shared" si="59"/>
        <v>14673797865</v>
      </c>
      <c r="R779" s="5"/>
      <c r="S779" s="5"/>
      <c r="T779" s="72"/>
      <c r="U779" s="5"/>
      <c r="V779" s="5"/>
      <c r="W779" s="28">
        <v>14658797865</v>
      </c>
      <c r="X779" s="28">
        <f t="shared" si="60"/>
        <v>0</v>
      </c>
      <c r="Y779" s="36">
        <f t="shared" si="61"/>
        <v>15000000</v>
      </c>
      <c r="Z779" s="28">
        <f t="shared" si="62"/>
        <v>0</v>
      </c>
      <c r="AA779" s="10">
        <v>14658797865</v>
      </c>
      <c r="AB779" s="40"/>
      <c r="AC779" s="121">
        <f t="shared" si="63"/>
        <v>2</v>
      </c>
      <c r="AD779" s="121"/>
    </row>
    <row r="780" spans="1:30" ht="31.2" x14ac:dyDescent="0.3">
      <c r="A780" s="7" t="s">
        <v>1601</v>
      </c>
      <c r="B780" s="6">
        <v>767</v>
      </c>
      <c r="C780" s="7" t="s">
        <v>2877</v>
      </c>
      <c r="D780" s="7" t="s">
        <v>3297</v>
      </c>
      <c r="E780" s="7" t="s">
        <v>2343</v>
      </c>
      <c r="F780" s="40" t="s">
        <v>1397</v>
      </c>
      <c r="G780" s="7" t="s">
        <v>3298</v>
      </c>
      <c r="H780" s="5"/>
      <c r="I780" s="5"/>
      <c r="J780" s="21" t="s">
        <v>3299</v>
      </c>
      <c r="K780" s="7" t="s">
        <v>24</v>
      </c>
      <c r="L780" s="7" t="s">
        <v>3300</v>
      </c>
      <c r="M780" s="114">
        <v>10000000</v>
      </c>
      <c r="N780" s="116">
        <v>3051023772</v>
      </c>
      <c r="O780" s="114">
        <v>15000000</v>
      </c>
      <c r="P780" s="112">
        <v>48000000</v>
      </c>
      <c r="Q780" s="109">
        <f t="shared" si="59"/>
        <v>3124023772</v>
      </c>
      <c r="R780" s="38">
        <v>10000000</v>
      </c>
      <c r="S780" s="14">
        <v>3051023772</v>
      </c>
      <c r="T780" s="30">
        <v>15000000</v>
      </c>
      <c r="U780" s="28">
        <v>48000000</v>
      </c>
      <c r="V780" s="5"/>
      <c r="W780" s="28"/>
      <c r="X780" s="28">
        <f t="shared" si="60"/>
        <v>0</v>
      </c>
      <c r="Y780" s="28">
        <f t="shared" si="61"/>
        <v>0</v>
      </c>
      <c r="Z780" s="28">
        <f t="shared" si="62"/>
        <v>0</v>
      </c>
      <c r="AA780" s="4"/>
      <c r="AB780" s="4"/>
      <c r="AC780">
        <f t="shared" si="63"/>
        <v>2</v>
      </c>
    </row>
    <row r="781" spans="1:30" ht="62.4" customHeight="1" x14ac:dyDescent="0.3">
      <c r="A781" s="7" t="s">
        <v>2290</v>
      </c>
      <c r="B781" s="6">
        <v>768</v>
      </c>
      <c r="C781" s="7" t="s">
        <v>2877</v>
      </c>
      <c r="D781" s="7" t="s">
        <v>3301</v>
      </c>
      <c r="E781" s="7" t="s">
        <v>3302</v>
      </c>
      <c r="F781" s="40" t="s">
        <v>3119</v>
      </c>
      <c r="G781" s="7" t="s">
        <v>3303</v>
      </c>
      <c r="H781" s="7" t="s">
        <v>3304</v>
      </c>
      <c r="I781" s="5"/>
      <c r="J781" s="21" t="s">
        <v>3305</v>
      </c>
      <c r="K781" s="7" t="s">
        <v>24</v>
      </c>
      <c r="L781" s="7" t="s">
        <v>3306</v>
      </c>
      <c r="M781" s="114">
        <v>10000000</v>
      </c>
      <c r="N781" s="116">
        <v>446131840</v>
      </c>
      <c r="O781" s="114">
        <v>15000000</v>
      </c>
      <c r="P781" s="112">
        <v>72000000</v>
      </c>
      <c r="Q781" s="109">
        <f t="shared" si="59"/>
        <v>543131840</v>
      </c>
      <c r="R781" s="20">
        <v>10000000</v>
      </c>
      <c r="S781" s="20">
        <v>446131840</v>
      </c>
      <c r="T781" s="30">
        <v>15000000</v>
      </c>
      <c r="U781" s="20">
        <v>72000000</v>
      </c>
      <c r="V781" s="5"/>
      <c r="W781" s="28"/>
      <c r="X781" s="28">
        <f t="shared" si="60"/>
        <v>0</v>
      </c>
      <c r="Y781" s="28">
        <f t="shared" si="61"/>
        <v>0</v>
      </c>
      <c r="Z781" s="28">
        <f t="shared" si="62"/>
        <v>0</v>
      </c>
      <c r="AA781" s="4"/>
      <c r="AB781" s="4"/>
      <c r="AC781">
        <f t="shared" si="63"/>
        <v>2</v>
      </c>
    </row>
    <row r="782" spans="1:30" ht="31.2" x14ac:dyDescent="0.3">
      <c r="A782" s="7" t="s">
        <v>1601</v>
      </c>
      <c r="B782" s="6">
        <v>769</v>
      </c>
      <c r="C782" s="7" t="s">
        <v>2877</v>
      </c>
      <c r="D782" s="7" t="s">
        <v>3307</v>
      </c>
      <c r="E782" s="7" t="s">
        <v>3308</v>
      </c>
      <c r="F782" s="4"/>
      <c r="G782" s="7" t="s">
        <v>3309</v>
      </c>
      <c r="H782" s="7" t="s">
        <v>3310</v>
      </c>
      <c r="I782" s="5"/>
      <c r="J782" s="21" t="s">
        <v>3311</v>
      </c>
      <c r="K782" s="7" t="s">
        <v>24</v>
      </c>
      <c r="L782" s="7" t="s">
        <v>3312</v>
      </c>
      <c r="M782" s="114">
        <v>3490863064</v>
      </c>
      <c r="N782" s="109">
        <v>10000000</v>
      </c>
      <c r="O782" s="114">
        <v>15000000</v>
      </c>
      <c r="P782" s="110"/>
      <c r="Q782" s="109">
        <f t="shared" ref="Q782:Q845" si="64">M782+N782+O782+P782</f>
        <v>3515863064</v>
      </c>
      <c r="R782" s="37">
        <v>3490863064</v>
      </c>
      <c r="S782" s="28">
        <v>10000000</v>
      </c>
      <c r="T782" s="31">
        <v>15000000</v>
      </c>
      <c r="U782" s="5"/>
      <c r="V782" s="5"/>
      <c r="W782" s="28"/>
      <c r="X782" s="28">
        <f t="shared" ref="X782:X845" si="65">N782-S782</f>
        <v>0</v>
      </c>
      <c r="Y782" s="28">
        <f t="shared" ref="Y782:Y845" si="66">O782-T782</f>
        <v>0</v>
      </c>
      <c r="Z782" s="28">
        <f t="shared" ref="Z782:Z845" si="67">P782-U782</f>
        <v>0</v>
      </c>
      <c r="AA782" s="4"/>
      <c r="AB782" s="4"/>
      <c r="AC782">
        <f t="shared" ref="AC782:AC845" si="68">IF(AB782=G782,1,2)</f>
        <v>2</v>
      </c>
    </row>
    <row r="783" spans="1:30" ht="63" x14ac:dyDescent="0.3">
      <c r="A783" s="7" t="s">
        <v>62</v>
      </c>
      <c r="B783" s="6">
        <v>770</v>
      </c>
      <c r="C783" s="7" t="s">
        <v>3313</v>
      </c>
      <c r="D783" s="7" t="s">
        <v>3314</v>
      </c>
      <c r="E783" s="5"/>
      <c r="F783" s="4"/>
      <c r="G783" s="7" t="s">
        <v>3315</v>
      </c>
      <c r="H783" s="5"/>
      <c r="I783" s="5"/>
      <c r="J783" s="21" t="s">
        <v>3316</v>
      </c>
      <c r="K783" s="7" t="s">
        <v>24</v>
      </c>
      <c r="L783" s="7" t="s">
        <v>3317</v>
      </c>
      <c r="M783" s="114">
        <v>2618310690</v>
      </c>
      <c r="N783" s="111"/>
      <c r="O783" s="114">
        <v>15000000</v>
      </c>
      <c r="P783" s="110"/>
      <c r="Q783" s="109">
        <f t="shared" si="64"/>
        <v>2633310690</v>
      </c>
      <c r="R783" s="14">
        <v>2618310690</v>
      </c>
      <c r="S783" s="5"/>
      <c r="T783" s="30">
        <v>15000000</v>
      </c>
      <c r="U783" s="5"/>
      <c r="V783" s="5"/>
      <c r="W783" s="28"/>
      <c r="X783" s="28">
        <f t="shared" si="65"/>
        <v>0</v>
      </c>
      <c r="Y783" s="28">
        <f t="shared" si="66"/>
        <v>0</v>
      </c>
      <c r="Z783" s="28">
        <f t="shared" si="67"/>
        <v>0</v>
      </c>
      <c r="AA783" s="4"/>
      <c r="AB783" s="4"/>
      <c r="AC783">
        <f t="shared" si="68"/>
        <v>2</v>
      </c>
    </row>
    <row r="784" spans="1:30" ht="42" x14ac:dyDescent="0.3">
      <c r="A784" s="7" t="s">
        <v>46</v>
      </c>
      <c r="B784" s="6">
        <v>771</v>
      </c>
      <c r="C784" s="7" t="s">
        <v>3313</v>
      </c>
      <c r="D784" s="7" t="s">
        <v>3318</v>
      </c>
      <c r="E784" s="7" t="s">
        <v>3319</v>
      </c>
      <c r="F784" s="4"/>
      <c r="G784" s="7" t="s">
        <v>491</v>
      </c>
      <c r="H784" s="7" t="s">
        <v>3320</v>
      </c>
      <c r="I784" s="5"/>
      <c r="J784" s="21" t="s">
        <v>197</v>
      </c>
      <c r="K784" s="7" t="s">
        <v>24</v>
      </c>
      <c r="L784" s="7" t="s">
        <v>3321</v>
      </c>
      <c r="M784" s="114">
        <v>1712844388</v>
      </c>
      <c r="N784" s="114">
        <v>448994826</v>
      </c>
      <c r="O784" s="114">
        <v>15000000</v>
      </c>
      <c r="P784" s="110"/>
      <c r="Q784" s="109">
        <f t="shared" si="64"/>
        <v>2176839214</v>
      </c>
      <c r="R784" s="14">
        <v>1712844388</v>
      </c>
      <c r="S784" s="3">
        <v>448994826</v>
      </c>
      <c r="T784" s="30">
        <v>15000000</v>
      </c>
      <c r="U784" s="5"/>
      <c r="V784" s="5"/>
      <c r="W784" s="28"/>
      <c r="X784" s="28">
        <f t="shared" si="65"/>
        <v>0</v>
      </c>
      <c r="Y784" s="28">
        <f t="shared" si="66"/>
        <v>0</v>
      </c>
      <c r="Z784" s="28">
        <f t="shared" si="67"/>
        <v>0</v>
      </c>
      <c r="AA784" s="4"/>
      <c r="AB784" s="4"/>
      <c r="AC784">
        <f t="shared" si="68"/>
        <v>2</v>
      </c>
    </row>
    <row r="785" spans="1:30" ht="31.2" x14ac:dyDescent="0.3">
      <c r="A785" s="7" t="s">
        <v>62</v>
      </c>
      <c r="B785" s="6">
        <v>772</v>
      </c>
      <c r="C785" s="7" t="s">
        <v>3313</v>
      </c>
      <c r="D785" s="7" t="s">
        <v>3322</v>
      </c>
      <c r="E785" s="5"/>
      <c r="F785" s="4"/>
      <c r="G785" s="7" t="s">
        <v>3323</v>
      </c>
      <c r="H785" s="5"/>
      <c r="I785" s="7" t="s">
        <v>3324</v>
      </c>
      <c r="J785" s="21" t="s">
        <v>3325</v>
      </c>
      <c r="K785" s="7" t="s">
        <v>24</v>
      </c>
      <c r="L785" s="7" t="s">
        <v>3239</v>
      </c>
      <c r="M785" s="114">
        <v>621204580</v>
      </c>
      <c r="N785" s="111"/>
      <c r="O785" s="114">
        <v>15000000</v>
      </c>
      <c r="P785" s="110"/>
      <c r="Q785" s="109">
        <f t="shared" si="64"/>
        <v>636204580</v>
      </c>
      <c r="R785" s="14">
        <v>621204580</v>
      </c>
      <c r="S785" s="5"/>
      <c r="T785" s="30">
        <v>15000000</v>
      </c>
      <c r="U785" s="5"/>
      <c r="V785" s="5"/>
      <c r="W785" s="28"/>
      <c r="X785" s="28">
        <f t="shared" si="65"/>
        <v>0</v>
      </c>
      <c r="Y785" s="28">
        <f t="shared" si="66"/>
        <v>0</v>
      </c>
      <c r="Z785" s="28">
        <f t="shared" si="67"/>
        <v>0</v>
      </c>
      <c r="AA785" s="4"/>
      <c r="AB785" s="4"/>
      <c r="AC785">
        <f t="shared" si="68"/>
        <v>2</v>
      </c>
    </row>
    <row r="786" spans="1:30" ht="31.2" x14ac:dyDescent="0.3">
      <c r="A786" s="7" t="s">
        <v>62</v>
      </c>
      <c r="B786" s="6">
        <v>773</v>
      </c>
      <c r="C786" s="7" t="s">
        <v>3313</v>
      </c>
      <c r="D786" s="7" t="s">
        <v>3326</v>
      </c>
      <c r="E786" s="7" t="s">
        <v>3327</v>
      </c>
      <c r="F786" s="4"/>
      <c r="G786" s="7" t="s">
        <v>3328</v>
      </c>
      <c r="H786" s="7" t="s">
        <v>3329</v>
      </c>
      <c r="I786" s="5"/>
      <c r="J786" s="21" t="s">
        <v>3330</v>
      </c>
      <c r="K786" s="7" t="s">
        <v>24</v>
      </c>
      <c r="L786" s="7" t="s">
        <v>2856</v>
      </c>
      <c r="M786" s="114">
        <v>628099720</v>
      </c>
      <c r="N786" s="114">
        <v>86421485</v>
      </c>
      <c r="O786" s="114">
        <v>15000000</v>
      </c>
      <c r="P786" s="110"/>
      <c r="Q786" s="109">
        <f t="shared" si="64"/>
        <v>729521205</v>
      </c>
      <c r="R786" s="14">
        <v>628099720</v>
      </c>
      <c r="S786" s="14">
        <v>86421485</v>
      </c>
      <c r="T786" s="33">
        <v>15000000</v>
      </c>
      <c r="U786" s="5"/>
      <c r="V786" s="5"/>
      <c r="W786" s="28"/>
      <c r="X786" s="28">
        <f t="shared" si="65"/>
        <v>0</v>
      </c>
      <c r="Y786" s="28">
        <f t="shared" si="66"/>
        <v>0</v>
      </c>
      <c r="Z786" s="28">
        <f t="shared" si="67"/>
        <v>0</v>
      </c>
      <c r="AA786" s="4"/>
      <c r="AB786" s="4"/>
      <c r="AC786">
        <f t="shared" si="68"/>
        <v>2</v>
      </c>
    </row>
    <row r="787" spans="1:30" ht="42" x14ac:dyDescent="0.3">
      <c r="A787" s="7" t="s">
        <v>62</v>
      </c>
      <c r="B787" s="6">
        <v>774</v>
      </c>
      <c r="C787" s="7" t="s">
        <v>3313</v>
      </c>
      <c r="D787" s="7" t="s">
        <v>3331</v>
      </c>
      <c r="E787" s="5"/>
      <c r="F787" s="4"/>
      <c r="G787" s="7" t="s">
        <v>3332</v>
      </c>
      <c r="H787" s="5"/>
      <c r="I787" s="7" t="s">
        <v>3324</v>
      </c>
      <c r="J787" s="21" t="s">
        <v>3333</v>
      </c>
      <c r="K787" s="7" t="s">
        <v>24</v>
      </c>
      <c r="L787" s="7" t="s">
        <v>3334</v>
      </c>
      <c r="M787" s="114">
        <v>8111488</v>
      </c>
      <c r="N787" s="111"/>
      <c r="O787" s="114">
        <v>7500000</v>
      </c>
      <c r="P787" s="110"/>
      <c r="Q787" s="109">
        <f t="shared" si="64"/>
        <v>15611488</v>
      </c>
      <c r="R787" s="14">
        <v>8111488</v>
      </c>
      <c r="S787" s="5"/>
      <c r="T787" s="33">
        <v>7500000</v>
      </c>
      <c r="U787" s="5"/>
      <c r="V787" s="5"/>
      <c r="W787" s="28"/>
      <c r="X787" s="28">
        <f t="shared" si="65"/>
        <v>0</v>
      </c>
      <c r="Y787" s="28">
        <f t="shared" si="66"/>
        <v>0</v>
      </c>
      <c r="Z787" s="28">
        <f t="shared" si="67"/>
        <v>0</v>
      </c>
      <c r="AA787" s="4"/>
      <c r="AB787" s="4"/>
      <c r="AC787">
        <f t="shared" si="68"/>
        <v>2</v>
      </c>
    </row>
    <row r="788" spans="1:30" ht="46.8" customHeight="1" x14ac:dyDescent="0.3">
      <c r="A788" s="7" t="s">
        <v>62</v>
      </c>
      <c r="B788" s="6">
        <v>775</v>
      </c>
      <c r="C788" s="7" t="s">
        <v>3313</v>
      </c>
      <c r="D788" s="7" t="s">
        <v>3335</v>
      </c>
      <c r="E788" s="7" t="s">
        <v>3336</v>
      </c>
      <c r="F788" s="40" t="s">
        <v>3907</v>
      </c>
      <c r="G788" s="7" t="s">
        <v>3337</v>
      </c>
      <c r="H788" s="7" t="s">
        <v>3338</v>
      </c>
      <c r="I788" s="7" t="s">
        <v>3324</v>
      </c>
      <c r="J788" s="21" t="s">
        <v>3339</v>
      </c>
      <c r="K788" s="7" t="s">
        <v>24</v>
      </c>
      <c r="L788" s="7" t="s">
        <v>2856</v>
      </c>
      <c r="M788" s="114">
        <v>563400736</v>
      </c>
      <c r="N788" s="114">
        <v>138350184</v>
      </c>
      <c r="O788" s="114">
        <v>15000000</v>
      </c>
      <c r="P788" s="112">
        <v>72000000</v>
      </c>
      <c r="Q788" s="109">
        <f t="shared" si="64"/>
        <v>788750920</v>
      </c>
      <c r="R788" s="14">
        <v>563400736</v>
      </c>
      <c r="S788" s="14">
        <v>138350184</v>
      </c>
      <c r="T788" s="30">
        <v>15000000</v>
      </c>
      <c r="U788" s="14">
        <v>72000000</v>
      </c>
      <c r="V788" s="5"/>
      <c r="W788" s="28"/>
      <c r="X788" s="28">
        <f t="shared" si="65"/>
        <v>0</v>
      </c>
      <c r="Y788" s="28">
        <f t="shared" si="66"/>
        <v>0</v>
      </c>
      <c r="Z788" s="28">
        <f t="shared" si="67"/>
        <v>0</v>
      </c>
      <c r="AA788" s="4"/>
      <c r="AB788" s="4"/>
      <c r="AC788">
        <f t="shared" si="68"/>
        <v>2</v>
      </c>
    </row>
    <row r="789" spans="1:30" ht="31.2" x14ac:dyDescent="0.3">
      <c r="A789" s="7" t="s">
        <v>18</v>
      </c>
      <c r="B789" s="6">
        <v>776</v>
      </c>
      <c r="C789" s="7" t="s">
        <v>3313</v>
      </c>
      <c r="D789" s="7" t="s">
        <v>3340</v>
      </c>
      <c r="E789" s="7" t="s">
        <v>3341</v>
      </c>
      <c r="F789" s="4"/>
      <c r="G789" s="7" t="s">
        <v>3342</v>
      </c>
      <c r="H789" s="7" t="s">
        <v>3343</v>
      </c>
      <c r="I789" s="7" t="s">
        <v>3324</v>
      </c>
      <c r="J789" s="7" t="s">
        <v>3344</v>
      </c>
      <c r="K789" s="7" t="s">
        <v>24</v>
      </c>
      <c r="L789" s="7" t="s">
        <v>2856</v>
      </c>
      <c r="M789" s="109">
        <v>449682880</v>
      </c>
      <c r="N789" s="109">
        <v>66332280</v>
      </c>
      <c r="O789" s="114">
        <v>15000000</v>
      </c>
      <c r="P789" s="110"/>
      <c r="Q789" s="109">
        <f t="shared" si="64"/>
        <v>531015160</v>
      </c>
      <c r="R789" s="14">
        <v>449682880</v>
      </c>
      <c r="S789" s="36">
        <v>66332280</v>
      </c>
      <c r="T789" s="31">
        <v>15000000</v>
      </c>
      <c r="U789" s="5"/>
      <c r="V789" s="5"/>
      <c r="W789" s="28"/>
      <c r="X789" s="36">
        <f t="shared" si="65"/>
        <v>0</v>
      </c>
      <c r="Y789" s="28">
        <f t="shared" si="66"/>
        <v>0</v>
      </c>
      <c r="Z789" s="28">
        <f t="shared" si="67"/>
        <v>0</v>
      </c>
      <c r="AA789" s="40"/>
      <c r="AB789" s="40"/>
      <c r="AC789" s="61">
        <f t="shared" si="68"/>
        <v>2</v>
      </c>
      <c r="AD789" s="61"/>
    </row>
    <row r="790" spans="1:30" ht="31.2" x14ac:dyDescent="0.3">
      <c r="A790" s="7" t="s">
        <v>62</v>
      </c>
      <c r="B790" s="6">
        <v>777</v>
      </c>
      <c r="C790" s="7" t="s">
        <v>3313</v>
      </c>
      <c r="D790" s="7" t="s">
        <v>3345</v>
      </c>
      <c r="E790" s="5"/>
      <c r="F790" s="40" t="s">
        <v>3346</v>
      </c>
      <c r="G790" s="7" t="s">
        <v>3347</v>
      </c>
      <c r="H790" s="5"/>
      <c r="I790" s="5"/>
      <c r="J790" s="21" t="s">
        <v>3348</v>
      </c>
      <c r="K790" s="7" t="s">
        <v>24</v>
      </c>
      <c r="L790" s="7" t="s">
        <v>2856</v>
      </c>
      <c r="M790" s="114">
        <v>885586096</v>
      </c>
      <c r="N790" s="111"/>
      <c r="O790" s="114">
        <v>15000000</v>
      </c>
      <c r="P790" s="112">
        <v>40000000</v>
      </c>
      <c r="Q790" s="109">
        <f t="shared" si="64"/>
        <v>940586096</v>
      </c>
      <c r="R790" s="14">
        <v>885586096</v>
      </c>
      <c r="S790" s="5"/>
      <c r="T790" s="33">
        <v>15000000</v>
      </c>
      <c r="U790" s="28">
        <v>40000000</v>
      </c>
      <c r="V790" s="5"/>
      <c r="W790" s="28"/>
      <c r="X790" s="28">
        <f t="shared" si="65"/>
        <v>0</v>
      </c>
      <c r="Y790" s="28">
        <f t="shared" si="66"/>
        <v>0</v>
      </c>
      <c r="Z790" s="28">
        <f t="shared" si="67"/>
        <v>0</v>
      </c>
      <c r="AA790" s="4"/>
      <c r="AB790" s="4"/>
      <c r="AC790">
        <f t="shared" si="68"/>
        <v>2</v>
      </c>
    </row>
    <row r="791" spans="1:30" ht="62.4" customHeight="1" x14ac:dyDescent="0.3">
      <c r="A791" s="7" t="s">
        <v>62</v>
      </c>
      <c r="B791" s="6">
        <v>778</v>
      </c>
      <c r="C791" s="7" t="s">
        <v>3313</v>
      </c>
      <c r="D791" s="7" t="s">
        <v>3349</v>
      </c>
      <c r="E791" s="5"/>
      <c r="F791" s="40" t="s">
        <v>1597</v>
      </c>
      <c r="G791" s="7" t="s">
        <v>3350</v>
      </c>
      <c r="H791" s="5"/>
      <c r="I791" s="7" t="s">
        <v>3324</v>
      </c>
      <c r="J791" s="21" t="s">
        <v>3351</v>
      </c>
      <c r="K791" s="7" t="s">
        <v>24</v>
      </c>
      <c r="L791" s="7" t="s">
        <v>3352</v>
      </c>
      <c r="M791" s="114">
        <v>805645312</v>
      </c>
      <c r="N791" s="111"/>
      <c r="O791" s="114">
        <v>15000000</v>
      </c>
      <c r="P791" s="112">
        <v>72000000</v>
      </c>
      <c r="Q791" s="109">
        <f t="shared" si="64"/>
        <v>892645312</v>
      </c>
      <c r="R791" s="14">
        <v>805645312</v>
      </c>
      <c r="S791" s="5"/>
      <c r="T791" s="30">
        <v>15000000</v>
      </c>
      <c r="U791" s="14">
        <v>72000000</v>
      </c>
      <c r="V791" s="5"/>
      <c r="W791" s="28"/>
      <c r="X791" s="28">
        <f t="shared" si="65"/>
        <v>0</v>
      </c>
      <c r="Y791" s="28">
        <f t="shared" si="66"/>
        <v>0</v>
      </c>
      <c r="Z791" s="28">
        <f t="shared" si="67"/>
        <v>0</v>
      </c>
      <c r="AA791" s="4"/>
      <c r="AB791" s="4"/>
      <c r="AC791">
        <f t="shared" si="68"/>
        <v>2</v>
      </c>
    </row>
    <row r="792" spans="1:30" ht="46.8" x14ac:dyDescent="0.3">
      <c r="A792" s="7" t="s">
        <v>62</v>
      </c>
      <c r="B792" s="6">
        <v>779</v>
      </c>
      <c r="C792" s="7" t="s">
        <v>3313</v>
      </c>
      <c r="D792" s="7" t="s">
        <v>3353</v>
      </c>
      <c r="E792" s="5"/>
      <c r="F792" s="4"/>
      <c r="G792" s="7" t="s">
        <v>3354</v>
      </c>
      <c r="H792" s="5"/>
      <c r="I792" s="7" t="s">
        <v>3324</v>
      </c>
      <c r="J792" s="21" t="s">
        <v>3355</v>
      </c>
      <c r="K792" s="7" t="s">
        <v>24</v>
      </c>
      <c r="L792" s="7" t="s">
        <v>3356</v>
      </c>
      <c r="M792" s="114">
        <v>10000000</v>
      </c>
      <c r="N792" s="111"/>
      <c r="O792" s="114">
        <v>15000000</v>
      </c>
      <c r="P792" s="110"/>
      <c r="Q792" s="109">
        <f t="shared" si="64"/>
        <v>25000000</v>
      </c>
      <c r="R792" s="14">
        <v>10000000</v>
      </c>
      <c r="S792" s="5"/>
      <c r="T792" s="30">
        <v>15000000</v>
      </c>
      <c r="U792" s="5"/>
      <c r="V792" s="5"/>
      <c r="W792" s="28"/>
      <c r="X792" s="28">
        <f t="shared" si="65"/>
        <v>0</v>
      </c>
      <c r="Y792" s="28">
        <f t="shared" si="66"/>
        <v>0</v>
      </c>
      <c r="Z792" s="28">
        <f t="shared" si="67"/>
        <v>0</v>
      </c>
      <c r="AA792" s="4"/>
      <c r="AB792" s="4"/>
      <c r="AC792">
        <f t="shared" si="68"/>
        <v>2</v>
      </c>
    </row>
    <row r="793" spans="1:30" ht="46.8" x14ac:dyDescent="0.3">
      <c r="A793" s="7" t="s">
        <v>62</v>
      </c>
      <c r="B793" s="6">
        <v>780</v>
      </c>
      <c r="C793" s="7" t="s">
        <v>3313</v>
      </c>
      <c r="D793" s="7" t="s">
        <v>3357</v>
      </c>
      <c r="E793" s="7" t="s">
        <v>2442</v>
      </c>
      <c r="F793" s="40" t="s">
        <v>1162</v>
      </c>
      <c r="G793" s="7" t="s">
        <v>3358</v>
      </c>
      <c r="H793" s="7" t="s">
        <v>3359</v>
      </c>
      <c r="I793" s="7" t="s">
        <v>3324</v>
      </c>
      <c r="J793" s="21" t="s">
        <v>3360</v>
      </c>
      <c r="K793" s="7" t="s">
        <v>24</v>
      </c>
      <c r="L793" s="7" t="s">
        <v>3361</v>
      </c>
      <c r="M793" s="114">
        <v>10000000</v>
      </c>
      <c r="N793" s="114">
        <v>619479840</v>
      </c>
      <c r="O793" s="114">
        <v>15000000</v>
      </c>
      <c r="P793" s="112">
        <v>48000000</v>
      </c>
      <c r="Q793" s="109">
        <f t="shared" si="64"/>
        <v>692479840</v>
      </c>
      <c r="R793" s="14">
        <v>10000000</v>
      </c>
      <c r="S793" s="14">
        <v>619479840</v>
      </c>
      <c r="T793" s="30">
        <v>15000000</v>
      </c>
      <c r="U793" s="28">
        <v>48000000</v>
      </c>
      <c r="V793" s="5"/>
      <c r="W793" s="28"/>
      <c r="X793" s="28">
        <f t="shared" si="65"/>
        <v>0</v>
      </c>
      <c r="Y793" s="28">
        <f t="shared" si="66"/>
        <v>0</v>
      </c>
      <c r="Z793" s="28">
        <f t="shared" si="67"/>
        <v>0</v>
      </c>
      <c r="AA793" s="4"/>
      <c r="AB793" s="4"/>
      <c r="AC793">
        <f t="shared" si="68"/>
        <v>2</v>
      </c>
    </row>
    <row r="794" spans="1:30" ht="31.2" x14ac:dyDescent="0.3">
      <c r="A794" s="7" t="s">
        <v>62</v>
      </c>
      <c r="B794" s="6">
        <v>781</v>
      </c>
      <c r="C794" s="7" t="s">
        <v>3313</v>
      </c>
      <c r="D794" s="7" t="s">
        <v>3362</v>
      </c>
      <c r="E794" s="7" t="s">
        <v>3363</v>
      </c>
      <c r="F794" s="40" t="s">
        <v>691</v>
      </c>
      <c r="G794" s="7" t="s">
        <v>3364</v>
      </c>
      <c r="H794" s="7" t="s">
        <v>3365</v>
      </c>
      <c r="I794" s="7" t="s">
        <v>3324</v>
      </c>
      <c r="J794" s="21" t="s">
        <v>3366</v>
      </c>
      <c r="K794" s="7" t="s">
        <v>24</v>
      </c>
      <c r="L794" s="7" t="s">
        <v>3367</v>
      </c>
      <c r="M794" s="114">
        <v>1064740652</v>
      </c>
      <c r="N794" s="114">
        <v>253106154</v>
      </c>
      <c r="O794" s="114">
        <v>15000000</v>
      </c>
      <c r="P794" s="112">
        <v>12533339</v>
      </c>
      <c r="Q794" s="109">
        <f t="shared" si="64"/>
        <v>1345380145</v>
      </c>
      <c r="R794" s="14">
        <v>1064740652</v>
      </c>
      <c r="S794" s="14">
        <v>253106154</v>
      </c>
      <c r="T794" s="33">
        <v>15000000</v>
      </c>
      <c r="U794" s="14">
        <v>12533339</v>
      </c>
      <c r="V794" s="5"/>
      <c r="W794" s="28"/>
      <c r="X794" s="28">
        <f t="shared" si="65"/>
        <v>0</v>
      </c>
      <c r="Y794" s="28">
        <f t="shared" si="66"/>
        <v>0</v>
      </c>
      <c r="Z794" s="28">
        <f t="shared" si="67"/>
        <v>0</v>
      </c>
      <c r="AA794" s="4"/>
      <c r="AB794" s="4"/>
      <c r="AC794">
        <f t="shared" si="68"/>
        <v>2</v>
      </c>
    </row>
    <row r="795" spans="1:30" ht="42" x14ac:dyDescent="0.3">
      <c r="A795" s="7" t="s">
        <v>62</v>
      </c>
      <c r="B795" s="6">
        <v>782</v>
      </c>
      <c r="C795" s="7" t="s">
        <v>3313</v>
      </c>
      <c r="D795" s="7" t="s">
        <v>3368</v>
      </c>
      <c r="E795" s="5"/>
      <c r="F795" s="4"/>
      <c r="G795" s="7" t="s">
        <v>3369</v>
      </c>
      <c r="H795" s="5"/>
      <c r="I795" s="5"/>
      <c r="J795" s="21" t="s">
        <v>3370</v>
      </c>
      <c r="K795" s="7" t="s">
        <v>24</v>
      </c>
      <c r="L795" s="7" t="s">
        <v>3371</v>
      </c>
      <c r="M795" s="114">
        <v>1564043176</v>
      </c>
      <c r="N795" s="111"/>
      <c r="O795" s="114">
        <v>15000000</v>
      </c>
      <c r="P795" s="110"/>
      <c r="Q795" s="109">
        <f t="shared" si="64"/>
        <v>1579043176</v>
      </c>
      <c r="R795" s="14">
        <v>1564043176</v>
      </c>
      <c r="S795" s="5"/>
      <c r="T795" s="30">
        <v>15000000</v>
      </c>
      <c r="U795" s="5"/>
      <c r="V795" s="5"/>
      <c r="W795" s="28"/>
      <c r="X795" s="28">
        <f t="shared" si="65"/>
        <v>0</v>
      </c>
      <c r="Y795" s="28">
        <f t="shared" si="66"/>
        <v>0</v>
      </c>
      <c r="Z795" s="28">
        <f t="shared" si="67"/>
        <v>0</v>
      </c>
      <c r="AA795" s="4"/>
      <c r="AB795" s="4"/>
      <c r="AC795">
        <f t="shared" si="68"/>
        <v>2</v>
      </c>
    </row>
    <row r="796" spans="1:30" ht="93.6" customHeight="1" x14ac:dyDescent="0.3">
      <c r="A796" s="7" t="s">
        <v>62</v>
      </c>
      <c r="B796" s="6">
        <v>783</v>
      </c>
      <c r="C796" s="7" t="s">
        <v>3313</v>
      </c>
      <c r="D796" s="7" t="s">
        <v>3372</v>
      </c>
      <c r="E796" s="5"/>
      <c r="F796" s="40" t="s">
        <v>3373</v>
      </c>
      <c r="G796" s="7" t="s">
        <v>3374</v>
      </c>
      <c r="H796" s="5"/>
      <c r="I796" s="5"/>
      <c r="J796" s="21" t="s">
        <v>3375</v>
      </c>
      <c r="K796" s="7" t="s">
        <v>24</v>
      </c>
      <c r="L796" s="7" t="s">
        <v>3376</v>
      </c>
      <c r="M796" s="114">
        <v>1162218928</v>
      </c>
      <c r="N796" s="111"/>
      <c r="O796" s="114">
        <v>15000000</v>
      </c>
      <c r="P796" s="112">
        <v>120000000</v>
      </c>
      <c r="Q796" s="109">
        <f t="shared" si="64"/>
        <v>1297218928</v>
      </c>
      <c r="R796" s="14">
        <v>1162218928</v>
      </c>
      <c r="S796" s="5"/>
      <c r="T796" s="33">
        <v>15000000</v>
      </c>
      <c r="U796" s="14">
        <v>120000000</v>
      </c>
      <c r="V796" s="5"/>
      <c r="W796" s="28"/>
      <c r="X796" s="28">
        <f t="shared" si="65"/>
        <v>0</v>
      </c>
      <c r="Y796" s="28">
        <f t="shared" si="66"/>
        <v>0</v>
      </c>
      <c r="Z796" s="28">
        <f t="shared" si="67"/>
        <v>0</v>
      </c>
      <c r="AA796" s="4"/>
      <c r="AB796" s="4"/>
      <c r="AC796">
        <f t="shared" si="68"/>
        <v>2</v>
      </c>
    </row>
    <row r="797" spans="1:30" ht="46.8" x14ac:dyDescent="0.3">
      <c r="A797" s="7" t="s">
        <v>62</v>
      </c>
      <c r="B797" s="6">
        <v>784</v>
      </c>
      <c r="C797" s="7" t="s">
        <v>3313</v>
      </c>
      <c r="D797" s="7" t="s">
        <v>3377</v>
      </c>
      <c r="E797" s="5"/>
      <c r="F797" s="4"/>
      <c r="G797" s="7" t="s">
        <v>3378</v>
      </c>
      <c r="H797" s="5"/>
      <c r="I797" s="5"/>
      <c r="J797" s="21" t="s">
        <v>3379</v>
      </c>
      <c r="K797" s="7" t="s">
        <v>24</v>
      </c>
      <c r="L797" s="7" t="s">
        <v>3380</v>
      </c>
      <c r="M797" s="114">
        <v>253344640</v>
      </c>
      <c r="N797" s="111"/>
      <c r="O797" s="114">
        <v>15000000</v>
      </c>
      <c r="P797" s="110"/>
      <c r="Q797" s="109">
        <f t="shared" si="64"/>
        <v>268344640</v>
      </c>
      <c r="R797" s="14">
        <v>253344640</v>
      </c>
      <c r="S797" s="5"/>
      <c r="T797" s="33">
        <v>15000000</v>
      </c>
      <c r="U797" s="5"/>
      <c r="V797" s="5"/>
      <c r="W797" s="28"/>
      <c r="X797" s="28">
        <f t="shared" si="65"/>
        <v>0</v>
      </c>
      <c r="Y797" s="28">
        <f t="shared" si="66"/>
        <v>0</v>
      </c>
      <c r="Z797" s="28">
        <f t="shared" si="67"/>
        <v>0</v>
      </c>
      <c r="AA797" s="4"/>
      <c r="AB797" s="4"/>
      <c r="AC797">
        <f t="shared" si="68"/>
        <v>2</v>
      </c>
    </row>
    <row r="798" spans="1:30" ht="42" x14ac:dyDescent="0.3">
      <c r="A798" s="7" t="s">
        <v>62</v>
      </c>
      <c r="B798" s="6">
        <v>785</v>
      </c>
      <c r="C798" s="7" t="s">
        <v>3313</v>
      </c>
      <c r="D798" s="7" t="s">
        <v>3381</v>
      </c>
      <c r="E798" s="7" t="s">
        <v>3382</v>
      </c>
      <c r="F798" s="4"/>
      <c r="G798" s="7" t="s">
        <v>3383</v>
      </c>
      <c r="H798" s="7" t="s">
        <v>3384</v>
      </c>
      <c r="I798" s="5"/>
      <c r="J798" s="21" t="s">
        <v>1536</v>
      </c>
      <c r="K798" s="7" t="s">
        <v>24</v>
      </c>
      <c r="L798" s="7" t="s">
        <v>2856</v>
      </c>
      <c r="M798" s="114">
        <v>1955817254</v>
      </c>
      <c r="N798" s="114">
        <v>42737240</v>
      </c>
      <c r="O798" s="114">
        <v>15000000</v>
      </c>
      <c r="P798" s="110"/>
      <c r="Q798" s="109">
        <f t="shared" si="64"/>
        <v>2013554494</v>
      </c>
      <c r="R798" s="14">
        <v>1955817254</v>
      </c>
      <c r="S798" s="14">
        <v>42737240</v>
      </c>
      <c r="T798" s="30">
        <v>15000000</v>
      </c>
      <c r="U798" s="5"/>
      <c r="V798" s="5"/>
      <c r="W798" s="28"/>
      <c r="X798" s="28">
        <f t="shared" si="65"/>
        <v>0</v>
      </c>
      <c r="Y798" s="28">
        <f t="shared" si="66"/>
        <v>0</v>
      </c>
      <c r="Z798" s="28">
        <f t="shared" si="67"/>
        <v>0</v>
      </c>
      <c r="AA798" s="4"/>
      <c r="AB798" s="4"/>
      <c r="AC798">
        <f t="shared" si="68"/>
        <v>2</v>
      </c>
    </row>
    <row r="799" spans="1:30" ht="31.2" x14ac:dyDescent="0.3">
      <c r="A799" s="7" t="s">
        <v>62</v>
      </c>
      <c r="B799" s="6">
        <v>786</v>
      </c>
      <c r="C799" s="7" t="s">
        <v>3313</v>
      </c>
      <c r="D799" s="7" t="s">
        <v>3385</v>
      </c>
      <c r="E799" s="7" t="s">
        <v>3387</v>
      </c>
      <c r="F799" s="40" t="s">
        <v>3386</v>
      </c>
      <c r="G799" s="7" t="s">
        <v>3388</v>
      </c>
      <c r="H799" s="7" t="s">
        <v>3389</v>
      </c>
      <c r="I799" s="7"/>
      <c r="J799" s="7" t="s">
        <v>3390</v>
      </c>
      <c r="K799" s="7" t="s">
        <v>24</v>
      </c>
      <c r="L799" s="7" t="s">
        <v>3391</v>
      </c>
      <c r="M799" s="114">
        <v>10000000</v>
      </c>
      <c r="N799" s="114">
        <v>1809369992</v>
      </c>
      <c r="O799" s="109">
        <v>15000000</v>
      </c>
      <c r="P799" s="112">
        <v>24000000</v>
      </c>
      <c r="Q799" s="109">
        <f t="shared" si="64"/>
        <v>1858369992</v>
      </c>
      <c r="R799" s="14">
        <v>10000000</v>
      </c>
      <c r="S799" s="14">
        <v>1809369992</v>
      </c>
      <c r="T799" s="72"/>
      <c r="U799" s="14">
        <v>24000000</v>
      </c>
      <c r="V799" s="5"/>
      <c r="W799" s="28"/>
      <c r="X799" s="28">
        <f t="shared" si="65"/>
        <v>0</v>
      </c>
      <c r="Y799" s="36">
        <f t="shared" si="66"/>
        <v>15000000</v>
      </c>
      <c r="Z799" s="28">
        <f t="shared" si="67"/>
        <v>0</v>
      </c>
      <c r="AA799" s="4"/>
      <c r="AB799" s="40"/>
      <c r="AC799" s="121">
        <f t="shared" si="68"/>
        <v>2</v>
      </c>
      <c r="AD799" s="121"/>
    </row>
    <row r="800" spans="1:30" ht="62.4" customHeight="1" x14ac:dyDescent="0.3">
      <c r="A800" s="7" t="s">
        <v>62</v>
      </c>
      <c r="B800" s="6">
        <v>787</v>
      </c>
      <c r="C800" s="7" t="s">
        <v>3313</v>
      </c>
      <c r="D800" s="7" t="s">
        <v>3392</v>
      </c>
      <c r="E800" s="5"/>
      <c r="F800" s="40" t="s">
        <v>3393</v>
      </c>
      <c r="G800" s="7" t="s">
        <v>3394</v>
      </c>
      <c r="H800" s="5"/>
      <c r="I800" s="7" t="s">
        <v>3324</v>
      </c>
      <c r="J800" s="21" t="s">
        <v>3395</v>
      </c>
      <c r="K800" s="7" t="s">
        <v>24</v>
      </c>
      <c r="L800" s="7" t="s">
        <v>3396</v>
      </c>
      <c r="M800" s="114">
        <v>444381674</v>
      </c>
      <c r="N800" s="111"/>
      <c r="O800" s="114">
        <v>15000000</v>
      </c>
      <c r="P800" s="112">
        <v>72000000</v>
      </c>
      <c r="Q800" s="109">
        <f t="shared" si="64"/>
        <v>531381674</v>
      </c>
      <c r="R800" s="14">
        <v>444381674</v>
      </c>
      <c r="S800" s="5"/>
      <c r="T800" s="33">
        <v>15000000</v>
      </c>
      <c r="U800" s="14">
        <v>72000000</v>
      </c>
      <c r="V800" s="5"/>
      <c r="W800" s="28"/>
      <c r="X800" s="28">
        <f t="shared" si="65"/>
        <v>0</v>
      </c>
      <c r="Y800" s="28">
        <f t="shared" si="66"/>
        <v>0</v>
      </c>
      <c r="Z800" s="28">
        <f t="shared" si="67"/>
        <v>0</v>
      </c>
      <c r="AA800" s="4"/>
      <c r="AB800" s="4"/>
      <c r="AC800">
        <f t="shared" si="68"/>
        <v>2</v>
      </c>
    </row>
    <row r="801" spans="1:30" ht="42" x14ac:dyDescent="0.3">
      <c r="A801" s="7" t="s">
        <v>62</v>
      </c>
      <c r="B801" s="6">
        <v>788</v>
      </c>
      <c r="C801" s="7" t="s">
        <v>3313</v>
      </c>
      <c r="D801" s="7" t="s">
        <v>3397</v>
      </c>
      <c r="E801" s="5"/>
      <c r="F801" s="4"/>
      <c r="G801" s="7" t="s">
        <v>3398</v>
      </c>
      <c r="H801" s="7" t="s">
        <v>3399</v>
      </c>
      <c r="I801" s="5"/>
      <c r="J801" s="21" t="s">
        <v>3400</v>
      </c>
      <c r="K801" s="7" t="s">
        <v>24</v>
      </c>
      <c r="L801" s="7" t="s">
        <v>3401</v>
      </c>
      <c r="M801" s="114">
        <v>1471524200</v>
      </c>
      <c r="N801" s="111"/>
      <c r="O801" s="114">
        <v>15000000</v>
      </c>
      <c r="P801" s="110"/>
      <c r="Q801" s="109">
        <f t="shared" si="64"/>
        <v>1486524200</v>
      </c>
      <c r="R801" s="14">
        <v>1471524200</v>
      </c>
      <c r="S801" s="5"/>
      <c r="T801" s="33">
        <v>15000000</v>
      </c>
      <c r="U801" s="5"/>
      <c r="V801" s="5"/>
      <c r="W801" s="28"/>
      <c r="X801" s="28">
        <f t="shared" si="65"/>
        <v>0</v>
      </c>
      <c r="Y801" s="28">
        <f t="shared" si="66"/>
        <v>0</v>
      </c>
      <c r="Z801" s="28">
        <f t="shared" si="67"/>
        <v>0</v>
      </c>
      <c r="AA801" s="4"/>
      <c r="AB801" s="4"/>
      <c r="AC801">
        <f t="shared" si="68"/>
        <v>2</v>
      </c>
    </row>
    <row r="802" spans="1:30" ht="42" x14ac:dyDescent="0.3">
      <c r="A802" s="7" t="s">
        <v>62</v>
      </c>
      <c r="B802" s="6">
        <v>789</v>
      </c>
      <c r="C802" s="7" t="s">
        <v>3313</v>
      </c>
      <c r="D802" s="7" t="s">
        <v>3402</v>
      </c>
      <c r="E802" s="7" t="s">
        <v>3403</v>
      </c>
      <c r="F802" s="4"/>
      <c r="G802" s="7" t="s">
        <v>3404</v>
      </c>
      <c r="H802" s="7" t="s">
        <v>3405</v>
      </c>
      <c r="I802" s="5"/>
      <c r="J802" s="21" t="s">
        <v>1536</v>
      </c>
      <c r="K802" s="7" t="s">
        <v>24</v>
      </c>
      <c r="L802" s="7" t="s">
        <v>3067</v>
      </c>
      <c r="M802" s="114">
        <v>10000000</v>
      </c>
      <c r="N802" s="114">
        <v>210398720</v>
      </c>
      <c r="O802" s="114">
        <v>15000000</v>
      </c>
      <c r="P802" s="110"/>
      <c r="Q802" s="109">
        <f t="shared" si="64"/>
        <v>235398720</v>
      </c>
      <c r="R802" s="14">
        <v>10000000</v>
      </c>
      <c r="S802" s="14">
        <v>210398720</v>
      </c>
      <c r="T802" s="30">
        <v>15000000</v>
      </c>
      <c r="U802" s="5"/>
      <c r="V802" s="5"/>
      <c r="W802" s="28"/>
      <c r="X802" s="28">
        <f t="shared" si="65"/>
        <v>0</v>
      </c>
      <c r="Y802" s="28">
        <f t="shared" si="66"/>
        <v>0</v>
      </c>
      <c r="Z802" s="28">
        <f t="shared" si="67"/>
        <v>0</v>
      </c>
      <c r="AA802" s="4"/>
      <c r="AB802" s="4"/>
      <c r="AC802">
        <f t="shared" si="68"/>
        <v>2</v>
      </c>
    </row>
    <row r="803" spans="1:30" ht="63" x14ac:dyDescent="0.3">
      <c r="A803" s="7" t="s">
        <v>62</v>
      </c>
      <c r="B803" s="6">
        <v>790</v>
      </c>
      <c r="C803" s="7" t="s">
        <v>3313</v>
      </c>
      <c r="D803" s="7" t="s">
        <v>3406</v>
      </c>
      <c r="E803" s="7" t="s">
        <v>2442</v>
      </c>
      <c r="F803" s="40" t="s">
        <v>1208</v>
      </c>
      <c r="G803" s="7" t="s">
        <v>3407</v>
      </c>
      <c r="H803" s="7" t="s">
        <v>3408</v>
      </c>
      <c r="I803" s="7" t="s">
        <v>3324</v>
      </c>
      <c r="J803" s="21" t="s">
        <v>3409</v>
      </c>
      <c r="K803" s="7" t="s">
        <v>24</v>
      </c>
      <c r="L803" s="7" t="s">
        <v>3361</v>
      </c>
      <c r="M803" s="114">
        <v>10000000</v>
      </c>
      <c r="N803" s="114">
        <v>1756584270</v>
      </c>
      <c r="O803" s="114">
        <v>15000000</v>
      </c>
      <c r="P803" s="112">
        <v>24000000</v>
      </c>
      <c r="Q803" s="109">
        <f t="shared" si="64"/>
        <v>1805584270</v>
      </c>
      <c r="R803" s="14">
        <v>10000000</v>
      </c>
      <c r="S803" s="14">
        <v>1756584270</v>
      </c>
      <c r="T803" s="30">
        <v>15000000</v>
      </c>
      <c r="U803" s="14">
        <v>24000000</v>
      </c>
      <c r="V803" s="5"/>
      <c r="W803" s="28"/>
      <c r="X803" s="28">
        <f t="shared" si="65"/>
        <v>0</v>
      </c>
      <c r="Y803" s="28">
        <f t="shared" si="66"/>
        <v>0</v>
      </c>
      <c r="Z803" s="28">
        <f t="shared" si="67"/>
        <v>0</v>
      </c>
      <c r="AA803" s="4"/>
      <c r="AB803" s="4"/>
      <c r="AC803">
        <f t="shared" si="68"/>
        <v>2</v>
      </c>
    </row>
    <row r="804" spans="1:30" ht="46.8" x14ac:dyDescent="0.3">
      <c r="A804" s="7" t="s">
        <v>1601</v>
      </c>
      <c r="B804" s="6">
        <v>791</v>
      </c>
      <c r="C804" s="7" t="s">
        <v>3313</v>
      </c>
      <c r="D804" s="7" t="s">
        <v>3410</v>
      </c>
      <c r="E804" s="5"/>
      <c r="F804" s="4"/>
      <c r="G804" s="7" t="s">
        <v>3411</v>
      </c>
      <c r="H804" s="5"/>
      <c r="I804" s="5"/>
      <c r="J804" s="21" t="s">
        <v>3412</v>
      </c>
      <c r="K804" s="7" t="s">
        <v>24</v>
      </c>
      <c r="L804" s="7" t="s">
        <v>3413</v>
      </c>
      <c r="M804" s="114">
        <v>590950720</v>
      </c>
      <c r="N804" s="111"/>
      <c r="O804" s="114">
        <v>15000000</v>
      </c>
      <c r="P804" s="110"/>
      <c r="Q804" s="109">
        <f t="shared" si="64"/>
        <v>605950720</v>
      </c>
      <c r="R804" s="14">
        <v>590950720</v>
      </c>
      <c r="S804" s="5"/>
      <c r="T804" s="30">
        <v>15000000</v>
      </c>
      <c r="U804" s="5"/>
      <c r="V804" s="5"/>
      <c r="W804" s="28"/>
      <c r="X804" s="28">
        <f t="shared" si="65"/>
        <v>0</v>
      </c>
      <c r="Y804" s="28">
        <f t="shared" si="66"/>
        <v>0</v>
      </c>
      <c r="Z804" s="28">
        <f t="shared" si="67"/>
        <v>0</v>
      </c>
      <c r="AA804" s="4"/>
      <c r="AB804" s="4"/>
      <c r="AC804">
        <f t="shared" si="68"/>
        <v>2</v>
      </c>
    </row>
    <row r="805" spans="1:30" ht="63" x14ac:dyDescent="0.3">
      <c r="A805" s="7" t="s">
        <v>62</v>
      </c>
      <c r="B805" s="6">
        <v>792</v>
      </c>
      <c r="C805" s="7" t="s">
        <v>3313</v>
      </c>
      <c r="D805" s="7" t="s">
        <v>3414</v>
      </c>
      <c r="E805" s="5"/>
      <c r="F805" s="4"/>
      <c r="G805" s="7" t="s">
        <v>3415</v>
      </c>
      <c r="H805" s="5"/>
      <c r="I805" s="5"/>
      <c r="J805" s="21" t="s">
        <v>3416</v>
      </c>
      <c r="K805" s="7" t="s">
        <v>24</v>
      </c>
      <c r="L805" s="7" t="s">
        <v>3396</v>
      </c>
      <c r="M805" s="114">
        <v>692152100</v>
      </c>
      <c r="N805" s="111"/>
      <c r="O805" s="114">
        <v>15000000</v>
      </c>
      <c r="P805" s="110"/>
      <c r="Q805" s="109">
        <f t="shared" si="64"/>
        <v>707152100</v>
      </c>
      <c r="R805" s="14">
        <v>692152100</v>
      </c>
      <c r="S805" s="5"/>
      <c r="T805" s="30">
        <v>15000000</v>
      </c>
      <c r="U805" s="5"/>
      <c r="V805" s="5"/>
      <c r="W805" s="28"/>
      <c r="X805" s="28">
        <f t="shared" si="65"/>
        <v>0</v>
      </c>
      <c r="Y805" s="28">
        <f t="shared" si="66"/>
        <v>0</v>
      </c>
      <c r="Z805" s="28">
        <f t="shared" si="67"/>
        <v>0</v>
      </c>
      <c r="AA805" s="4"/>
      <c r="AB805" s="4"/>
      <c r="AC805">
        <f t="shared" si="68"/>
        <v>2</v>
      </c>
    </row>
    <row r="806" spans="1:30" ht="42" x14ac:dyDescent="0.3">
      <c r="A806" s="7" t="s">
        <v>62</v>
      </c>
      <c r="B806" s="6">
        <v>793</v>
      </c>
      <c r="C806" s="7" t="s">
        <v>3313</v>
      </c>
      <c r="D806" s="7" t="s">
        <v>3417</v>
      </c>
      <c r="E806" s="5"/>
      <c r="F806" s="4"/>
      <c r="G806" s="7" t="s">
        <v>3418</v>
      </c>
      <c r="H806" s="5"/>
      <c r="I806" s="5"/>
      <c r="J806" s="21" t="s">
        <v>3419</v>
      </c>
      <c r="K806" s="7" t="s">
        <v>24</v>
      </c>
      <c r="L806" s="7" t="s">
        <v>2779</v>
      </c>
      <c r="M806" s="114">
        <v>1833190096</v>
      </c>
      <c r="N806" s="111"/>
      <c r="O806" s="114">
        <v>15000000</v>
      </c>
      <c r="P806" s="110"/>
      <c r="Q806" s="109">
        <f t="shared" si="64"/>
        <v>1848190096</v>
      </c>
      <c r="R806" s="14">
        <v>1833190096</v>
      </c>
      <c r="S806" s="5"/>
      <c r="T806" s="33">
        <v>15000000</v>
      </c>
      <c r="U806" s="5"/>
      <c r="V806" s="5"/>
      <c r="W806" s="28"/>
      <c r="X806" s="28">
        <f t="shared" si="65"/>
        <v>0</v>
      </c>
      <c r="Y806" s="28">
        <f t="shared" si="66"/>
        <v>0</v>
      </c>
      <c r="Z806" s="28">
        <f t="shared" si="67"/>
        <v>0</v>
      </c>
      <c r="AA806" s="4"/>
      <c r="AB806" s="4"/>
      <c r="AC806">
        <f t="shared" si="68"/>
        <v>2</v>
      </c>
    </row>
    <row r="807" spans="1:30" ht="31.2" x14ac:dyDescent="0.3">
      <c r="A807" s="7" t="s">
        <v>62</v>
      </c>
      <c r="B807" s="6">
        <v>794</v>
      </c>
      <c r="C807" s="7" t="s">
        <v>3313</v>
      </c>
      <c r="D807" s="7" t="s">
        <v>3420</v>
      </c>
      <c r="E807" s="7" t="s">
        <v>3421</v>
      </c>
      <c r="F807" s="4"/>
      <c r="G807" s="7" t="s">
        <v>3422</v>
      </c>
      <c r="H807" s="7" t="s">
        <v>3423</v>
      </c>
      <c r="I807" s="7" t="s">
        <v>3324</v>
      </c>
      <c r="J807" s="21" t="s">
        <v>3424</v>
      </c>
      <c r="K807" s="7" t="s">
        <v>24</v>
      </c>
      <c r="L807" s="7" t="s">
        <v>3425</v>
      </c>
      <c r="M807" s="114">
        <v>339766192</v>
      </c>
      <c r="N807" s="114">
        <v>82441548</v>
      </c>
      <c r="O807" s="114">
        <v>15000000</v>
      </c>
      <c r="P807" s="110"/>
      <c r="Q807" s="109">
        <f t="shared" si="64"/>
        <v>437207740</v>
      </c>
      <c r="R807" s="14">
        <v>339766192</v>
      </c>
      <c r="S807" s="14">
        <v>82441548</v>
      </c>
      <c r="T807" s="30">
        <v>15000000</v>
      </c>
      <c r="U807" s="5"/>
      <c r="V807" s="5"/>
      <c r="W807" s="28"/>
      <c r="X807" s="28">
        <f t="shared" si="65"/>
        <v>0</v>
      </c>
      <c r="Y807" s="28">
        <f t="shared" si="66"/>
        <v>0</v>
      </c>
      <c r="Z807" s="28">
        <f t="shared" si="67"/>
        <v>0</v>
      </c>
      <c r="AA807" s="4"/>
      <c r="AB807" s="4"/>
      <c r="AC807">
        <f t="shared" si="68"/>
        <v>2</v>
      </c>
    </row>
    <row r="808" spans="1:30" ht="42" x14ac:dyDescent="0.3">
      <c r="A808" s="7" t="s">
        <v>62</v>
      </c>
      <c r="B808" s="6">
        <v>795</v>
      </c>
      <c r="C808" s="7" t="s">
        <v>3313</v>
      </c>
      <c r="D808" s="7" t="s">
        <v>3426</v>
      </c>
      <c r="E808" s="7" t="s">
        <v>2343</v>
      </c>
      <c r="F808" s="7" t="s">
        <v>2094</v>
      </c>
      <c r="G808" s="7" t="s">
        <v>3427</v>
      </c>
      <c r="H808" s="7" t="s">
        <v>3428</v>
      </c>
      <c r="I808" s="5"/>
      <c r="J808" s="21" t="s">
        <v>3429</v>
      </c>
      <c r="K808" s="7" t="s">
        <v>24</v>
      </c>
      <c r="L808" s="7" t="s">
        <v>3430</v>
      </c>
      <c r="M808" s="114">
        <v>10000000</v>
      </c>
      <c r="N808" s="115">
        <v>2527001190</v>
      </c>
      <c r="O808" s="114">
        <v>15000000</v>
      </c>
      <c r="P808" s="112">
        <v>30000000</v>
      </c>
      <c r="Q808" s="109">
        <f t="shared" si="64"/>
        <v>2582001190</v>
      </c>
      <c r="R808" s="14">
        <v>10000000</v>
      </c>
      <c r="S808" s="14">
        <v>2527001190</v>
      </c>
      <c r="T808" s="30">
        <v>15000000</v>
      </c>
      <c r="U808" s="14">
        <v>30000000</v>
      </c>
      <c r="V808" s="5"/>
      <c r="W808" s="28"/>
      <c r="X808" s="28">
        <f t="shared" si="65"/>
        <v>0</v>
      </c>
      <c r="Y808" s="28">
        <f t="shared" si="66"/>
        <v>0</v>
      </c>
      <c r="Z808" s="28">
        <f t="shared" si="67"/>
        <v>0</v>
      </c>
      <c r="AA808" s="4"/>
      <c r="AB808" s="4"/>
      <c r="AC808">
        <f t="shared" si="68"/>
        <v>2</v>
      </c>
    </row>
    <row r="809" spans="1:30" ht="62.4" customHeight="1" x14ac:dyDescent="0.3">
      <c r="A809" s="7" t="s">
        <v>18</v>
      </c>
      <c r="B809" s="6">
        <v>796</v>
      </c>
      <c r="C809" s="7" t="s">
        <v>3313</v>
      </c>
      <c r="D809" s="7" t="s">
        <v>3431</v>
      </c>
      <c r="E809" s="5"/>
      <c r="F809" s="40" t="s">
        <v>3432</v>
      </c>
      <c r="G809" s="7" t="s">
        <v>3433</v>
      </c>
      <c r="H809" s="5"/>
      <c r="I809" s="5"/>
      <c r="J809" s="21" t="s">
        <v>3434</v>
      </c>
      <c r="K809" s="7" t="s">
        <v>24</v>
      </c>
      <c r="L809" s="7" t="s">
        <v>3435</v>
      </c>
      <c r="M809" s="114">
        <v>1479042664</v>
      </c>
      <c r="N809" s="111"/>
      <c r="O809" s="114">
        <v>15000000</v>
      </c>
      <c r="P809" s="112">
        <v>96000000</v>
      </c>
      <c r="Q809" s="109">
        <f t="shared" si="64"/>
        <v>1590042664</v>
      </c>
      <c r="R809" s="14">
        <v>1479042664</v>
      </c>
      <c r="S809" s="5"/>
      <c r="T809" s="30">
        <v>15000000</v>
      </c>
      <c r="U809" s="3">
        <v>96000000</v>
      </c>
      <c r="V809" s="5"/>
      <c r="W809" s="28"/>
      <c r="X809" s="28">
        <f t="shared" si="65"/>
        <v>0</v>
      </c>
      <c r="Y809" s="28">
        <f t="shared" si="66"/>
        <v>0</v>
      </c>
      <c r="Z809" s="28">
        <f t="shared" si="67"/>
        <v>0</v>
      </c>
      <c r="AA809" s="4"/>
      <c r="AB809" s="4"/>
      <c r="AC809">
        <f t="shared" si="68"/>
        <v>2</v>
      </c>
    </row>
    <row r="810" spans="1:30" ht="46.8" x14ac:dyDescent="0.3">
      <c r="A810" s="7" t="s">
        <v>18</v>
      </c>
      <c r="B810" s="6">
        <v>797</v>
      </c>
      <c r="C810" s="7" t="s">
        <v>3313</v>
      </c>
      <c r="D810" s="7" t="s">
        <v>3436</v>
      </c>
      <c r="E810" s="5"/>
      <c r="F810" s="4"/>
      <c r="G810" s="7" t="s">
        <v>3437</v>
      </c>
      <c r="H810" s="5"/>
      <c r="I810" s="5"/>
      <c r="J810" s="21" t="s">
        <v>3438</v>
      </c>
      <c r="K810" s="7" t="s">
        <v>24</v>
      </c>
      <c r="L810" s="7" t="s">
        <v>3439</v>
      </c>
      <c r="M810" s="114">
        <v>869322940</v>
      </c>
      <c r="N810" s="111"/>
      <c r="O810" s="114">
        <v>15000000</v>
      </c>
      <c r="P810" s="110"/>
      <c r="Q810" s="109">
        <f t="shared" si="64"/>
        <v>884322940</v>
      </c>
      <c r="R810" s="36">
        <v>869322940</v>
      </c>
      <c r="S810" s="5"/>
      <c r="T810" s="30">
        <v>15000000</v>
      </c>
      <c r="U810" s="5"/>
      <c r="V810" s="5"/>
      <c r="W810" s="28"/>
      <c r="X810" s="28">
        <f t="shared" si="65"/>
        <v>0</v>
      </c>
      <c r="Y810" s="28">
        <f t="shared" si="66"/>
        <v>0</v>
      </c>
      <c r="Z810" s="28">
        <f t="shared" si="67"/>
        <v>0</v>
      </c>
      <c r="AA810" s="4"/>
      <c r="AB810" s="4"/>
      <c r="AC810">
        <f t="shared" si="68"/>
        <v>2</v>
      </c>
    </row>
    <row r="811" spans="1:30" ht="46.8" x14ac:dyDescent="0.3">
      <c r="A811" s="7" t="s">
        <v>18</v>
      </c>
      <c r="B811" s="6">
        <v>798</v>
      </c>
      <c r="C811" s="7" t="s">
        <v>3313</v>
      </c>
      <c r="D811" s="7" t="s">
        <v>3440</v>
      </c>
      <c r="E811" s="5"/>
      <c r="F811" s="4"/>
      <c r="G811" s="7" t="s">
        <v>3441</v>
      </c>
      <c r="H811" s="5"/>
      <c r="I811" s="5"/>
      <c r="J811" s="21" t="s">
        <v>1536</v>
      </c>
      <c r="K811" s="7" t="s">
        <v>24</v>
      </c>
      <c r="L811" s="7" t="s">
        <v>3442</v>
      </c>
      <c r="M811" s="114">
        <v>323702710</v>
      </c>
      <c r="N811" s="111"/>
      <c r="O811" s="114">
        <v>15000000</v>
      </c>
      <c r="P811" s="110"/>
      <c r="Q811" s="109">
        <f t="shared" si="64"/>
        <v>338702710</v>
      </c>
      <c r="R811" s="36">
        <v>323702710</v>
      </c>
      <c r="S811" s="5"/>
      <c r="T811" s="30">
        <v>15000000</v>
      </c>
      <c r="U811" s="5"/>
      <c r="V811" s="5"/>
      <c r="W811" s="28"/>
      <c r="X811" s="28">
        <f t="shared" si="65"/>
        <v>0</v>
      </c>
      <c r="Y811" s="28">
        <f t="shared" si="66"/>
        <v>0</v>
      </c>
      <c r="Z811" s="28">
        <f t="shared" si="67"/>
        <v>0</v>
      </c>
      <c r="AA811" s="4"/>
      <c r="AB811" s="4"/>
      <c r="AC811">
        <f t="shared" si="68"/>
        <v>2</v>
      </c>
    </row>
    <row r="812" spans="1:30" ht="31.2" x14ac:dyDescent="0.3">
      <c r="A812" s="7" t="s">
        <v>18</v>
      </c>
      <c r="B812" s="6">
        <v>799</v>
      </c>
      <c r="C812" s="7" t="s">
        <v>3313</v>
      </c>
      <c r="D812" s="7" t="s">
        <v>3443</v>
      </c>
      <c r="E812" s="5"/>
      <c r="F812" s="4"/>
      <c r="G812" s="7" t="s">
        <v>3444</v>
      </c>
      <c r="H812" s="5"/>
      <c r="I812" s="5"/>
      <c r="J812" s="21" t="s">
        <v>3445</v>
      </c>
      <c r="K812" s="7" t="s">
        <v>24</v>
      </c>
      <c r="L812" s="7" t="s">
        <v>3446</v>
      </c>
      <c r="M812" s="114">
        <v>1566913848</v>
      </c>
      <c r="N812" s="111"/>
      <c r="O812" s="114">
        <v>15000000</v>
      </c>
      <c r="P812" s="110"/>
      <c r="Q812" s="109">
        <f t="shared" si="64"/>
        <v>1581913848</v>
      </c>
      <c r="R812" s="14">
        <v>1566913848</v>
      </c>
      <c r="S812" s="5"/>
      <c r="T812" s="30">
        <v>15000000</v>
      </c>
      <c r="U812" s="5"/>
      <c r="V812" s="5"/>
      <c r="W812" s="28"/>
      <c r="X812" s="28">
        <f t="shared" si="65"/>
        <v>0</v>
      </c>
      <c r="Y812" s="28">
        <f t="shared" si="66"/>
        <v>0</v>
      </c>
      <c r="Z812" s="28">
        <f t="shared" si="67"/>
        <v>0</v>
      </c>
      <c r="AA812" s="4"/>
      <c r="AB812" s="4"/>
      <c r="AC812">
        <f t="shared" si="68"/>
        <v>2</v>
      </c>
    </row>
    <row r="813" spans="1:30" ht="46.8" x14ac:dyDescent="0.3">
      <c r="A813" s="7" t="s">
        <v>18</v>
      </c>
      <c r="B813" s="6">
        <v>800</v>
      </c>
      <c r="C813" s="7" t="s">
        <v>3313</v>
      </c>
      <c r="D813" s="7" t="s">
        <v>3447</v>
      </c>
      <c r="E813" s="5"/>
      <c r="F813" s="40" t="s">
        <v>3448</v>
      </c>
      <c r="G813" s="7" t="s">
        <v>3449</v>
      </c>
      <c r="H813" s="7" t="s">
        <v>3450</v>
      </c>
      <c r="I813" s="5"/>
      <c r="J813" s="21" t="s">
        <v>3451</v>
      </c>
      <c r="K813" s="7" t="s">
        <v>24</v>
      </c>
      <c r="L813" s="7" t="s">
        <v>3452</v>
      </c>
      <c r="M813" s="114">
        <v>1848889516</v>
      </c>
      <c r="N813" s="111"/>
      <c r="O813" s="114">
        <v>15000000</v>
      </c>
      <c r="P813" s="112">
        <v>16000000</v>
      </c>
      <c r="Q813" s="109">
        <f t="shared" si="64"/>
        <v>1879889516</v>
      </c>
      <c r="R813" s="14">
        <v>1848889516</v>
      </c>
      <c r="S813" s="5"/>
      <c r="T813" s="30">
        <v>15000000</v>
      </c>
      <c r="U813" s="3">
        <v>16000000</v>
      </c>
      <c r="V813" s="5"/>
      <c r="W813" s="28"/>
      <c r="X813" s="28">
        <f t="shared" si="65"/>
        <v>0</v>
      </c>
      <c r="Y813" s="28">
        <f t="shared" si="66"/>
        <v>0</v>
      </c>
      <c r="Z813" s="28">
        <f t="shared" si="67"/>
        <v>0</v>
      </c>
      <c r="AA813" s="4"/>
      <c r="AB813" s="4"/>
      <c r="AC813">
        <f t="shared" si="68"/>
        <v>2</v>
      </c>
    </row>
    <row r="814" spans="1:30" ht="46.8" x14ac:dyDescent="0.3">
      <c r="A814" s="7" t="s">
        <v>18</v>
      </c>
      <c r="B814" s="6">
        <v>801</v>
      </c>
      <c r="C814" s="7" t="s">
        <v>3313</v>
      </c>
      <c r="D814" s="7" t="s">
        <v>3453</v>
      </c>
      <c r="E814" s="7" t="s">
        <v>3454</v>
      </c>
      <c r="F814" s="4"/>
      <c r="G814" s="7" t="s">
        <v>3455</v>
      </c>
      <c r="H814" s="7"/>
      <c r="I814" s="7"/>
      <c r="J814" s="7" t="s">
        <v>3456</v>
      </c>
      <c r="K814" s="7" t="s">
        <v>24</v>
      </c>
      <c r="L814" s="7" t="s">
        <v>3452</v>
      </c>
      <c r="M814" s="114">
        <v>10000000</v>
      </c>
      <c r="N814" s="114">
        <v>2092077756</v>
      </c>
      <c r="O814" s="109">
        <v>15000000</v>
      </c>
      <c r="P814" s="110"/>
      <c r="Q814" s="109">
        <f t="shared" si="64"/>
        <v>2117077756</v>
      </c>
      <c r="R814" s="36">
        <v>10000000</v>
      </c>
      <c r="S814" s="3">
        <v>2092077756</v>
      </c>
      <c r="T814" s="72"/>
      <c r="U814" s="5"/>
      <c r="V814" s="5"/>
      <c r="W814" s="28"/>
      <c r="X814" s="28">
        <f t="shared" si="65"/>
        <v>0</v>
      </c>
      <c r="Y814" s="36">
        <f t="shared" si="66"/>
        <v>15000000</v>
      </c>
      <c r="Z814" s="28">
        <f t="shared" si="67"/>
        <v>0</v>
      </c>
      <c r="AA814" s="4"/>
      <c r="AB814" s="40"/>
      <c r="AC814" s="121">
        <f t="shared" si="68"/>
        <v>2</v>
      </c>
      <c r="AD814" s="121"/>
    </row>
    <row r="815" spans="1:30" ht="62.4" customHeight="1" x14ac:dyDescent="0.3">
      <c r="A815" s="7" t="s">
        <v>18</v>
      </c>
      <c r="B815" s="6">
        <v>802</v>
      </c>
      <c r="C815" s="7" t="s">
        <v>3313</v>
      </c>
      <c r="D815" s="7" t="s">
        <v>3457</v>
      </c>
      <c r="E815" s="5"/>
      <c r="F815" s="40" t="s">
        <v>3458</v>
      </c>
      <c r="G815" s="7" t="s">
        <v>3459</v>
      </c>
      <c r="H815" s="5"/>
      <c r="I815" s="5"/>
      <c r="J815" s="21" t="s">
        <v>3460</v>
      </c>
      <c r="K815" s="7" t="s">
        <v>24</v>
      </c>
      <c r="L815" s="7" t="s">
        <v>2632</v>
      </c>
      <c r="M815" s="114">
        <v>10000000</v>
      </c>
      <c r="N815" s="111"/>
      <c r="O815" s="114">
        <v>15000000</v>
      </c>
      <c r="P815" s="112">
        <v>72000000</v>
      </c>
      <c r="Q815" s="109">
        <f t="shared" si="64"/>
        <v>97000000</v>
      </c>
      <c r="R815" s="36">
        <v>10000000</v>
      </c>
      <c r="S815" s="5"/>
      <c r="T815" s="30">
        <v>15000000</v>
      </c>
      <c r="U815" s="3">
        <v>72000000</v>
      </c>
      <c r="V815" s="5"/>
      <c r="W815" s="28"/>
      <c r="X815" s="28">
        <f t="shared" si="65"/>
        <v>0</v>
      </c>
      <c r="Y815" s="28">
        <f t="shared" si="66"/>
        <v>0</v>
      </c>
      <c r="Z815" s="28">
        <f t="shared" si="67"/>
        <v>0</v>
      </c>
      <c r="AA815" s="4"/>
      <c r="AB815" s="4"/>
      <c r="AC815">
        <f t="shared" si="68"/>
        <v>2</v>
      </c>
    </row>
    <row r="816" spans="1:30" ht="46.8" x14ac:dyDescent="0.3">
      <c r="A816" s="7" t="s">
        <v>18</v>
      </c>
      <c r="B816" s="6">
        <v>803</v>
      </c>
      <c r="C816" s="7" t="s">
        <v>3313</v>
      </c>
      <c r="D816" s="7" t="s">
        <v>3461</v>
      </c>
      <c r="E816" s="7"/>
      <c r="F816" s="4"/>
      <c r="G816" s="7" t="s">
        <v>3462</v>
      </c>
      <c r="H816" s="7" t="s">
        <v>3463</v>
      </c>
      <c r="I816" s="7"/>
      <c r="J816" s="7" t="s">
        <v>3464</v>
      </c>
      <c r="K816" s="7" t="s">
        <v>24</v>
      </c>
      <c r="L816" s="7" t="s">
        <v>3465</v>
      </c>
      <c r="M816" s="114">
        <v>5236394180</v>
      </c>
      <c r="N816" s="111"/>
      <c r="O816" s="109">
        <v>15000000</v>
      </c>
      <c r="P816" s="110"/>
      <c r="Q816" s="109">
        <f t="shared" si="64"/>
        <v>5251394180</v>
      </c>
      <c r="R816" s="14">
        <v>5236394180</v>
      </c>
      <c r="S816" s="5"/>
      <c r="T816" s="72"/>
      <c r="U816" s="5"/>
      <c r="V816" s="5"/>
      <c r="W816" s="28"/>
      <c r="X816" s="28">
        <f t="shared" si="65"/>
        <v>0</v>
      </c>
      <c r="Y816" s="36">
        <f t="shared" si="66"/>
        <v>15000000</v>
      </c>
      <c r="Z816" s="28">
        <f t="shared" si="67"/>
        <v>0</v>
      </c>
      <c r="AA816" s="4"/>
      <c r="AB816" s="40"/>
      <c r="AC816" s="121">
        <f t="shared" si="68"/>
        <v>2</v>
      </c>
      <c r="AD816" s="121"/>
    </row>
    <row r="817" spans="1:30" ht="93.6" x14ac:dyDescent="0.3">
      <c r="A817" s="7" t="s">
        <v>18</v>
      </c>
      <c r="B817" s="6">
        <v>804</v>
      </c>
      <c r="C817" s="7" t="s">
        <v>3313</v>
      </c>
      <c r="D817" s="7" t="s">
        <v>3466</v>
      </c>
      <c r="E817" s="7" t="s">
        <v>3467</v>
      </c>
      <c r="F817" s="40" t="s">
        <v>3078</v>
      </c>
      <c r="G817" s="7" t="s">
        <v>3468</v>
      </c>
      <c r="H817" s="7" t="s">
        <v>3469</v>
      </c>
      <c r="I817" s="5"/>
      <c r="J817" s="21" t="s">
        <v>3470</v>
      </c>
      <c r="K817" s="7" t="s">
        <v>24</v>
      </c>
      <c r="L817" s="7" t="s">
        <v>3471</v>
      </c>
      <c r="M817" s="114">
        <v>5239490644</v>
      </c>
      <c r="N817" s="109">
        <v>630718116</v>
      </c>
      <c r="O817" s="114">
        <v>15000000</v>
      </c>
      <c r="P817" s="112">
        <v>72000000</v>
      </c>
      <c r="Q817" s="109">
        <f t="shared" si="64"/>
        <v>5957208760</v>
      </c>
      <c r="R817" s="36">
        <v>5239490644</v>
      </c>
      <c r="S817" s="3">
        <v>630718116</v>
      </c>
      <c r="T817" s="30">
        <v>15000000</v>
      </c>
      <c r="U817" s="3">
        <v>72000000</v>
      </c>
      <c r="V817" s="5"/>
      <c r="W817" s="28"/>
      <c r="X817" s="28">
        <f t="shared" si="65"/>
        <v>0</v>
      </c>
      <c r="Y817" s="28">
        <f t="shared" si="66"/>
        <v>0</v>
      </c>
      <c r="Z817" s="28">
        <f t="shared" si="67"/>
        <v>0</v>
      </c>
      <c r="AA817" s="4"/>
      <c r="AB817" s="4"/>
      <c r="AC817">
        <f t="shared" si="68"/>
        <v>2</v>
      </c>
    </row>
    <row r="818" spans="1:30" ht="63" x14ac:dyDescent="0.3">
      <c r="A818" s="7" t="s">
        <v>46</v>
      </c>
      <c r="B818" s="6">
        <v>805</v>
      </c>
      <c r="C818" s="7" t="s">
        <v>3313</v>
      </c>
      <c r="D818" s="7" t="s">
        <v>3472</v>
      </c>
      <c r="E818" s="7" t="s">
        <v>3473</v>
      </c>
      <c r="F818" s="4"/>
      <c r="G818" s="7" t="s">
        <v>3474</v>
      </c>
      <c r="H818" s="5"/>
      <c r="I818" s="5"/>
      <c r="J818" s="21" t="s">
        <v>3475</v>
      </c>
      <c r="K818" s="7" t="s">
        <v>24</v>
      </c>
      <c r="L818" s="7" t="s">
        <v>3396</v>
      </c>
      <c r="M818" s="114">
        <v>10000000</v>
      </c>
      <c r="N818" s="114">
        <v>5132223264</v>
      </c>
      <c r="O818" s="114">
        <v>15000000</v>
      </c>
      <c r="P818" s="110"/>
      <c r="Q818" s="109">
        <f t="shared" si="64"/>
        <v>5157223264</v>
      </c>
      <c r="R818" s="14">
        <v>10000000</v>
      </c>
      <c r="S818" s="3">
        <v>5132223264</v>
      </c>
      <c r="T818" s="30">
        <v>15000000</v>
      </c>
      <c r="U818" s="5"/>
      <c r="V818" s="5"/>
      <c r="W818" s="28"/>
      <c r="X818" s="28">
        <f t="shared" si="65"/>
        <v>0</v>
      </c>
      <c r="Y818" s="28">
        <f t="shared" si="66"/>
        <v>0</v>
      </c>
      <c r="Z818" s="28">
        <f t="shared" si="67"/>
        <v>0</v>
      </c>
      <c r="AA818" s="4"/>
      <c r="AB818" s="4"/>
      <c r="AC818">
        <f t="shared" si="68"/>
        <v>2</v>
      </c>
    </row>
    <row r="819" spans="1:30" ht="78" customHeight="1" x14ac:dyDescent="0.3">
      <c r="A819" s="7" t="s">
        <v>18</v>
      </c>
      <c r="B819" s="6">
        <v>806</v>
      </c>
      <c r="C819" s="7" t="s">
        <v>3313</v>
      </c>
      <c r="D819" s="7" t="s">
        <v>3476</v>
      </c>
      <c r="E819" s="5"/>
      <c r="F819" s="40" t="s">
        <v>3894</v>
      </c>
      <c r="G819" s="7" t="s">
        <v>3478</v>
      </c>
      <c r="H819" s="5"/>
      <c r="I819" s="5"/>
      <c r="J819" s="21" t="s">
        <v>3479</v>
      </c>
      <c r="K819" s="7" t="s">
        <v>24</v>
      </c>
      <c r="L819" s="7" t="s">
        <v>3480</v>
      </c>
      <c r="M819" s="114">
        <v>1611681135</v>
      </c>
      <c r="N819" s="111"/>
      <c r="O819" s="114">
        <v>15000000</v>
      </c>
      <c r="P819" s="112">
        <v>96000000</v>
      </c>
      <c r="Q819" s="109">
        <f t="shared" si="64"/>
        <v>1722681135</v>
      </c>
      <c r="R819" s="36">
        <v>1611681135</v>
      </c>
      <c r="S819" s="5"/>
      <c r="T819" s="30">
        <v>15000000</v>
      </c>
      <c r="U819" s="3">
        <v>96000000</v>
      </c>
      <c r="V819" s="5"/>
      <c r="W819" s="28"/>
      <c r="X819" s="28">
        <f t="shared" si="65"/>
        <v>0</v>
      </c>
      <c r="Y819" s="28">
        <f t="shared" si="66"/>
        <v>0</v>
      </c>
      <c r="Z819" s="28">
        <f t="shared" si="67"/>
        <v>0</v>
      </c>
      <c r="AA819" s="4"/>
      <c r="AB819" s="4"/>
      <c r="AC819">
        <f t="shared" si="68"/>
        <v>2</v>
      </c>
    </row>
    <row r="820" spans="1:30" ht="62.4" customHeight="1" x14ac:dyDescent="0.3">
      <c r="A820" s="7" t="s">
        <v>18</v>
      </c>
      <c r="B820" s="6">
        <v>807</v>
      </c>
      <c r="C820" s="7" t="s">
        <v>3313</v>
      </c>
      <c r="D820" s="7" t="s">
        <v>3481</v>
      </c>
      <c r="E820" s="7" t="s">
        <v>3482</v>
      </c>
      <c r="F820" s="40" t="s">
        <v>3895</v>
      </c>
      <c r="G820" s="7" t="s">
        <v>3483</v>
      </c>
      <c r="H820" s="5"/>
      <c r="I820" s="5"/>
      <c r="J820" s="21" t="s">
        <v>3484</v>
      </c>
      <c r="K820" s="7" t="s">
        <v>24</v>
      </c>
      <c r="L820" s="7" t="s">
        <v>3485</v>
      </c>
      <c r="M820" s="114">
        <v>1246747708</v>
      </c>
      <c r="N820" s="114">
        <v>193650240</v>
      </c>
      <c r="O820" s="114">
        <v>15000000</v>
      </c>
      <c r="P820" s="112">
        <v>96000000</v>
      </c>
      <c r="Q820" s="109">
        <f t="shared" si="64"/>
        <v>1551397948</v>
      </c>
      <c r="R820" s="36">
        <v>1246747708</v>
      </c>
      <c r="S820" s="3">
        <v>193650240</v>
      </c>
      <c r="T820" s="30">
        <v>15000000</v>
      </c>
      <c r="U820" s="3">
        <v>96000000</v>
      </c>
      <c r="V820" s="5"/>
      <c r="W820" s="28"/>
      <c r="X820" s="28">
        <f t="shared" si="65"/>
        <v>0</v>
      </c>
      <c r="Y820" s="28">
        <f t="shared" si="66"/>
        <v>0</v>
      </c>
      <c r="Z820" s="28">
        <f t="shared" si="67"/>
        <v>0</v>
      </c>
      <c r="AA820" s="4"/>
      <c r="AB820" s="4"/>
      <c r="AC820">
        <f t="shared" si="68"/>
        <v>2</v>
      </c>
    </row>
    <row r="821" spans="1:30" ht="63" x14ac:dyDescent="0.3">
      <c r="A821" s="7" t="s">
        <v>18</v>
      </c>
      <c r="B821" s="6">
        <v>808</v>
      </c>
      <c r="C821" s="7" t="s">
        <v>3313</v>
      </c>
      <c r="D821" s="7" t="s">
        <v>3486</v>
      </c>
      <c r="E821" s="7" t="s">
        <v>3487</v>
      </c>
      <c r="F821" s="40" t="s">
        <v>1597</v>
      </c>
      <c r="G821" s="7" t="s">
        <v>3488</v>
      </c>
      <c r="H821" s="7" t="s">
        <v>3489</v>
      </c>
      <c r="I821" s="6" t="s">
        <v>3490</v>
      </c>
      <c r="J821" s="21" t="s">
        <v>3491</v>
      </c>
      <c r="K821" s="7" t="s">
        <v>24</v>
      </c>
      <c r="L821" s="7" t="s">
        <v>3352</v>
      </c>
      <c r="M821" s="114">
        <v>1042844736</v>
      </c>
      <c r="N821" s="114">
        <v>353989728</v>
      </c>
      <c r="O821" s="114">
        <v>15000000</v>
      </c>
      <c r="P821" s="112">
        <v>108000000</v>
      </c>
      <c r="Q821" s="109">
        <f t="shared" si="64"/>
        <v>1519834464</v>
      </c>
      <c r="R821" s="14">
        <v>1042844736</v>
      </c>
      <c r="S821" s="3">
        <v>353989728</v>
      </c>
      <c r="T821" s="30">
        <v>15000000</v>
      </c>
      <c r="U821" s="3">
        <v>108000000</v>
      </c>
      <c r="V821" s="5"/>
      <c r="W821" s="28"/>
      <c r="X821" s="28">
        <f t="shared" si="65"/>
        <v>0</v>
      </c>
      <c r="Y821" s="28">
        <f t="shared" si="66"/>
        <v>0</v>
      </c>
      <c r="Z821" s="28">
        <f t="shared" si="67"/>
        <v>0</v>
      </c>
      <c r="AA821" s="4"/>
      <c r="AB821" s="4"/>
      <c r="AC821">
        <f t="shared" si="68"/>
        <v>2</v>
      </c>
    </row>
    <row r="822" spans="1:30" ht="46.8" x14ac:dyDescent="0.3">
      <c r="A822" s="7" t="s">
        <v>18</v>
      </c>
      <c r="B822" s="6">
        <v>809</v>
      </c>
      <c r="C822" s="7" t="s">
        <v>3313</v>
      </c>
      <c r="D822" s="7" t="s">
        <v>3492</v>
      </c>
      <c r="E822" s="5"/>
      <c r="F822" s="4"/>
      <c r="G822" s="7" t="s">
        <v>3493</v>
      </c>
      <c r="H822" s="5"/>
      <c r="I822" s="5"/>
      <c r="J822" s="21" t="s">
        <v>3494</v>
      </c>
      <c r="K822" s="7" t="s">
        <v>24</v>
      </c>
      <c r="L822" s="7" t="s">
        <v>3495</v>
      </c>
      <c r="M822" s="114">
        <v>3051594287</v>
      </c>
      <c r="N822" s="111"/>
      <c r="O822" s="114">
        <v>15000000</v>
      </c>
      <c r="P822" s="110"/>
      <c r="Q822" s="109">
        <f t="shared" si="64"/>
        <v>3066594287</v>
      </c>
      <c r="R822" s="36">
        <v>3051594287</v>
      </c>
      <c r="S822" s="5"/>
      <c r="T822" s="30">
        <v>15000000</v>
      </c>
      <c r="U822" s="5"/>
      <c r="V822" s="5"/>
      <c r="W822" s="28"/>
      <c r="X822" s="28">
        <f t="shared" si="65"/>
        <v>0</v>
      </c>
      <c r="Y822" s="28">
        <f t="shared" si="66"/>
        <v>0</v>
      </c>
      <c r="Z822" s="28">
        <f t="shared" si="67"/>
        <v>0</v>
      </c>
      <c r="AA822" s="4"/>
      <c r="AB822" s="4"/>
      <c r="AC822">
        <f t="shared" si="68"/>
        <v>2</v>
      </c>
    </row>
    <row r="823" spans="1:30" ht="31.2" x14ac:dyDescent="0.3">
      <c r="A823" s="7" t="s">
        <v>18</v>
      </c>
      <c r="B823" s="6">
        <v>810</v>
      </c>
      <c r="C823" s="7" t="s">
        <v>3313</v>
      </c>
      <c r="D823" s="7" t="s">
        <v>3496</v>
      </c>
      <c r="E823" s="5"/>
      <c r="F823" s="4"/>
      <c r="G823" s="7" t="s">
        <v>3497</v>
      </c>
      <c r="H823" s="7" t="s">
        <v>3498</v>
      </c>
      <c r="I823" s="5"/>
      <c r="J823" s="21" t="s">
        <v>3499</v>
      </c>
      <c r="K823" s="7" t="s">
        <v>24</v>
      </c>
      <c r="L823" s="7" t="s">
        <v>3500</v>
      </c>
      <c r="M823" s="114">
        <v>22476062320</v>
      </c>
      <c r="N823" s="111"/>
      <c r="O823" s="114">
        <v>15000000</v>
      </c>
      <c r="P823" s="110"/>
      <c r="Q823" s="109">
        <f t="shared" si="64"/>
        <v>22491062320</v>
      </c>
      <c r="R823" s="14">
        <v>22476062320</v>
      </c>
      <c r="S823" s="5"/>
      <c r="T823" s="30">
        <v>15000000</v>
      </c>
      <c r="U823" s="5"/>
      <c r="V823" s="5"/>
      <c r="W823" s="28"/>
      <c r="X823" s="28">
        <f t="shared" si="65"/>
        <v>0</v>
      </c>
      <c r="Y823" s="28">
        <f t="shared" si="66"/>
        <v>0</v>
      </c>
      <c r="Z823" s="28">
        <f t="shared" si="67"/>
        <v>0</v>
      </c>
      <c r="AA823" s="4"/>
      <c r="AB823" s="4"/>
      <c r="AC823">
        <f t="shared" si="68"/>
        <v>2</v>
      </c>
    </row>
    <row r="824" spans="1:30" ht="31.2" x14ac:dyDescent="0.4">
      <c r="A824" s="7" t="s">
        <v>18</v>
      </c>
      <c r="B824" s="6">
        <v>811</v>
      </c>
      <c r="C824" s="7" t="s">
        <v>3313</v>
      </c>
      <c r="D824" s="7" t="s">
        <v>3501</v>
      </c>
      <c r="E824" s="7" t="s">
        <v>3502</v>
      </c>
      <c r="F824" s="4"/>
      <c r="G824" s="7" t="s">
        <v>3503</v>
      </c>
      <c r="H824" s="7" t="s">
        <v>3504</v>
      </c>
      <c r="I824" s="5"/>
      <c r="J824" s="21" t="s">
        <v>3505</v>
      </c>
      <c r="K824" s="7" t="s">
        <v>24</v>
      </c>
      <c r="L824" s="7" t="s">
        <v>3239</v>
      </c>
      <c r="M824" s="114">
        <v>1218195100</v>
      </c>
      <c r="N824" s="109">
        <v>178916160</v>
      </c>
      <c r="O824" s="114">
        <v>15000000</v>
      </c>
      <c r="P824" s="110"/>
      <c r="Q824" s="109">
        <f t="shared" si="64"/>
        <v>1412111260</v>
      </c>
      <c r="R824" s="28">
        <v>1218195100</v>
      </c>
      <c r="S824" s="28">
        <v>178916160</v>
      </c>
      <c r="T824" s="30">
        <v>15000000</v>
      </c>
      <c r="U824" s="5"/>
      <c r="V824" s="5"/>
      <c r="W824" s="28"/>
      <c r="X824" s="28">
        <f t="shared" si="65"/>
        <v>0</v>
      </c>
      <c r="Y824" s="28">
        <f t="shared" si="66"/>
        <v>0</v>
      </c>
      <c r="Z824" s="28">
        <f t="shared" si="67"/>
        <v>0</v>
      </c>
      <c r="AA824" s="16"/>
      <c r="AB824" s="4"/>
      <c r="AC824">
        <f t="shared" si="68"/>
        <v>2</v>
      </c>
    </row>
    <row r="825" spans="1:30" ht="31.2" x14ac:dyDescent="0.3">
      <c r="A825" s="7" t="s">
        <v>1601</v>
      </c>
      <c r="B825" s="6">
        <v>812</v>
      </c>
      <c r="C825" s="7" t="s">
        <v>3506</v>
      </c>
      <c r="D825" s="7" t="s">
        <v>3507</v>
      </c>
      <c r="E825" s="7" t="s">
        <v>3508</v>
      </c>
      <c r="F825" s="4" t="s">
        <v>3840</v>
      </c>
      <c r="G825" s="7" t="s">
        <v>3509</v>
      </c>
      <c r="H825" s="7" t="s">
        <v>3510</v>
      </c>
      <c r="I825" s="7"/>
      <c r="J825" s="7" t="s">
        <v>3511</v>
      </c>
      <c r="K825" s="7" t="s">
        <v>24</v>
      </c>
      <c r="L825" s="7" t="s">
        <v>3512</v>
      </c>
      <c r="M825" s="109">
        <v>2652068258</v>
      </c>
      <c r="N825" s="109">
        <v>680801625</v>
      </c>
      <c r="O825" s="109">
        <v>15000000</v>
      </c>
      <c r="P825" s="112">
        <v>24000000</v>
      </c>
      <c r="Q825" s="109">
        <f t="shared" si="64"/>
        <v>3371869883</v>
      </c>
      <c r="R825" s="5"/>
      <c r="S825" s="7"/>
      <c r="T825" s="72"/>
      <c r="U825" s="5"/>
      <c r="V825" s="5"/>
      <c r="W825" s="28">
        <v>2652068258</v>
      </c>
      <c r="X825" s="36">
        <f t="shared" si="65"/>
        <v>680801625</v>
      </c>
      <c r="Y825" s="36">
        <f t="shared" si="66"/>
        <v>15000000</v>
      </c>
      <c r="Z825" s="28">
        <f t="shared" si="67"/>
        <v>24000000</v>
      </c>
      <c r="AA825" s="10">
        <v>2652068258</v>
      </c>
      <c r="AB825" s="40"/>
      <c r="AC825" s="121">
        <f t="shared" si="68"/>
        <v>2</v>
      </c>
      <c r="AD825" s="121"/>
    </row>
    <row r="826" spans="1:30" ht="31.2" x14ac:dyDescent="0.3">
      <c r="A826" s="7" t="s">
        <v>1601</v>
      </c>
      <c r="B826" s="6">
        <v>813</v>
      </c>
      <c r="C826" s="7" t="s">
        <v>3506</v>
      </c>
      <c r="D826" s="7" t="s">
        <v>3513</v>
      </c>
      <c r="E826" s="7"/>
      <c r="F826" s="4"/>
      <c r="G826" s="7" t="s">
        <v>3514</v>
      </c>
      <c r="H826" s="7"/>
      <c r="I826" s="7"/>
      <c r="J826" s="7" t="s">
        <v>3515</v>
      </c>
      <c r="K826" s="7" t="s">
        <v>24</v>
      </c>
      <c r="L826" s="7" t="s">
        <v>3516</v>
      </c>
      <c r="M826" s="114">
        <v>285679923760</v>
      </c>
      <c r="N826" s="111"/>
      <c r="O826" s="109">
        <v>7500000</v>
      </c>
      <c r="P826" s="110"/>
      <c r="Q826" s="109">
        <f t="shared" si="64"/>
        <v>285687423760</v>
      </c>
      <c r="R826" s="3">
        <v>285679923760</v>
      </c>
      <c r="S826" s="5"/>
      <c r="T826" s="72"/>
      <c r="U826" s="5"/>
      <c r="V826" s="5"/>
      <c r="W826" s="28"/>
      <c r="X826" s="28">
        <f t="shared" si="65"/>
        <v>0</v>
      </c>
      <c r="Y826" s="36">
        <f t="shared" si="66"/>
        <v>7500000</v>
      </c>
      <c r="Z826" s="28">
        <f t="shared" si="67"/>
        <v>0</v>
      </c>
      <c r="AA826" s="4"/>
      <c r="AB826" s="40"/>
      <c r="AC826" s="121">
        <f t="shared" si="68"/>
        <v>2</v>
      </c>
      <c r="AD826" s="121"/>
    </row>
    <row r="827" spans="1:30" ht="42" x14ac:dyDescent="0.3">
      <c r="A827" s="7" t="s">
        <v>1601</v>
      </c>
      <c r="B827" s="6">
        <v>814</v>
      </c>
      <c r="C827" s="7" t="s">
        <v>3506</v>
      </c>
      <c r="D827" s="7" t="s">
        <v>3517</v>
      </c>
      <c r="E827" s="5"/>
      <c r="F827" s="4"/>
      <c r="G827" s="7" t="s">
        <v>3518</v>
      </c>
      <c r="H827" s="5"/>
      <c r="I827" s="5"/>
      <c r="J827" s="21" t="s">
        <v>3519</v>
      </c>
      <c r="K827" s="7" t="s">
        <v>24</v>
      </c>
      <c r="L827" s="7" t="s">
        <v>3520</v>
      </c>
      <c r="M827" s="114">
        <v>886470700</v>
      </c>
      <c r="N827" s="111"/>
      <c r="O827" s="114">
        <v>15000000</v>
      </c>
      <c r="P827" s="110"/>
      <c r="Q827" s="109">
        <f t="shared" si="64"/>
        <v>901470700</v>
      </c>
      <c r="R827" s="14">
        <v>886470700</v>
      </c>
      <c r="S827" s="5"/>
      <c r="T827" s="30">
        <v>15000000</v>
      </c>
      <c r="U827" s="5"/>
      <c r="V827" s="5"/>
      <c r="W827" s="28"/>
      <c r="X827" s="28">
        <f t="shared" si="65"/>
        <v>0</v>
      </c>
      <c r="Y827" s="28">
        <f t="shared" si="66"/>
        <v>0</v>
      </c>
      <c r="Z827" s="28">
        <f t="shared" si="67"/>
        <v>0</v>
      </c>
      <c r="AA827" s="4"/>
      <c r="AB827" s="4"/>
      <c r="AC827">
        <f t="shared" si="68"/>
        <v>2</v>
      </c>
    </row>
    <row r="828" spans="1:30" ht="42" x14ac:dyDescent="0.3">
      <c r="A828" s="7" t="s">
        <v>46</v>
      </c>
      <c r="B828" s="6">
        <v>815</v>
      </c>
      <c r="C828" s="7" t="s">
        <v>3506</v>
      </c>
      <c r="D828" s="7" t="s">
        <v>3521</v>
      </c>
      <c r="E828" s="5"/>
      <c r="F828" s="4"/>
      <c r="G828" s="7" t="s">
        <v>3522</v>
      </c>
      <c r="H828" s="5"/>
      <c r="I828" s="5"/>
      <c r="J828" s="21" t="s">
        <v>3070</v>
      </c>
      <c r="K828" s="7" t="s">
        <v>24</v>
      </c>
      <c r="L828" s="7" t="s">
        <v>3523</v>
      </c>
      <c r="M828" s="114">
        <v>1059226080</v>
      </c>
      <c r="N828" s="111"/>
      <c r="O828" s="114">
        <v>15000000</v>
      </c>
      <c r="P828" s="110"/>
      <c r="Q828" s="109">
        <f t="shared" si="64"/>
        <v>1074226080</v>
      </c>
      <c r="R828" s="14">
        <v>1059226080</v>
      </c>
      <c r="S828" s="5"/>
      <c r="T828" s="30">
        <v>15000000</v>
      </c>
      <c r="U828" s="5"/>
      <c r="V828" s="5"/>
      <c r="W828" s="28"/>
      <c r="X828" s="28">
        <f t="shared" si="65"/>
        <v>0</v>
      </c>
      <c r="Y828" s="28">
        <f t="shared" si="66"/>
        <v>0</v>
      </c>
      <c r="Z828" s="28">
        <f t="shared" si="67"/>
        <v>0</v>
      </c>
      <c r="AA828" s="4"/>
      <c r="AB828" s="4"/>
      <c r="AC828">
        <f t="shared" si="68"/>
        <v>2</v>
      </c>
    </row>
    <row r="829" spans="1:30" ht="105" x14ac:dyDescent="0.3">
      <c r="A829" s="7" t="s">
        <v>1601</v>
      </c>
      <c r="B829" s="6">
        <v>816</v>
      </c>
      <c r="C829" s="7" t="s">
        <v>3506</v>
      </c>
      <c r="D829" s="7" t="s">
        <v>3524</v>
      </c>
      <c r="E829" s="5"/>
      <c r="F829" s="40" t="s">
        <v>637</v>
      </c>
      <c r="G829" s="7" t="s">
        <v>3525</v>
      </c>
      <c r="H829" s="5"/>
      <c r="I829" s="5"/>
      <c r="J829" s="21" t="s">
        <v>3526</v>
      </c>
      <c r="K829" s="7" t="s">
        <v>24</v>
      </c>
      <c r="L829" s="7" t="s">
        <v>3527</v>
      </c>
      <c r="M829" s="114">
        <v>5929074343</v>
      </c>
      <c r="N829" s="111"/>
      <c r="O829" s="114">
        <v>15000000</v>
      </c>
      <c r="P829" s="112">
        <v>24000000</v>
      </c>
      <c r="Q829" s="109">
        <f t="shared" si="64"/>
        <v>5968074343</v>
      </c>
      <c r="R829" s="14">
        <v>5929074343</v>
      </c>
      <c r="S829" s="5"/>
      <c r="T829" s="30">
        <v>15000000</v>
      </c>
      <c r="U829" s="3">
        <v>24000000</v>
      </c>
      <c r="V829" s="5"/>
      <c r="W829" s="28"/>
      <c r="X829" s="28">
        <f t="shared" si="65"/>
        <v>0</v>
      </c>
      <c r="Y829" s="28">
        <f t="shared" si="66"/>
        <v>0</v>
      </c>
      <c r="Z829" s="28">
        <f t="shared" si="67"/>
        <v>0</v>
      </c>
      <c r="AA829" s="4"/>
      <c r="AB829" s="4"/>
      <c r="AC829">
        <f t="shared" si="68"/>
        <v>2</v>
      </c>
    </row>
    <row r="830" spans="1:30" ht="46.8" x14ac:dyDescent="0.3">
      <c r="A830" s="7" t="s">
        <v>1601</v>
      </c>
      <c r="B830" s="6">
        <v>817</v>
      </c>
      <c r="C830" s="7" t="s">
        <v>3506</v>
      </c>
      <c r="D830" s="7" t="s">
        <v>3528</v>
      </c>
      <c r="E830" s="5"/>
      <c r="F830" s="4"/>
      <c r="G830" s="7" t="s">
        <v>3529</v>
      </c>
      <c r="H830" s="5"/>
      <c r="I830" s="5"/>
      <c r="J830" s="21" t="s">
        <v>3530</v>
      </c>
      <c r="K830" s="7" t="s">
        <v>24</v>
      </c>
      <c r="L830" s="7" t="s">
        <v>3531</v>
      </c>
      <c r="M830" s="114">
        <v>3385207540</v>
      </c>
      <c r="N830" s="111"/>
      <c r="O830" s="114">
        <v>15000000</v>
      </c>
      <c r="P830" s="110"/>
      <c r="Q830" s="109">
        <f t="shared" si="64"/>
        <v>3400207540</v>
      </c>
      <c r="R830" s="14">
        <v>3385207540</v>
      </c>
      <c r="S830" s="5"/>
      <c r="T830" s="30">
        <v>15000000</v>
      </c>
      <c r="U830" s="5"/>
      <c r="V830" s="5"/>
      <c r="W830" s="28"/>
      <c r="X830" s="28">
        <f t="shared" si="65"/>
        <v>0</v>
      </c>
      <c r="Y830" s="28">
        <f t="shared" si="66"/>
        <v>0</v>
      </c>
      <c r="Z830" s="28">
        <f t="shared" si="67"/>
        <v>0</v>
      </c>
      <c r="AA830" s="4"/>
      <c r="AB830" s="4"/>
      <c r="AC830">
        <f t="shared" si="68"/>
        <v>2</v>
      </c>
    </row>
    <row r="831" spans="1:30" ht="46.8" x14ac:dyDescent="0.3">
      <c r="A831" s="7" t="s">
        <v>1601</v>
      </c>
      <c r="B831" s="6">
        <v>818</v>
      </c>
      <c r="C831" s="7" t="s">
        <v>3506</v>
      </c>
      <c r="D831" s="7" t="s">
        <v>3532</v>
      </c>
      <c r="E831" s="5"/>
      <c r="F831" s="4"/>
      <c r="G831" s="7" t="s">
        <v>3533</v>
      </c>
      <c r="H831" s="5"/>
      <c r="I831" s="5"/>
      <c r="J831" s="21" t="s">
        <v>3534</v>
      </c>
      <c r="K831" s="7" t="s">
        <v>24</v>
      </c>
      <c r="L831" s="7" t="s">
        <v>3535</v>
      </c>
      <c r="M831" s="114">
        <v>1230685480</v>
      </c>
      <c r="N831" s="111"/>
      <c r="O831" s="114">
        <v>15000000</v>
      </c>
      <c r="P831" s="110"/>
      <c r="Q831" s="109">
        <f t="shared" si="64"/>
        <v>1245685480</v>
      </c>
      <c r="R831" s="14">
        <v>1230685480</v>
      </c>
      <c r="S831" s="5"/>
      <c r="T831" s="30">
        <v>15000000</v>
      </c>
      <c r="U831" s="5"/>
      <c r="V831" s="5"/>
      <c r="W831" s="28"/>
      <c r="X831" s="28">
        <f t="shared" si="65"/>
        <v>0</v>
      </c>
      <c r="Y831" s="28">
        <f t="shared" si="66"/>
        <v>0</v>
      </c>
      <c r="Z831" s="28">
        <f t="shared" si="67"/>
        <v>0</v>
      </c>
      <c r="AA831" s="4"/>
      <c r="AB831" s="4"/>
      <c r="AC831">
        <f t="shared" si="68"/>
        <v>2</v>
      </c>
    </row>
    <row r="832" spans="1:30" ht="63" x14ac:dyDescent="0.3">
      <c r="A832" s="7" t="s">
        <v>1601</v>
      </c>
      <c r="B832" s="6">
        <v>819</v>
      </c>
      <c r="C832" s="7" t="s">
        <v>3506</v>
      </c>
      <c r="D832" s="7" t="s">
        <v>3536</v>
      </c>
      <c r="E832" s="5"/>
      <c r="F832" s="40" t="s">
        <v>1144</v>
      </c>
      <c r="G832" s="7" t="s">
        <v>3537</v>
      </c>
      <c r="H832" s="5"/>
      <c r="I832" s="5"/>
      <c r="J832" s="21" t="s">
        <v>3538</v>
      </c>
      <c r="K832" s="7" t="s">
        <v>24</v>
      </c>
      <c r="L832" s="7" t="s">
        <v>3539</v>
      </c>
      <c r="M832" s="114">
        <v>1248685600</v>
      </c>
      <c r="N832" s="111"/>
      <c r="O832" s="114">
        <v>15000000</v>
      </c>
      <c r="P832" s="112">
        <v>120000000</v>
      </c>
      <c r="Q832" s="109">
        <f t="shared" si="64"/>
        <v>1383685600</v>
      </c>
      <c r="R832" s="14">
        <v>1248685600</v>
      </c>
      <c r="S832" s="5"/>
      <c r="T832" s="30">
        <v>15000000</v>
      </c>
      <c r="U832" s="14">
        <v>120000000</v>
      </c>
      <c r="V832" s="5"/>
      <c r="W832" s="28"/>
      <c r="X832" s="28">
        <f t="shared" si="65"/>
        <v>0</v>
      </c>
      <c r="Y832" s="28">
        <f t="shared" si="66"/>
        <v>0</v>
      </c>
      <c r="Z832" s="28">
        <f t="shared" si="67"/>
        <v>0</v>
      </c>
      <c r="AA832" s="4"/>
      <c r="AB832" s="4"/>
      <c r="AC832">
        <f t="shared" si="68"/>
        <v>2</v>
      </c>
    </row>
    <row r="833" spans="1:30" ht="42" x14ac:dyDescent="0.3">
      <c r="A833" s="7" t="s">
        <v>1601</v>
      </c>
      <c r="B833" s="6">
        <v>820</v>
      </c>
      <c r="C833" s="7" t="s">
        <v>3506</v>
      </c>
      <c r="D833" s="7" t="s">
        <v>3540</v>
      </c>
      <c r="E833" s="7" t="s">
        <v>3541</v>
      </c>
      <c r="F833" s="4"/>
      <c r="G833" s="7" t="s">
        <v>3542</v>
      </c>
      <c r="H833" s="5"/>
      <c r="I833" s="5"/>
      <c r="J833" s="21" t="s">
        <v>3543</v>
      </c>
      <c r="K833" s="7" t="s">
        <v>24</v>
      </c>
      <c r="L833" s="7" t="s">
        <v>3544</v>
      </c>
      <c r="M833" s="114">
        <v>66562996457</v>
      </c>
      <c r="N833" s="114">
        <v>1413212834</v>
      </c>
      <c r="O833" s="114">
        <v>7500000</v>
      </c>
      <c r="P833" s="110"/>
      <c r="Q833" s="109">
        <f t="shared" si="64"/>
        <v>67983709291</v>
      </c>
      <c r="R833" s="14">
        <v>66562996457</v>
      </c>
      <c r="S833" s="14">
        <v>1413212834</v>
      </c>
      <c r="T833" s="30">
        <v>7500000</v>
      </c>
      <c r="U833" s="5"/>
      <c r="V833" s="5"/>
      <c r="W833" s="28"/>
      <c r="X833" s="28">
        <f t="shared" si="65"/>
        <v>0</v>
      </c>
      <c r="Y833" s="28">
        <f t="shared" si="66"/>
        <v>0</v>
      </c>
      <c r="Z833" s="28">
        <f t="shared" si="67"/>
        <v>0</v>
      </c>
      <c r="AA833" s="4"/>
      <c r="AB833" s="4"/>
      <c r="AC833">
        <f t="shared" si="68"/>
        <v>2</v>
      </c>
    </row>
    <row r="834" spans="1:30" ht="42" x14ac:dyDescent="0.3">
      <c r="A834" s="7" t="s">
        <v>1601</v>
      </c>
      <c r="B834" s="6">
        <v>821</v>
      </c>
      <c r="C834" s="7" t="s">
        <v>3506</v>
      </c>
      <c r="D834" s="7" t="s">
        <v>3545</v>
      </c>
      <c r="E834" s="5"/>
      <c r="F834" s="4"/>
      <c r="G834" s="7" t="s">
        <v>3546</v>
      </c>
      <c r="H834" s="5"/>
      <c r="I834" s="7" t="s">
        <v>28</v>
      </c>
      <c r="J834" s="21" t="s">
        <v>3547</v>
      </c>
      <c r="K834" s="7" t="s">
        <v>24</v>
      </c>
      <c r="L834" s="7" t="s">
        <v>2524</v>
      </c>
      <c r="M834" s="114">
        <v>0</v>
      </c>
      <c r="N834" s="111"/>
      <c r="O834" s="119"/>
      <c r="P834" s="110"/>
      <c r="Q834" s="109">
        <f t="shared" si="64"/>
        <v>0</v>
      </c>
      <c r="R834" s="6">
        <v>0</v>
      </c>
      <c r="S834" s="5"/>
      <c r="T834" s="31"/>
      <c r="U834" s="5"/>
      <c r="V834" s="5"/>
      <c r="W834" s="28"/>
      <c r="X834" s="28">
        <f t="shared" si="65"/>
        <v>0</v>
      </c>
      <c r="Y834" s="28">
        <f t="shared" si="66"/>
        <v>0</v>
      </c>
      <c r="Z834" s="28">
        <f t="shared" si="67"/>
        <v>0</v>
      </c>
      <c r="AA834" s="4"/>
      <c r="AB834" s="4"/>
      <c r="AC834">
        <f t="shared" si="68"/>
        <v>2</v>
      </c>
    </row>
    <row r="835" spans="1:30" ht="31.2" x14ac:dyDescent="0.3">
      <c r="A835" s="7" t="s">
        <v>1601</v>
      </c>
      <c r="B835" s="6">
        <v>822</v>
      </c>
      <c r="C835" s="7" t="s">
        <v>3506</v>
      </c>
      <c r="D835" s="7" t="s">
        <v>3548</v>
      </c>
      <c r="E835" s="7" t="s">
        <v>3549</v>
      </c>
      <c r="F835" s="40" t="s">
        <v>691</v>
      </c>
      <c r="G835" s="7" t="s">
        <v>3550</v>
      </c>
      <c r="H835" s="7" t="s">
        <v>3551</v>
      </c>
      <c r="I835" s="5"/>
      <c r="J835" s="21" t="s">
        <v>3552</v>
      </c>
      <c r="K835" s="7" t="s">
        <v>24</v>
      </c>
      <c r="L835" s="7" t="s">
        <v>3553</v>
      </c>
      <c r="M835" s="114">
        <v>10000000</v>
      </c>
      <c r="N835" s="114">
        <v>715604580</v>
      </c>
      <c r="O835" s="114">
        <v>15000000</v>
      </c>
      <c r="P835" s="112">
        <v>24000000</v>
      </c>
      <c r="Q835" s="109">
        <f t="shared" si="64"/>
        <v>764604580</v>
      </c>
      <c r="R835" s="14">
        <v>10000000</v>
      </c>
      <c r="S835" s="14">
        <v>715604580</v>
      </c>
      <c r="T835" s="30">
        <v>15000000</v>
      </c>
      <c r="U835" s="14">
        <v>24000000</v>
      </c>
      <c r="V835" s="5"/>
      <c r="W835" s="28"/>
      <c r="X835" s="28">
        <f t="shared" si="65"/>
        <v>0</v>
      </c>
      <c r="Y835" s="28">
        <f t="shared" si="66"/>
        <v>0</v>
      </c>
      <c r="Z835" s="28">
        <f t="shared" si="67"/>
        <v>0</v>
      </c>
      <c r="AA835" s="4"/>
      <c r="AB835" s="4"/>
      <c r="AC835">
        <f t="shared" si="68"/>
        <v>2</v>
      </c>
    </row>
    <row r="836" spans="1:30" ht="42" x14ac:dyDescent="0.3">
      <c r="A836" s="7" t="s">
        <v>1601</v>
      </c>
      <c r="B836" s="6">
        <v>823</v>
      </c>
      <c r="C836" s="7" t="s">
        <v>3506</v>
      </c>
      <c r="D836" s="7" t="s">
        <v>3554</v>
      </c>
      <c r="E836" s="7" t="s">
        <v>2343</v>
      </c>
      <c r="F836" s="40" t="s">
        <v>2094</v>
      </c>
      <c r="G836" s="7" t="s">
        <v>3555</v>
      </c>
      <c r="H836" s="7" t="s">
        <v>3556</v>
      </c>
      <c r="I836" s="5"/>
      <c r="J836" s="21" t="s">
        <v>3557</v>
      </c>
      <c r="K836" s="7" t="s">
        <v>24</v>
      </c>
      <c r="L836" s="7" t="s">
        <v>3558</v>
      </c>
      <c r="M836" s="114">
        <v>10000000</v>
      </c>
      <c r="N836" s="114">
        <v>417893364</v>
      </c>
      <c r="O836" s="114">
        <v>15000000</v>
      </c>
      <c r="P836" s="112">
        <v>24000000</v>
      </c>
      <c r="Q836" s="109">
        <f t="shared" si="64"/>
        <v>466893364</v>
      </c>
      <c r="R836" s="14">
        <v>10000000</v>
      </c>
      <c r="S836" s="14">
        <v>417893364</v>
      </c>
      <c r="T836" s="30">
        <v>15000000</v>
      </c>
      <c r="U836" s="14">
        <v>24000000</v>
      </c>
      <c r="V836" s="5"/>
      <c r="W836" s="28"/>
      <c r="X836" s="28">
        <f t="shared" si="65"/>
        <v>0</v>
      </c>
      <c r="Y836" s="28">
        <f t="shared" si="66"/>
        <v>0</v>
      </c>
      <c r="Z836" s="28">
        <f t="shared" si="67"/>
        <v>0</v>
      </c>
      <c r="AA836" s="4"/>
      <c r="AB836" s="4"/>
      <c r="AC836">
        <f t="shared" si="68"/>
        <v>2</v>
      </c>
    </row>
    <row r="837" spans="1:30" ht="46.8" x14ac:dyDescent="0.3">
      <c r="A837" s="7" t="s">
        <v>1601</v>
      </c>
      <c r="B837" s="6">
        <v>824</v>
      </c>
      <c r="C837" s="7" t="s">
        <v>3506</v>
      </c>
      <c r="D837" s="7" t="s">
        <v>3559</v>
      </c>
      <c r="E837" s="7" t="s">
        <v>3560</v>
      </c>
      <c r="F837" s="40" t="s">
        <v>637</v>
      </c>
      <c r="G837" s="7" t="s">
        <v>3561</v>
      </c>
      <c r="H837" s="7"/>
      <c r="I837" s="7"/>
      <c r="J837" s="7" t="s">
        <v>3562</v>
      </c>
      <c r="K837" s="7" t="s">
        <v>24</v>
      </c>
      <c r="L837" s="7" t="s">
        <v>3563</v>
      </c>
      <c r="M837" s="114">
        <v>1278949840</v>
      </c>
      <c r="N837" s="114">
        <v>451639776</v>
      </c>
      <c r="O837" s="109">
        <v>15000000</v>
      </c>
      <c r="P837" s="112">
        <v>24000000</v>
      </c>
      <c r="Q837" s="109">
        <f t="shared" si="64"/>
        <v>1769589616</v>
      </c>
      <c r="R837" s="14">
        <v>1278949840</v>
      </c>
      <c r="S837" s="14">
        <v>451639776</v>
      </c>
      <c r="T837" s="72"/>
      <c r="U837" s="14">
        <v>24000000</v>
      </c>
      <c r="V837" s="5"/>
      <c r="W837" s="28"/>
      <c r="X837" s="28">
        <f t="shared" si="65"/>
        <v>0</v>
      </c>
      <c r="Y837" s="36">
        <f t="shared" si="66"/>
        <v>15000000</v>
      </c>
      <c r="Z837" s="28">
        <f t="shared" si="67"/>
        <v>0</v>
      </c>
      <c r="AA837" s="4"/>
      <c r="AB837" s="40"/>
      <c r="AC837" s="121">
        <f t="shared" si="68"/>
        <v>2</v>
      </c>
      <c r="AD837" s="121"/>
    </row>
    <row r="838" spans="1:30" ht="31.2" x14ac:dyDescent="0.3">
      <c r="A838" s="7" t="s">
        <v>46</v>
      </c>
      <c r="B838" s="6">
        <v>825</v>
      </c>
      <c r="C838" s="7" t="s">
        <v>3506</v>
      </c>
      <c r="D838" s="7" t="s">
        <v>3481</v>
      </c>
      <c r="E838" s="7" t="s">
        <v>644</v>
      </c>
      <c r="F838" s="4"/>
      <c r="G838" s="7" t="s">
        <v>3564</v>
      </c>
      <c r="H838" s="7" t="s">
        <v>3565</v>
      </c>
      <c r="I838" s="5"/>
      <c r="J838" s="21" t="s">
        <v>3566</v>
      </c>
      <c r="K838" s="7" t="s">
        <v>24</v>
      </c>
      <c r="L838" s="7" t="s">
        <v>3567</v>
      </c>
      <c r="M838" s="114">
        <v>1083708020</v>
      </c>
      <c r="N838" s="114">
        <v>1129749824</v>
      </c>
      <c r="O838" s="114">
        <v>15000000</v>
      </c>
      <c r="P838" s="110"/>
      <c r="Q838" s="109">
        <f t="shared" si="64"/>
        <v>2228457844</v>
      </c>
      <c r="R838" s="14">
        <v>1083708020</v>
      </c>
      <c r="S838" s="3">
        <v>1129749824</v>
      </c>
      <c r="T838" s="30">
        <v>15000000</v>
      </c>
      <c r="U838" s="5"/>
      <c r="V838" s="5"/>
      <c r="W838" s="28"/>
      <c r="X838" s="28">
        <f t="shared" si="65"/>
        <v>0</v>
      </c>
      <c r="Y838" s="28">
        <f t="shared" si="66"/>
        <v>0</v>
      </c>
      <c r="Z838" s="28">
        <f t="shared" si="67"/>
        <v>0</v>
      </c>
      <c r="AA838" s="4"/>
      <c r="AB838" s="4"/>
      <c r="AC838">
        <f t="shared" si="68"/>
        <v>2</v>
      </c>
    </row>
    <row r="839" spans="1:30" ht="63" x14ac:dyDescent="0.3">
      <c r="A839" s="7" t="s">
        <v>1601</v>
      </c>
      <c r="B839" s="6">
        <v>826</v>
      </c>
      <c r="C839" s="7" t="s">
        <v>3506</v>
      </c>
      <c r="D839" s="7" t="s">
        <v>3568</v>
      </c>
      <c r="E839" s="7" t="s">
        <v>3569</v>
      </c>
      <c r="F839" s="40" t="s">
        <v>1248</v>
      </c>
      <c r="G839" s="7" t="s">
        <v>3570</v>
      </c>
      <c r="H839" s="7" t="s">
        <v>3571</v>
      </c>
      <c r="I839" s="5"/>
      <c r="J839" s="21" t="s">
        <v>3572</v>
      </c>
      <c r="K839" s="7" t="s">
        <v>24</v>
      </c>
      <c r="L839" s="7" t="s">
        <v>3573</v>
      </c>
      <c r="M839" s="114">
        <v>669621130</v>
      </c>
      <c r="N839" s="115">
        <v>1200081192</v>
      </c>
      <c r="O839" s="114">
        <v>15000000</v>
      </c>
      <c r="P839" s="112">
        <v>8000000</v>
      </c>
      <c r="Q839" s="109">
        <f t="shared" si="64"/>
        <v>1892702322</v>
      </c>
      <c r="R839" s="14">
        <v>669621130</v>
      </c>
      <c r="S839" s="14">
        <v>1200081192</v>
      </c>
      <c r="T839" s="30">
        <v>15000000</v>
      </c>
      <c r="U839" s="14">
        <v>8000000</v>
      </c>
      <c r="V839" s="5"/>
      <c r="W839" s="28"/>
      <c r="X839" s="28">
        <f t="shared" si="65"/>
        <v>0</v>
      </c>
      <c r="Y839" s="28">
        <f t="shared" si="66"/>
        <v>0</v>
      </c>
      <c r="Z839" s="28">
        <f t="shared" si="67"/>
        <v>0</v>
      </c>
      <c r="AA839" s="4"/>
      <c r="AB839" s="4"/>
      <c r="AC839">
        <f t="shared" si="68"/>
        <v>2</v>
      </c>
    </row>
    <row r="840" spans="1:30" ht="46.8" x14ac:dyDescent="0.3">
      <c r="A840" s="7" t="s">
        <v>1601</v>
      </c>
      <c r="B840" s="6">
        <v>827</v>
      </c>
      <c r="C840" s="7" t="s">
        <v>3506</v>
      </c>
      <c r="D840" s="7" t="s">
        <v>3574</v>
      </c>
      <c r="E840" s="5"/>
      <c r="F840" s="4"/>
      <c r="G840" s="7" t="s">
        <v>3575</v>
      </c>
      <c r="H840" s="5"/>
      <c r="I840" s="5"/>
      <c r="J840" s="21" t="s">
        <v>3576</v>
      </c>
      <c r="K840" s="7" t="s">
        <v>24</v>
      </c>
      <c r="L840" s="7" t="s">
        <v>3577</v>
      </c>
      <c r="M840" s="114">
        <v>6071608000</v>
      </c>
      <c r="N840" s="111"/>
      <c r="O840" s="114">
        <v>15000000</v>
      </c>
      <c r="P840" s="110"/>
      <c r="Q840" s="109">
        <f t="shared" si="64"/>
        <v>6086608000</v>
      </c>
      <c r="R840" s="14">
        <v>6071608000</v>
      </c>
      <c r="S840" s="5"/>
      <c r="T840" s="30">
        <v>15000000</v>
      </c>
      <c r="U840" s="5"/>
      <c r="V840" s="5"/>
      <c r="W840" s="28"/>
      <c r="X840" s="28">
        <f t="shared" si="65"/>
        <v>0</v>
      </c>
      <c r="Y840" s="28">
        <f t="shared" si="66"/>
        <v>0</v>
      </c>
      <c r="Z840" s="28">
        <f t="shared" si="67"/>
        <v>0</v>
      </c>
      <c r="AA840" s="4"/>
      <c r="AB840" s="4"/>
      <c r="AC840">
        <f t="shared" si="68"/>
        <v>2</v>
      </c>
    </row>
    <row r="841" spans="1:30" ht="63" x14ac:dyDescent="0.3">
      <c r="A841" s="7" t="s">
        <v>1601</v>
      </c>
      <c r="B841" s="6">
        <v>828</v>
      </c>
      <c r="C841" s="7" t="s">
        <v>3506</v>
      </c>
      <c r="D841" s="7" t="s">
        <v>3578</v>
      </c>
      <c r="E841" s="5"/>
      <c r="F841" s="40" t="s">
        <v>691</v>
      </c>
      <c r="G841" s="7" t="s">
        <v>3579</v>
      </c>
      <c r="H841" s="5"/>
      <c r="I841" s="5"/>
      <c r="J841" s="21" t="s">
        <v>3580</v>
      </c>
      <c r="K841" s="7" t="s">
        <v>24</v>
      </c>
      <c r="L841" s="7" t="s">
        <v>3581</v>
      </c>
      <c r="M841" s="114">
        <v>1770648232</v>
      </c>
      <c r="N841" s="111"/>
      <c r="O841" s="114">
        <v>15000000</v>
      </c>
      <c r="P841" s="112">
        <v>33333335</v>
      </c>
      <c r="Q841" s="109">
        <f t="shared" si="64"/>
        <v>1818981567</v>
      </c>
      <c r="R841" s="14">
        <v>1770648232</v>
      </c>
      <c r="S841" s="5"/>
      <c r="T841" s="30">
        <v>15000000</v>
      </c>
      <c r="U841" s="14">
        <v>33333335</v>
      </c>
      <c r="V841" s="5"/>
      <c r="W841" s="28"/>
      <c r="X841" s="28">
        <f t="shared" si="65"/>
        <v>0</v>
      </c>
      <c r="Y841" s="28">
        <f t="shared" si="66"/>
        <v>0</v>
      </c>
      <c r="Z841" s="28">
        <f t="shared" si="67"/>
        <v>0</v>
      </c>
      <c r="AA841" s="4"/>
      <c r="AB841" s="4"/>
      <c r="AC841">
        <f t="shared" si="68"/>
        <v>2</v>
      </c>
    </row>
    <row r="842" spans="1:30" ht="42" x14ac:dyDescent="0.3">
      <c r="A842" s="7" t="s">
        <v>1601</v>
      </c>
      <c r="B842" s="6">
        <v>829</v>
      </c>
      <c r="C842" s="7" t="s">
        <v>3506</v>
      </c>
      <c r="D842" s="7" t="s">
        <v>3582</v>
      </c>
      <c r="E842" s="5"/>
      <c r="F842" s="4"/>
      <c r="G842" s="7" t="s">
        <v>3583</v>
      </c>
      <c r="H842" s="5"/>
      <c r="I842" s="5"/>
      <c r="J842" s="21" t="s">
        <v>3584</v>
      </c>
      <c r="K842" s="7" t="s">
        <v>24</v>
      </c>
      <c r="L842" s="7" t="s">
        <v>3376</v>
      </c>
      <c r="M842" s="114">
        <v>1108965112</v>
      </c>
      <c r="N842" s="111"/>
      <c r="O842" s="114">
        <v>15000000</v>
      </c>
      <c r="P842" s="110"/>
      <c r="Q842" s="109">
        <f t="shared" si="64"/>
        <v>1123965112</v>
      </c>
      <c r="R842" s="14">
        <v>1108965112</v>
      </c>
      <c r="S842" s="5"/>
      <c r="T842" s="30">
        <v>15000000</v>
      </c>
      <c r="U842" s="5"/>
      <c r="V842" s="5"/>
      <c r="W842" s="28"/>
      <c r="X842" s="28">
        <f t="shared" si="65"/>
        <v>0</v>
      </c>
      <c r="Y842" s="28">
        <f t="shared" si="66"/>
        <v>0</v>
      </c>
      <c r="Z842" s="28">
        <f t="shared" si="67"/>
        <v>0</v>
      </c>
      <c r="AA842" s="4"/>
      <c r="AB842" s="4"/>
      <c r="AC842">
        <f t="shared" si="68"/>
        <v>2</v>
      </c>
    </row>
    <row r="843" spans="1:30" ht="42" x14ac:dyDescent="0.3">
      <c r="A843" s="7" t="s">
        <v>1601</v>
      </c>
      <c r="B843" s="6">
        <v>830</v>
      </c>
      <c r="C843" s="7" t="s">
        <v>3506</v>
      </c>
      <c r="D843" s="7" t="s">
        <v>3585</v>
      </c>
      <c r="E843" s="5"/>
      <c r="F843" s="4"/>
      <c r="G843" s="7" t="s">
        <v>3586</v>
      </c>
      <c r="H843" s="5"/>
      <c r="I843" s="5"/>
      <c r="J843" s="21" t="s">
        <v>2115</v>
      </c>
      <c r="K843" s="7" t="s">
        <v>24</v>
      </c>
      <c r="L843" s="7" t="s">
        <v>3587</v>
      </c>
      <c r="M843" s="114">
        <v>2946358656</v>
      </c>
      <c r="N843" s="111"/>
      <c r="O843" s="114">
        <v>15000000</v>
      </c>
      <c r="P843" s="110"/>
      <c r="Q843" s="109">
        <f t="shared" si="64"/>
        <v>2961358656</v>
      </c>
      <c r="R843" s="14">
        <v>2946358656</v>
      </c>
      <c r="S843" s="5"/>
      <c r="T843" s="30">
        <v>15000000</v>
      </c>
      <c r="U843" s="5"/>
      <c r="V843" s="5"/>
      <c r="W843" s="28"/>
      <c r="X843" s="28">
        <f t="shared" si="65"/>
        <v>0</v>
      </c>
      <c r="Y843" s="28">
        <f t="shared" si="66"/>
        <v>0</v>
      </c>
      <c r="Z843" s="28">
        <f t="shared" si="67"/>
        <v>0</v>
      </c>
      <c r="AA843" s="4"/>
      <c r="AB843" s="4"/>
      <c r="AC843">
        <f t="shared" si="68"/>
        <v>2</v>
      </c>
    </row>
    <row r="844" spans="1:30" ht="46.8" x14ac:dyDescent="0.3">
      <c r="A844" s="7" t="s">
        <v>2290</v>
      </c>
      <c r="B844" s="6">
        <v>831</v>
      </c>
      <c r="C844" s="7" t="s">
        <v>3506</v>
      </c>
      <c r="D844" s="7" t="s">
        <v>3588</v>
      </c>
      <c r="E844" s="7" t="s">
        <v>3589</v>
      </c>
      <c r="F844" s="4" t="s">
        <v>3884</v>
      </c>
      <c r="G844" s="7" t="s">
        <v>3590</v>
      </c>
      <c r="H844" s="5"/>
      <c r="I844" s="5"/>
      <c r="J844" s="21" t="s">
        <v>3591</v>
      </c>
      <c r="K844" s="7" t="s">
        <v>24</v>
      </c>
      <c r="L844" s="7" t="s">
        <v>3592</v>
      </c>
      <c r="M844" s="114">
        <v>10000000</v>
      </c>
      <c r="N844" s="114">
        <v>549610320</v>
      </c>
      <c r="O844" s="114">
        <v>15000000</v>
      </c>
      <c r="P844" s="110">
        <v>48000000</v>
      </c>
      <c r="Q844" s="109">
        <f t="shared" si="64"/>
        <v>622610320</v>
      </c>
      <c r="R844" s="14">
        <v>10000000</v>
      </c>
      <c r="S844" s="14">
        <v>549610320</v>
      </c>
      <c r="T844" s="30">
        <v>15000000</v>
      </c>
      <c r="U844" s="5"/>
      <c r="V844" s="5"/>
      <c r="W844" s="28"/>
      <c r="X844" s="28">
        <f t="shared" si="65"/>
        <v>0</v>
      </c>
      <c r="Y844" s="28">
        <f t="shared" si="66"/>
        <v>0</v>
      </c>
      <c r="Z844" s="28">
        <f t="shared" si="67"/>
        <v>48000000</v>
      </c>
      <c r="AA844" s="4"/>
      <c r="AB844" s="4"/>
      <c r="AC844">
        <f t="shared" si="68"/>
        <v>2</v>
      </c>
    </row>
    <row r="845" spans="1:30" ht="46.8" x14ac:dyDescent="0.3">
      <c r="A845" s="7" t="s">
        <v>2290</v>
      </c>
      <c r="B845" s="6">
        <v>832</v>
      </c>
      <c r="C845" s="7" t="s">
        <v>3506</v>
      </c>
      <c r="D845" s="7" t="s">
        <v>3593</v>
      </c>
      <c r="E845" s="7" t="s">
        <v>2864</v>
      </c>
      <c r="F845" s="4"/>
      <c r="G845" s="7" t="s">
        <v>3594</v>
      </c>
      <c r="H845" s="5"/>
      <c r="I845" s="5"/>
      <c r="J845" s="21" t="s">
        <v>3595</v>
      </c>
      <c r="K845" s="7" t="s">
        <v>24</v>
      </c>
      <c r="L845" s="7" t="s">
        <v>2867</v>
      </c>
      <c r="M845" s="114">
        <v>10000000</v>
      </c>
      <c r="N845" s="114">
        <v>624471036</v>
      </c>
      <c r="O845" s="114">
        <v>15000000</v>
      </c>
      <c r="P845" s="110"/>
      <c r="Q845" s="109">
        <f t="shared" si="64"/>
        <v>649471036</v>
      </c>
      <c r="R845" s="14">
        <v>10000000</v>
      </c>
      <c r="S845" s="14">
        <v>624471036</v>
      </c>
      <c r="T845" s="31">
        <v>15000000</v>
      </c>
      <c r="U845" s="5"/>
      <c r="V845" s="5"/>
      <c r="W845" s="28"/>
      <c r="X845" s="28">
        <f t="shared" si="65"/>
        <v>0</v>
      </c>
      <c r="Y845" s="28">
        <f t="shared" si="66"/>
        <v>0</v>
      </c>
      <c r="Z845" s="28">
        <f t="shared" si="67"/>
        <v>0</v>
      </c>
      <c r="AA845" s="4"/>
      <c r="AB845" s="4"/>
      <c r="AC845">
        <f t="shared" si="68"/>
        <v>2</v>
      </c>
    </row>
    <row r="846" spans="1:30" ht="31.2" x14ac:dyDescent="0.3">
      <c r="A846" s="7" t="s">
        <v>2290</v>
      </c>
      <c r="B846" s="6">
        <v>833</v>
      </c>
      <c r="C846" s="7" t="s">
        <v>3506</v>
      </c>
      <c r="D846" s="7" t="s">
        <v>3596</v>
      </c>
      <c r="E846" s="7" t="s">
        <v>3597</v>
      </c>
      <c r="F846" s="4"/>
      <c r="G846" s="7" t="s">
        <v>3598</v>
      </c>
      <c r="H846" s="7" t="s">
        <v>3599</v>
      </c>
      <c r="I846" s="7"/>
      <c r="J846" s="7" t="s">
        <v>3600</v>
      </c>
      <c r="K846" s="7" t="s">
        <v>24</v>
      </c>
      <c r="L846" s="7" t="s">
        <v>3567</v>
      </c>
      <c r="M846" s="109">
        <v>10000000</v>
      </c>
      <c r="N846" s="109">
        <v>325771956</v>
      </c>
      <c r="O846" s="109">
        <v>15000000</v>
      </c>
      <c r="P846" s="110"/>
      <c r="Q846" s="109">
        <f t="shared" ref="Q846:Q897" si="69">M846+N846+O846+P846</f>
        <v>350771956</v>
      </c>
      <c r="R846" s="5"/>
      <c r="S846" s="7"/>
      <c r="T846" s="72"/>
      <c r="U846" s="5"/>
      <c r="V846" s="5"/>
      <c r="W846" s="28">
        <v>10000000</v>
      </c>
      <c r="X846" s="36">
        <f t="shared" ref="X846:X877" si="70">N846-S846</f>
        <v>325771956</v>
      </c>
      <c r="Y846" s="36">
        <f t="shared" ref="Y846:Y877" si="71">O846-T846</f>
        <v>15000000</v>
      </c>
      <c r="Z846" s="28">
        <f t="shared" ref="Z846:Z877" si="72">P846-U846</f>
        <v>0</v>
      </c>
      <c r="AA846" s="10">
        <v>10000000</v>
      </c>
      <c r="AB846" s="40"/>
      <c r="AC846" s="121">
        <f t="shared" ref="AC846:AC897" si="73">IF(AB846=G846,1,2)</f>
        <v>2</v>
      </c>
      <c r="AD846" s="121"/>
    </row>
    <row r="847" spans="1:30" ht="31.2" x14ac:dyDescent="0.3">
      <c r="A847" s="7" t="s">
        <v>2290</v>
      </c>
      <c r="B847" s="6">
        <v>834</v>
      </c>
      <c r="C847" s="7" t="s">
        <v>3506</v>
      </c>
      <c r="D847" s="7" t="s">
        <v>3601</v>
      </c>
      <c r="E847" s="5"/>
      <c r="F847" s="4"/>
      <c r="G847" s="7" t="s">
        <v>3602</v>
      </c>
      <c r="H847" s="5"/>
      <c r="I847" s="5"/>
      <c r="J847" s="21" t="s">
        <v>3603</v>
      </c>
      <c r="K847" s="7" t="s">
        <v>24</v>
      </c>
      <c r="L847" s="7" t="s">
        <v>3604</v>
      </c>
      <c r="M847" s="114">
        <v>2547765012</v>
      </c>
      <c r="N847" s="111"/>
      <c r="O847" s="114">
        <v>15000000</v>
      </c>
      <c r="P847" s="110"/>
      <c r="Q847" s="109">
        <f t="shared" si="69"/>
        <v>2562765012</v>
      </c>
      <c r="R847" s="14">
        <v>2547765012</v>
      </c>
      <c r="S847" s="5"/>
      <c r="T847" s="30">
        <v>15000000</v>
      </c>
      <c r="U847" s="5"/>
      <c r="V847" s="5"/>
      <c r="W847" s="28"/>
      <c r="X847" s="28">
        <f t="shared" si="70"/>
        <v>0</v>
      </c>
      <c r="Y847" s="28">
        <f t="shared" si="71"/>
        <v>0</v>
      </c>
      <c r="Z847" s="28">
        <f t="shared" si="72"/>
        <v>0</v>
      </c>
      <c r="AA847" s="4"/>
      <c r="AB847" s="4"/>
      <c r="AC847">
        <f t="shared" si="73"/>
        <v>2</v>
      </c>
    </row>
    <row r="848" spans="1:30" ht="63" x14ac:dyDescent="0.3">
      <c r="A848" s="7" t="s">
        <v>2290</v>
      </c>
      <c r="B848" s="6">
        <v>835</v>
      </c>
      <c r="C848" s="7" t="s">
        <v>3506</v>
      </c>
      <c r="D848" s="7" t="s">
        <v>3605</v>
      </c>
      <c r="E848" s="5"/>
      <c r="F848" s="4"/>
      <c r="G848" s="7" t="s">
        <v>3606</v>
      </c>
      <c r="H848" s="5"/>
      <c r="I848" s="5"/>
      <c r="J848" s="21" t="s">
        <v>3607</v>
      </c>
      <c r="K848" s="7" t="s">
        <v>24</v>
      </c>
      <c r="L848" s="7" t="s">
        <v>3396</v>
      </c>
      <c r="M848" s="114">
        <v>2743648019</v>
      </c>
      <c r="N848" s="111"/>
      <c r="O848" s="114">
        <v>15000000</v>
      </c>
      <c r="P848" s="110"/>
      <c r="Q848" s="109">
        <f t="shared" si="69"/>
        <v>2758648019</v>
      </c>
      <c r="R848" s="14">
        <v>2743648019</v>
      </c>
      <c r="S848" s="5"/>
      <c r="T848" s="30">
        <v>15000000</v>
      </c>
      <c r="U848" s="5"/>
      <c r="V848" s="5"/>
      <c r="W848" s="28"/>
      <c r="X848" s="28">
        <f t="shared" si="70"/>
        <v>0</v>
      </c>
      <c r="Y848" s="28">
        <f t="shared" si="71"/>
        <v>0</v>
      </c>
      <c r="Z848" s="28">
        <f t="shared" si="72"/>
        <v>0</v>
      </c>
      <c r="AA848" s="4"/>
      <c r="AB848" s="4"/>
      <c r="AC848">
        <f t="shared" si="73"/>
        <v>2</v>
      </c>
    </row>
    <row r="849" spans="1:30" ht="46.8" x14ac:dyDescent="0.3">
      <c r="A849" s="7" t="s">
        <v>2290</v>
      </c>
      <c r="B849" s="6">
        <v>836</v>
      </c>
      <c r="C849" s="7" t="s">
        <v>3506</v>
      </c>
      <c r="D849" s="7" t="s">
        <v>3608</v>
      </c>
      <c r="E849" s="5"/>
      <c r="F849" s="4"/>
      <c r="G849" s="7" t="s">
        <v>3609</v>
      </c>
      <c r="H849" s="5"/>
      <c r="I849" s="5"/>
      <c r="J849" s="21" t="s">
        <v>3610</v>
      </c>
      <c r="K849" s="7" t="s">
        <v>24</v>
      </c>
      <c r="L849" s="7" t="s">
        <v>3611</v>
      </c>
      <c r="M849" s="114">
        <v>1011264694</v>
      </c>
      <c r="N849" s="111"/>
      <c r="O849" s="114">
        <v>7500000</v>
      </c>
      <c r="P849" s="110"/>
      <c r="Q849" s="109">
        <f t="shared" si="69"/>
        <v>1018764694</v>
      </c>
      <c r="R849" s="14">
        <v>1011264694</v>
      </c>
      <c r="S849" s="5"/>
      <c r="T849" s="33">
        <v>7500000</v>
      </c>
      <c r="U849" s="5"/>
      <c r="V849" s="5"/>
      <c r="W849" s="28"/>
      <c r="X849" s="28">
        <f t="shared" si="70"/>
        <v>0</v>
      </c>
      <c r="Y849" s="28">
        <f t="shared" si="71"/>
        <v>0</v>
      </c>
      <c r="Z849" s="28">
        <f t="shared" si="72"/>
        <v>0</v>
      </c>
      <c r="AA849" s="4"/>
      <c r="AB849" s="4"/>
      <c r="AC849">
        <f t="shared" si="73"/>
        <v>2</v>
      </c>
    </row>
    <row r="850" spans="1:30" ht="46.8" x14ac:dyDescent="0.3">
      <c r="A850" s="7" t="s">
        <v>2290</v>
      </c>
      <c r="B850" s="6">
        <v>837</v>
      </c>
      <c r="C850" s="7" t="s">
        <v>3506</v>
      </c>
      <c r="D850" s="7" t="s">
        <v>3612</v>
      </c>
      <c r="E850" s="7" t="s">
        <v>3421</v>
      </c>
      <c r="F850" s="4"/>
      <c r="G850" s="7" t="s">
        <v>3613</v>
      </c>
      <c r="H850" s="7" t="s">
        <v>3614</v>
      </c>
      <c r="I850" s="5"/>
      <c r="J850" s="21" t="s">
        <v>3615</v>
      </c>
      <c r="K850" s="7" t="s">
        <v>24</v>
      </c>
      <c r="L850" s="7" t="s">
        <v>3616</v>
      </c>
      <c r="M850" s="114">
        <v>584627066</v>
      </c>
      <c r="N850" s="114">
        <v>143656766</v>
      </c>
      <c r="O850" s="114">
        <v>15000000</v>
      </c>
      <c r="P850" s="110"/>
      <c r="Q850" s="109">
        <f t="shared" si="69"/>
        <v>743283832</v>
      </c>
      <c r="R850" s="14">
        <v>584627066</v>
      </c>
      <c r="S850" s="14">
        <v>143656766</v>
      </c>
      <c r="T850" s="33">
        <v>15000000</v>
      </c>
      <c r="U850" s="5"/>
      <c r="V850" s="5"/>
      <c r="W850" s="28"/>
      <c r="X850" s="28">
        <f t="shared" si="70"/>
        <v>0</v>
      </c>
      <c r="Y850" s="28">
        <f t="shared" si="71"/>
        <v>0</v>
      </c>
      <c r="Z850" s="28">
        <f t="shared" si="72"/>
        <v>0</v>
      </c>
      <c r="AA850" s="4"/>
      <c r="AB850" s="4"/>
      <c r="AC850">
        <f t="shared" si="73"/>
        <v>2</v>
      </c>
    </row>
    <row r="851" spans="1:30" ht="62.4" x14ac:dyDescent="0.3">
      <c r="A851" s="7" t="s">
        <v>2290</v>
      </c>
      <c r="B851" s="6">
        <v>838</v>
      </c>
      <c r="C851" s="7" t="s">
        <v>3506</v>
      </c>
      <c r="D851" s="7" t="s">
        <v>3617</v>
      </c>
      <c r="E851" s="7" t="s">
        <v>3619</v>
      </c>
      <c r="F851" s="40" t="s">
        <v>3618</v>
      </c>
      <c r="G851" s="7" t="s">
        <v>3620</v>
      </c>
      <c r="H851" s="7" t="s">
        <v>3621</v>
      </c>
      <c r="I851" s="7"/>
      <c r="J851" s="7" t="s">
        <v>3622</v>
      </c>
      <c r="K851" s="7" t="s">
        <v>24</v>
      </c>
      <c r="L851" s="7" t="s">
        <v>3033</v>
      </c>
      <c r="M851" s="109">
        <v>10000000</v>
      </c>
      <c r="N851" s="109">
        <v>882094598</v>
      </c>
      <c r="O851" s="109">
        <v>15000000</v>
      </c>
      <c r="P851" s="112">
        <v>24000000</v>
      </c>
      <c r="Q851" s="109">
        <f t="shared" si="69"/>
        <v>931094598</v>
      </c>
      <c r="R851" s="5"/>
      <c r="S851" s="7"/>
      <c r="T851" s="72"/>
      <c r="U851" s="5"/>
      <c r="V851" s="5"/>
      <c r="W851" s="28">
        <v>10000000</v>
      </c>
      <c r="X851" s="36">
        <f t="shared" si="70"/>
        <v>882094598</v>
      </c>
      <c r="Y851" s="36">
        <f t="shared" si="71"/>
        <v>15000000</v>
      </c>
      <c r="Z851" s="28">
        <f t="shared" si="72"/>
        <v>24000000</v>
      </c>
      <c r="AA851" s="10">
        <v>10000000</v>
      </c>
      <c r="AB851" s="40"/>
      <c r="AC851" s="121">
        <f t="shared" si="73"/>
        <v>2</v>
      </c>
      <c r="AD851" s="121"/>
    </row>
    <row r="852" spans="1:30" ht="62.4" x14ac:dyDescent="0.4">
      <c r="A852" s="7" t="s">
        <v>2290</v>
      </c>
      <c r="B852" s="6">
        <v>839</v>
      </c>
      <c r="C852" s="7" t="s">
        <v>3506</v>
      </c>
      <c r="D852" s="7" t="s">
        <v>3623</v>
      </c>
      <c r="E852" s="7" t="s">
        <v>2869</v>
      </c>
      <c r="F852" s="4"/>
      <c r="G852" s="7"/>
      <c r="H852" s="7"/>
      <c r="I852" s="7" t="s">
        <v>3624</v>
      </c>
      <c r="J852" s="7" t="s">
        <v>3625</v>
      </c>
      <c r="K852" s="7" t="s">
        <v>24</v>
      </c>
      <c r="L852" s="7" t="s">
        <v>3396</v>
      </c>
      <c r="M852" s="114">
        <v>10000000</v>
      </c>
      <c r="N852" s="111"/>
      <c r="O852" s="109">
        <v>15000000</v>
      </c>
      <c r="P852" s="110"/>
      <c r="Q852" s="109">
        <f t="shared" si="69"/>
        <v>25000000</v>
      </c>
      <c r="R852" s="5"/>
      <c r="S852" s="5"/>
      <c r="T852" s="72"/>
      <c r="U852" s="5"/>
      <c r="V852" s="5"/>
      <c r="W852" s="28">
        <v>10000000</v>
      </c>
      <c r="X852" s="28">
        <f t="shared" si="70"/>
        <v>0</v>
      </c>
      <c r="Y852" s="36">
        <f t="shared" si="71"/>
        <v>15000000</v>
      </c>
      <c r="Z852" s="28">
        <f t="shared" si="72"/>
        <v>0</v>
      </c>
      <c r="AA852" s="16">
        <v>10000000</v>
      </c>
      <c r="AB852" s="40"/>
      <c r="AC852" s="121">
        <f t="shared" si="73"/>
        <v>1</v>
      </c>
      <c r="AD852" s="121"/>
    </row>
    <row r="853" spans="1:30" ht="42" x14ac:dyDescent="0.3">
      <c r="A853" s="7" t="s">
        <v>2290</v>
      </c>
      <c r="B853" s="6">
        <v>840</v>
      </c>
      <c r="C853" s="7" t="s">
        <v>3506</v>
      </c>
      <c r="D853" s="7" t="s">
        <v>3626</v>
      </c>
      <c r="E853" s="5"/>
      <c r="F853" s="4"/>
      <c r="G853" s="7" t="s">
        <v>3627</v>
      </c>
      <c r="H853" s="5"/>
      <c r="I853" s="5"/>
      <c r="J853" s="21" t="s">
        <v>3628</v>
      </c>
      <c r="K853" s="7" t="s">
        <v>24</v>
      </c>
      <c r="L853" s="7" t="s">
        <v>3629</v>
      </c>
      <c r="M853" s="114">
        <v>2056824640</v>
      </c>
      <c r="N853" s="111"/>
      <c r="O853" s="114">
        <v>15000000</v>
      </c>
      <c r="P853" s="110"/>
      <c r="Q853" s="109">
        <f t="shared" si="69"/>
        <v>2071824640</v>
      </c>
      <c r="R853" s="14">
        <v>2056824640</v>
      </c>
      <c r="S853" s="5"/>
      <c r="T853" s="33">
        <v>15000000</v>
      </c>
      <c r="U853" s="5"/>
      <c r="V853" s="5"/>
      <c r="W853" s="28"/>
      <c r="X853" s="28">
        <f t="shared" si="70"/>
        <v>0</v>
      </c>
      <c r="Y853" s="28">
        <f t="shared" si="71"/>
        <v>0</v>
      </c>
      <c r="Z853" s="28">
        <f t="shared" si="72"/>
        <v>0</v>
      </c>
      <c r="AA853" s="4"/>
      <c r="AB853" s="4"/>
      <c r="AC853">
        <f t="shared" si="73"/>
        <v>2</v>
      </c>
    </row>
    <row r="854" spans="1:30" ht="31.2" x14ac:dyDescent="0.4">
      <c r="A854" s="7" t="s">
        <v>2290</v>
      </c>
      <c r="B854" s="6">
        <v>841</v>
      </c>
      <c r="C854" s="7" t="s">
        <v>3506</v>
      </c>
      <c r="D854" s="7" t="s">
        <v>3630</v>
      </c>
      <c r="E854" s="7"/>
      <c r="F854" s="4"/>
      <c r="G854" s="7" t="s">
        <v>3631</v>
      </c>
      <c r="H854" s="7"/>
      <c r="I854" s="7"/>
      <c r="J854" s="7" t="s">
        <v>3632</v>
      </c>
      <c r="K854" s="7" t="s">
        <v>24</v>
      </c>
      <c r="L854" s="7" t="s">
        <v>2517</v>
      </c>
      <c r="M854" s="114">
        <v>4969395064</v>
      </c>
      <c r="N854" s="111"/>
      <c r="O854" s="109">
        <v>15000000</v>
      </c>
      <c r="P854" s="110"/>
      <c r="Q854" s="109">
        <f t="shared" si="69"/>
        <v>4984395064</v>
      </c>
      <c r="R854" s="5"/>
      <c r="S854" s="5"/>
      <c r="T854" s="72"/>
      <c r="U854" s="5"/>
      <c r="V854" s="5"/>
      <c r="W854" s="28">
        <v>4969395064</v>
      </c>
      <c r="X854" s="28">
        <f t="shared" si="70"/>
        <v>0</v>
      </c>
      <c r="Y854" s="36">
        <f t="shared" si="71"/>
        <v>15000000</v>
      </c>
      <c r="Z854" s="28">
        <f t="shared" si="72"/>
        <v>0</v>
      </c>
      <c r="AA854" s="16">
        <v>4969395064</v>
      </c>
      <c r="AB854" s="40"/>
      <c r="AC854" s="121">
        <f t="shared" si="73"/>
        <v>2</v>
      </c>
      <c r="AD854" s="121"/>
    </row>
    <row r="855" spans="1:30" ht="46.8" x14ac:dyDescent="0.3">
      <c r="A855" s="7" t="s">
        <v>2290</v>
      </c>
      <c r="B855" s="6">
        <v>842</v>
      </c>
      <c r="C855" s="7" t="s">
        <v>3506</v>
      </c>
      <c r="D855" s="7" t="s">
        <v>3633</v>
      </c>
      <c r="E855" s="5"/>
      <c r="F855" s="4"/>
      <c r="G855" s="7" t="s">
        <v>3634</v>
      </c>
      <c r="H855" s="5"/>
      <c r="I855" s="5"/>
      <c r="J855" s="21" t="s">
        <v>3635</v>
      </c>
      <c r="K855" s="7" t="s">
        <v>24</v>
      </c>
      <c r="L855" s="7" t="s">
        <v>3636</v>
      </c>
      <c r="M855" s="114">
        <v>899231594</v>
      </c>
      <c r="N855" s="111"/>
      <c r="O855" s="114">
        <v>15000000</v>
      </c>
      <c r="P855" s="110"/>
      <c r="Q855" s="109">
        <f t="shared" si="69"/>
        <v>914231594</v>
      </c>
      <c r="R855" s="14">
        <v>899231594</v>
      </c>
      <c r="S855" s="5"/>
      <c r="T855" s="33">
        <v>15000000</v>
      </c>
      <c r="U855" s="5"/>
      <c r="V855" s="5"/>
      <c r="W855" s="28"/>
      <c r="X855" s="28">
        <f t="shared" si="70"/>
        <v>0</v>
      </c>
      <c r="Y855" s="28">
        <f t="shared" si="71"/>
        <v>0</v>
      </c>
      <c r="Z855" s="28">
        <f t="shared" si="72"/>
        <v>0</v>
      </c>
      <c r="AA855" s="4"/>
      <c r="AB855" s="4"/>
      <c r="AC855">
        <f t="shared" si="73"/>
        <v>2</v>
      </c>
    </row>
    <row r="856" spans="1:30" ht="63" x14ac:dyDescent="0.3">
      <c r="A856" s="7" t="s">
        <v>2290</v>
      </c>
      <c r="B856" s="6">
        <v>843</v>
      </c>
      <c r="C856" s="7" t="s">
        <v>3506</v>
      </c>
      <c r="D856" s="7" t="s">
        <v>3637</v>
      </c>
      <c r="E856" s="5"/>
      <c r="F856" s="4" t="s">
        <v>3890</v>
      </c>
      <c r="G856" s="7" t="s">
        <v>3638</v>
      </c>
      <c r="H856" s="5"/>
      <c r="I856" s="5"/>
      <c r="J856" s="21" t="s">
        <v>3639</v>
      </c>
      <c r="K856" s="7" t="s">
        <v>24</v>
      </c>
      <c r="L856" s="7" t="s">
        <v>3640</v>
      </c>
      <c r="M856" s="114">
        <v>2090430751</v>
      </c>
      <c r="N856" s="111"/>
      <c r="O856" s="114">
        <v>15000000</v>
      </c>
      <c r="P856" s="110">
        <v>132000000</v>
      </c>
      <c r="Q856" s="109">
        <f t="shared" si="69"/>
        <v>2237430751</v>
      </c>
      <c r="R856" s="14">
        <v>2090430751</v>
      </c>
      <c r="S856" s="5"/>
      <c r="T856" s="30">
        <v>15000000</v>
      </c>
      <c r="U856" s="5"/>
      <c r="V856" s="5"/>
      <c r="W856" s="28"/>
      <c r="X856" s="28">
        <f t="shared" si="70"/>
        <v>0</v>
      </c>
      <c r="Y856" s="28">
        <f t="shared" si="71"/>
        <v>0</v>
      </c>
      <c r="Z856" s="28">
        <f t="shared" si="72"/>
        <v>132000000</v>
      </c>
      <c r="AA856" s="4"/>
      <c r="AB856" s="4"/>
      <c r="AC856">
        <f t="shared" si="73"/>
        <v>2</v>
      </c>
    </row>
    <row r="857" spans="1:30" ht="93.6" x14ac:dyDescent="0.4">
      <c r="A857" s="7" t="s">
        <v>2290</v>
      </c>
      <c r="B857" s="6">
        <v>844</v>
      </c>
      <c r="C857" s="7" t="s">
        <v>3506</v>
      </c>
      <c r="D857" s="7" t="s">
        <v>3641</v>
      </c>
      <c r="E857" s="7"/>
      <c r="F857" s="4"/>
      <c r="G857" s="7" t="s">
        <v>3642</v>
      </c>
      <c r="H857" s="7"/>
      <c r="I857" s="7" t="s">
        <v>40</v>
      </c>
      <c r="J857" s="7" t="s">
        <v>3643</v>
      </c>
      <c r="K857" s="7" t="s">
        <v>24</v>
      </c>
      <c r="L857" s="7" t="s">
        <v>3396</v>
      </c>
      <c r="M857" s="114">
        <v>10000000</v>
      </c>
      <c r="N857" s="111"/>
      <c r="O857" s="109">
        <v>15000000</v>
      </c>
      <c r="P857" s="110"/>
      <c r="Q857" s="109">
        <f t="shared" si="69"/>
        <v>25000000</v>
      </c>
      <c r="R857" s="5"/>
      <c r="S857" s="5"/>
      <c r="T857" s="72"/>
      <c r="U857" s="5"/>
      <c r="V857" s="5"/>
      <c r="W857" s="28">
        <v>10000000</v>
      </c>
      <c r="X857" s="28">
        <f t="shared" si="70"/>
        <v>0</v>
      </c>
      <c r="Y857" s="36">
        <f t="shared" si="71"/>
        <v>15000000</v>
      </c>
      <c r="Z857" s="28">
        <f t="shared" si="72"/>
        <v>0</v>
      </c>
      <c r="AA857" s="16">
        <v>10000000</v>
      </c>
      <c r="AB857" s="40"/>
      <c r="AC857" s="121">
        <f t="shared" si="73"/>
        <v>2</v>
      </c>
      <c r="AD857" s="121"/>
    </row>
    <row r="858" spans="1:30" ht="46.8" x14ac:dyDescent="0.3">
      <c r="A858" s="7" t="s">
        <v>2290</v>
      </c>
      <c r="B858" s="6">
        <v>845</v>
      </c>
      <c r="C858" s="7" t="s">
        <v>3506</v>
      </c>
      <c r="D858" s="7" t="s">
        <v>3644</v>
      </c>
      <c r="E858" s="7" t="s">
        <v>3645</v>
      </c>
      <c r="F858" s="4"/>
      <c r="G858" s="7" t="s">
        <v>3646</v>
      </c>
      <c r="H858" s="7" t="s">
        <v>3647</v>
      </c>
      <c r="I858" s="5"/>
      <c r="J858" s="21" t="s">
        <v>3648</v>
      </c>
      <c r="K858" s="7" t="s">
        <v>24</v>
      </c>
      <c r="L858" s="7" t="s">
        <v>3649</v>
      </c>
      <c r="M858" s="114">
        <v>1282649070</v>
      </c>
      <c r="N858" s="114">
        <v>622528830</v>
      </c>
      <c r="O858" s="114">
        <v>15000000</v>
      </c>
      <c r="P858" s="110"/>
      <c r="Q858" s="109">
        <f t="shared" si="69"/>
        <v>1920177900</v>
      </c>
      <c r="R858" s="14">
        <v>1282649070</v>
      </c>
      <c r="S858" s="14">
        <v>622528830</v>
      </c>
      <c r="T858" s="30">
        <v>15000000</v>
      </c>
      <c r="U858" s="5"/>
      <c r="V858" s="5"/>
      <c r="W858" s="28"/>
      <c r="X858" s="28">
        <f t="shared" si="70"/>
        <v>0</v>
      </c>
      <c r="Y858" s="28">
        <f t="shared" si="71"/>
        <v>0</v>
      </c>
      <c r="Z858" s="28">
        <f t="shared" si="72"/>
        <v>0</v>
      </c>
      <c r="AA858" s="4"/>
      <c r="AB858" s="4"/>
      <c r="AC858">
        <f t="shared" si="73"/>
        <v>2</v>
      </c>
    </row>
    <row r="859" spans="1:30" ht="42" x14ac:dyDescent="0.3">
      <c r="A859" s="7" t="s">
        <v>2290</v>
      </c>
      <c r="B859" s="6">
        <v>846</v>
      </c>
      <c r="C859" s="7" t="s">
        <v>3506</v>
      </c>
      <c r="D859" s="7" t="s">
        <v>3650</v>
      </c>
      <c r="E859" s="7" t="s">
        <v>764</v>
      </c>
      <c r="F859" s="40" t="s">
        <v>1269</v>
      </c>
      <c r="G859" s="7" t="s">
        <v>3651</v>
      </c>
      <c r="H859" s="7" t="s">
        <v>3652</v>
      </c>
      <c r="I859" s="5"/>
      <c r="J859" s="21" t="s">
        <v>3653</v>
      </c>
      <c r="K859" s="7" t="s">
        <v>24</v>
      </c>
      <c r="L859" s="7" t="s">
        <v>3654</v>
      </c>
      <c r="M859" s="114">
        <v>4605269577</v>
      </c>
      <c r="N859" s="114">
        <v>842764824</v>
      </c>
      <c r="O859" s="114">
        <v>15000000</v>
      </c>
      <c r="P859" s="112">
        <v>10000000</v>
      </c>
      <c r="Q859" s="109">
        <f t="shared" si="69"/>
        <v>5473034401</v>
      </c>
      <c r="R859" s="14">
        <v>4605269577</v>
      </c>
      <c r="S859" s="14">
        <v>842764824</v>
      </c>
      <c r="T859" s="31">
        <v>15000000</v>
      </c>
      <c r="U859" s="5"/>
      <c r="V859" s="5"/>
      <c r="W859" s="28"/>
      <c r="X859" s="28">
        <f t="shared" si="70"/>
        <v>0</v>
      </c>
      <c r="Y859" s="28">
        <f t="shared" si="71"/>
        <v>0</v>
      </c>
      <c r="Z859" s="28">
        <f t="shared" si="72"/>
        <v>10000000</v>
      </c>
      <c r="AA859" s="4"/>
      <c r="AB859" s="4"/>
      <c r="AC859">
        <f t="shared" si="73"/>
        <v>2</v>
      </c>
    </row>
    <row r="860" spans="1:30" ht="31.2" x14ac:dyDescent="0.3">
      <c r="A860" s="7" t="s">
        <v>1601</v>
      </c>
      <c r="B860" s="6">
        <v>847</v>
      </c>
      <c r="C860" s="7" t="s">
        <v>3506</v>
      </c>
      <c r="D860" s="7" t="s">
        <v>3513</v>
      </c>
      <c r="E860" s="7" t="s">
        <v>2442</v>
      </c>
      <c r="F860" s="40" t="s">
        <v>1208</v>
      </c>
      <c r="G860" s="7" t="s">
        <v>3655</v>
      </c>
      <c r="H860" s="7"/>
      <c r="I860" s="7"/>
      <c r="J860" s="7" t="s">
        <v>3656</v>
      </c>
      <c r="K860" s="7" t="s">
        <v>24</v>
      </c>
      <c r="L860" s="7" t="s">
        <v>3657</v>
      </c>
      <c r="M860" s="114">
        <v>2033222254</v>
      </c>
      <c r="N860" s="114">
        <v>396693696</v>
      </c>
      <c r="O860" s="109">
        <v>15000000</v>
      </c>
      <c r="P860" s="112">
        <v>42000000</v>
      </c>
      <c r="Q860" s="109">
        <f t="shared" si="69"/>
        <v>2486915950</v>
      </c>
      <c r="R860" s="14">
        <v>2033222254</v>
      </c>
      <c r="S860" s="14">
        <v>396693696</v>
      </c>
      <c r="T860" s="72"/>
      <c r="U860" s="14">
        <v>42000000</v>
      </c>
      <c r="V860" s="5"/>
      <c r="W860" s="28"/>
      <c r="X860" s="28">
        <f t="shared" si="70"/>
        <v>0</v>
      </c>
      <c r="Y860" s="36">
        <f t="shared" si="71"/>
        <v>15000000</v>
      </c>
      <c r="Z860" s="28">
        <f t="shared" si="72"/>
        <v>0</v>
      </c>
      <c r="AA860" s="4"/>
      <c r="AB860" s="40"/>
      <c r="AC860" s="121">
        <f t="shared" si="73"/>
        <v>2</v>
      </c>
      <c r="AD860" s="121"/>
    </row>
    <row r="861" spans="1:30" ht="63" x14ac:dyDescent="0.3">
      <c r="A861" s="7" t="s">
        <v>46</v>
      </c>
      <c r="B861" s="6">
        <v>848</v>
      </c>
      <c r="C861" s="7" t="s">
        <v>3506</v>
      </c>
      <c r="D861" s="7" t="s">
        <v>3658</v>
      </c>
      <c r="E861" s="7" t="s">
        <v>3645</v>
      </c>
      <c r="F861" s="40" t="s">
        <v>3448</v>
      </c>
      <c r="G861" s="7" t="s">
        <v>3659</v>
      </c>
      <c r="H861" s="7" t="s">
        <v>3660</v>
      </c>
      <c r="I861" s="5"/>
      <c r="J861" s="21" t="s">
        <v>3661</v>
      </c>
      <c r="K861" s="7" t="s">
        <v>24</v>
      </c>
      <c r="L861" s="7" t="s">
        <v>3452</v>
      </c>
      <c r="M861" s="114">
        <v>2057610960</v>
      </c>
      <c r="N861" s="114">
        <v>313086065</v>
      </c>
      <c r="O861" s="114">
        <v>15000000</v>
      </c>
      <c r="P861" s="112">
        <v>8000000</v>
      </c>
      <c r="Q861" s="109">
        <f t="shared" si="69"/>
        <v>2393697025</v>
      </c>
      <c r="R861" s="14">
        <v>2057610960</v>
      </c>
      <c r="S861" s="14">
        <v>313086065</v>
      </c>
      <c r="T861" s="30">
        <v>15000000</v>
      </c>
      <c r="U861" s="14">
        <v>8000000</v>
      </c>
      <c r="V861" s="5"/>
      <c r="W861" s="28"/>
      <c r="X861" s="28">
        <f t="shared" si="70"/>
        <v>0</v>
      </c>
      <c r="Y861" s="28">
        <f t="shared" si="71"/>
        <v>0</v>
      </c>
      <c r="Z861" s="28">
        <f t="shared" si="72"/>
        <v>0</v>
      </c>
      <c r="AA861" s="4"/>
      <c r="AB861" s="4"/>
      <c r="AC861">
        <f t="shared" si="73"/>
        <v>2</v>
      </c>
    </row>
    <row r="862" spans="1:30" ht="78" customHeight="1" x14ac:dyDescent="0.3">
      <c r="A862" s="7" t="s">
        <v>46</v>
      </c>
      <c r="B862" s="6">
        <v>849</v>
      </c>
      <c r="C862" s="7" t="s">
        <v>3506</v>
      </c>
      <c r="D862" s="7" t="s">
        <v>3662</v>
      </c>
      <c r="E862" s="7" t="s">
        <v>3508</v>
      </c>
      <c r="F862" s="40" t="s">
        <v>3894</v>
      </c>
      <c r="G862" s="7" t="s">
        <v>3663</v>
      </c>
      <c r="H862" s="7" t="s">
        <v>3664</v>
      </c>
      <c r="I862" s="5"/>
      <c r="J862" s="21" t="s">
        <v>3665</v>
      </c>
      <c r="K862" s="7" t="s">
        <v>24</v>
      </c>
      <c r="L862" s="7" t="s">
        <v>3666</v>
      </c>
      <c r="M862" s="114">
        <v>881213560</v>
      </c>
      <c r="N862" s="114">
        <v>58467420</v>
      </c>
      <c r="O862" s="114">
        <v>15000000</v>
      </c>
      <c r="P862" s="112">
        <v>144000000</v>
      </c>
      <c r="Q862" s="109">
        <f t="shared" si="69"/>
        <v>1098680980</v>
      </c>
      <c r="R862" s="14">
        <v>881213560</v>
      </c>
      <c r="S862" s="14">
        <v>58467420</v>
      </c>
      <c r="T862" s="30">
        <v>15000000</v>
      </c>
      <c r="U862" s="14">
        <v>72000000</v>
      </c>
      <c r="V862" s="5"/>
      <c r="W862" s="28"/>
      <c r="X862" s="28">
        <f t="shared" si="70"/>
        <v>0</v>
      </c>
      <c r="Y862" s="28">
        <f t="shared" si="71"/>
        <v>0</v>
      </c>
      <c r="Z862" s="28">
        <f t="shared" si="72"/>
        <v>72000000</v>
      </c>
      <c r="AA862" s="4"/>
      <c r="AB862" s="4"/>
      <c r="AC862">
        <f t="shared" si="73"/>
        <v>2</v>
      </c>
    </row>
    <row r="863" spans="1:30" ht="46.8" x14ac:dyDescent="0.3">
      <c r="A863" s="7" t="s">
        <v>46</v>
      </c>
      <c r="B863" s="6">
        <v>850</v>
      </c>
      <c r="C863" s="7" t="s">
        <v>3506</v>
      </c>
      <c r="D863" s="7" t="s">
        <v>3667</v>
      </c>
      <c r="E863" s="7" t="s">
        <v>3668</v>
      </c>
      <c r="F863" s="40" t="s">
        <v>1162</v>
      </c>
      <c r="G863" s="7" t="s">
        <v>3669</v>
      </c>
      <c r="H863" s="7" t="s">
        <v>3670</v>
      </c>
      <c r="I863" s="5"/>
      <c r="J863" s="21" t="s">
        <v>3671</v>
      </c>
      <c r="K863" s="7" t="s">
        <v>24</v>
      </c>
      <c r="L863" s="7" t="s">
        <v>3672</v>
      </c>
      <c r="M863" s="114">
        <v>412442880</v>
      </c>
      <c r="N863" s="114">
        <v>623213760</v>
      </c>
      <c r="O863" s="114">
        <v>15000000</v>
      </c>
      <c r="P863" s="112">
        <v>48000000</v>
      </c>
      <c r="Q863" s="109">
        <f t="shared" si="69"/>
        <v>1098656640</v>
      </c>
      <c r="R863" s="14">
        <v>412442880</v>
      </c>
      <c r="S863" s="14">
        <v>623213760</v>
      </c>
      <c r="T863" s="30">
        <v>15000000</v>
      </c>
      <c r="U863" s="28">
        <v>48000000</v>
      </c>
      <c r="V863" s="5"/>
      <c r="W863" s="28"/>
      <c r="X863" s="28">
        <f t="shared" si="70"/>
        <v>0</v>
      </c>
      <c r="Y863" s="28">
        <f t="shared" si="71"/>
        <v>0</v>
      </c>
      <c r="Z863" s="28">
        <f t="shared" si="72"/>
        <v>0</v>
      </c>
      <c r="AA863" s="4"/>
      <c r="AB863" s="4"/>
      <c r="AC863">
        <f t="shared" si="73"/>
        <v>2</v>
      </c>
    </row>
    <row r="864" spans="1:30" ht="46.8" x14ac:dyDescent="0.4">
      <c r="A864" s="7" t="s">
        <v>1601</v>
      </c>
      <c r="B864" s="6">
        <v>851</v>
      </c>
      <c r="C864" s="7" t="s">
        <v>3506</v>
      </c>
      <c r="D864" s="7" t="s">
        <v>3673</v>
      </c>
      <c r="E864" s="7"/>
      <c r="F864" s="4"/>
      <c r="G864" s="7" t="s">
        <v>3674</v>
      </c>
      <c r="H864" s="7"/>
      <c r="I864" s="7"/>
      <c r="J864" s="7" t="s">
        <v>3675</v>
      </c>
      <c r="K864" s="7" t="s">
        <v>24</v>
      </c>
      <c r="L864" s="7" t="s">
        <v>3676</v>
      </c>
      <c r="M864" s="114">
        <v>10000000</v>
      </c>
      <c r="N864" s="111"/>
      <c r="O864" s="109">
        <v>15000000</v>
      </c>
      <c r="P864" s="110"/>
      <c r="Q864" s="109">
        <f t="shared" si="69"/>
        <v>25000000</v>
      </c>
      <c r="R864" s="5"/>
      <c r="S864" s="5"/>
      <c r="T864" s="72"/>
      <c r="U864" s="5"/>
      <c r="V864" s="5"/>
      <c r="W864" s="28">
        <v>10000000</v>
      </c>
      <c r="X864" s="28">
        <f t="shared" si="70"/>
        <v>0</v>
      </c>
      <c r="Y864" s="36">
        <f t="shared" si="71"/>
        <v>15000000</v>
      </c>
      <c r="Z864" s="28">
        <f t="shared" si="72"/>
        <v>0</v>
      </c>
      <c r="AA864" s="16">
        <v>10000000</v>
      </c>
      <c r="AB864" s="40"/>
      <c r="AC864" s="121">
        <f t="shared" si="73"/>
        <v>2</v>
      </c>
      <c r="AD864" s="121"/>
    </row>
    <row r="865" spans="1:30" ht="62.4" x14ac:dyDescent="0.4">
      <c r="A865" s="7" t="s">
        <v>46</v>
      </c>
      <c r="B865" s="6">
        <v>852</v>
      </c>
      <c r="C865" s="7" t="s">
        <v>3506</v>
      </c>
      <c r="D865" s="7" t="s">
        <v>3677</v>
      </c>
      <c r="E865" s="7" t="s">
        <v>2869</v>
      </c>
      <c r="F865" s="4"/>
      <c r="G865" s="7"/>
      <c r="H865" s="7"/>
      <c r="I865" s="7" t="s">
        <v>3678</v>
      </c>
      <c r="J865" s="7" t="s">
        <v>3679</v>
      </c>
      <c r="K865" s="7" t="s">
        <v>24</v>
      </c>
      <c r="L865" s="7" t="s">
        <v>3396</v>
      </c>
      <c r="M865" s="114">
        <v>10000000</v>
      </c>
      <c r="N865" s="111"/>
      <c r="O865" s="109">
        <v>15000000</v>
      </c>
      <c r="P865" s="110"/>
      <c r="Q865" s="109">
        <f t="shared" si="69"/>
        <v>25000000</v>
      </c>
      <c r="R865" s="5"/>
      <c r="S865" s="5"/>
      <c r="T865" s="72"/>
      <c r="U865" s="5"/>
      <c r="V865" s="5"/>
      <c r="W865" s="28">
        <v>10000000</v>
      </c>
      <c r="X865" s="28">
        <f t="shared" si="70"/>
        <v>0</v>
      </c>
      <c r="Y865" s="36">
        <f t="shared" si="71"/>
        <v>15000000</v>
      </c>
      <c r="Z865" s="28">
        <f t="shared" si="72"/>
        <v>0</v>
      </c>
      <c r="AA865" s="16">
        <v>10000000</v>
      </c>
      <c r="AB865" s="40"/>
      <c r="AC865" s="121">
        <f t="shared" si="73"/>
        <v>1</v>
      </c>
      <c r="AD865" s="121"/>
    </row>
    <row r="866" spans="1:30" ht="62.4" customHeight="1" x14ac:dyDescent="0.3">
      <c r="A866" s="7" t="s">
        <v>18</v>
      </c>
      <c r="B866" s="6">
        <v>853</v>
      </c>
      <c r="C866" s="7" t="s">
        <v>3506</v>
      </c>
      <c r="D866" s="7" t="s">
        <v>3680</v>
      </c>
      <c r="E866" s="7" t="s">
        <v>3681</v>
      </c>
      <c r="F866" s="40" t="s">
        <v>3195</v>
      </c>
      <c r="G866" s="7" t="s">
        <v>3682</v>
      </c>
      <c r="H866" s="7" t="s">
        <v>3683</v>
      </c>
      <c r="I866" s="5"/>
      <c r="J866" s="21" t="s">
        <v>3684</v>
      </c>
      <c r="K866" s="7" t="s">
        <v>24</v>
      </c>
      <c r="L866" s="7" t="s">
        <v>3685</v>
      </c>
      <c r="M866" s="114">
        <v>862843600</v>
      </c>
      <c r="N866" s="114">
        <v>224872200</v>
      </c>
      <c r="O866" s="114">
        <v>15000000</v>
      </c>
      <c r="P866" s="112">
        <v>72000000</v>
      </c>
      <c r="Q866" s="109">
        <f t="shared" si="69"/>
        <v>1174715800</v>
      </c>
      <c r="R866" s="18">
        <v>862843600</v>
      </c>
      <c r="S866" s="14">
        <v>224872200</v>
      </c>
      <c r="T866" s="30">
        <v>15000000</v>
      </c>
      <c r="U866" s="14">
        <v>72000000</v>
      </c>
      <c r="V866" s="5"/>
      <c r="W866" s="28"/>
      <c r="X866" s="28">
        <f t="shared" si="70"/>
        <v>0</v>
      </c>
      <c r="Y866" s="28">
        <f t="shared" si="71"/>
        <v>0</v>
      </c>
      <c r="Z866" s="28">
        <f t="shared" si="72"/>
        <v>0</v>
      </c>
      <c r="AA866" s="4"/>
      <c r="AB866" s="4"/>
      <c r="AC866">
        <f t="shared" si="73"/>
        <v>2</v>
      </c>
    </row>
    <row r="867" spans="1:30" ht="62.4" customHeight="1" x14ac:dyDescent="0.3">
      <c r="A867" s="7" t="s">
        <v>46</v>
      </c>
      <c r="B867" s="6">
        <v>854</v>
      </c>
      <c r="C867" s="7" t="s">
        <v>3506</v>
      </c>
      <c r="D867" s="7" t="s">
        <v>3686</v>
      </c>
      <c r="E867" s="5"/>
      <c r="F867" s="40" t="s">
        <v>3687</v>
      </c>
      <c r="G867" s="7" t="s">
        <v>3688</v>
      </c>
      <c r="H867" s="5"/>
      <c r="I867" s="5"/>
      <c r="J867" s="21" t="s">
        <v>3689</v>
      </c>
      <c r="K867" s="7" t="s">
        <v>24</v>
      </c>
      <c r="L867" s="7" t="s">
        <v>1908</v>
      </c>
      <c r="M867" s="114">
        <v>2066275000</v>
      </c>
      <c r="N867" s="111"/>
      <c r="O867" s="114">
        <v>15000000</v>
      </c>
      <c r="P867" s="112">
        <v>48000000</v>
      </c>
      <c r="Q867" s="109">
        <f t="shared" si="69"/>
        <v>2129275000</v>
      </c>
      <c r="R867" s="14">
        <v>2066275000</v>
      </c>
      <c r="S867" s="5"/>
      <c r="T867" s="33">
        <v>15000000</v>
      </c>
      <c r="U867" s="14">
        <v>48000000</v>
      </c>
      <c r="V867" s="5"/>
      <c r="W867" s="28"/>
      <c r="X867" s="28">
        <f t="shared" si="70"/>
        <v>0</v>
      </c>
      <c r="Y867" s="28">
        <f t="shared" si="71"/>
        <v>0</v>
      </c>
      <c r="Z867" s="28">
        <f t="shared" si="72"/>
        <v>0</v>
      </c>
      <c r="AA867" s="4"/>
      <c r="AB867" s="4"/>
      <c r="AC867">
        <f t="shared" si="73"/>
        <v>2</v>
      </c>
    </row>
    <row r="868" spans="1:30" ht="46.8" x14ac:dyDescent="0.3">
      <c r="A868" s="7" t="s">
        <v>46</v>
      </c>
      <c r="B868" s="6">
        <v>855</v>
      </c>
      <c r="C868" s="7" t="s">
        <v>3506</v>
      </c>
      <c r="D868" s="7" t="s">
        <v>3690</v>
      </c>
      <c r="E868" s="5"/>
      <c r="F868" s="4"/>
      <c r="G868" s="7" t="s">
        <v>3691</v>
      </c>
      <c r="H868" s="5"/>
      <c r="I868" s="5"/>
      <c r="J868" s="21" t="s">
        <v>3692</v>
      </c>
      <c r="K868" s="7" t="s">
        <v>24</v>
      </c>
      <c r="L868" s="7" t="s">
        <v>3693</v>
      </c>
      <c r="M868" s="114">
        <v>7009180374</v>
      </c>
      <c r="N868" s="111"/>
      <c r="O868" s="114">
        <v>7500000</v>
      </c>
      <c r="P868" s="110"/>
      <c r="Q868" s="109">
        <f t="shared" si="69"/>
        <v>7016680374</v>
      </c>
      <c r="R868" s="14">
        <v>7009180374</v>
      </c>
      <c r="S868" s="5"/>
      <c r="T868" s="30">
        <v>7500000</v>
      </c>
      <c r="U868" s="5"/>
      <c r="V868" s="5"/>
      <c r="W868" s="28"/>
      <c r="X868" s="28">
        <f t="shared" si="70"/>
        <v>0</v>
      </c>
      <c r="Y868" s="28">
        <f t="shared" si="71"/>
        <v>0</v>
      </c>
      <c r="Z868" s="28">
        <f t="shared" si="72"/>
        <v>0</v>
      </c>
      <c r="AA868" s="4"/>
      <c r="AB868" s="4"/>
      <c r="AC868">
        <f t="shared" si="73"/>
        <v>2</v>
      </c>
    </row>
    <row r="869" spans="1:30" ht="42" x14ac:dyDescent="0.3">
      <c r="A869" s="7" t="s">
        <v>46</v>
      </c>
      <c r="B869" s="6">
        <v>856</v>
      </c>
      <c r="C869" s="7" t="s">
        <v>3506</v>
      </c>
      <c r="D869" s="7" t="s">
        <v>3694</v>
      </c>
      <c r="E869" s="5"/>
      <c r="F869" s="4"/>
      <c r="G869" s="7" t="s">
        <v>3695</v>
      </c>
      <c r="H869" s="5"/>
      <c r="I869" s="5"/>
      <c r="J869" s="21" t="s">
        <v>3696</v>
      </c>
      <c r="K869" s="7" t="s">
        <v>24</v>
      </c>
      <c r="L869" s="7" t="s">
        <v>3697</v>
      </c>
      <c r="M869" s="114">
        <v>59125532717</v>
      </c>
      <c r="N869" s="111"/>
      <c r="O869" s="114">
        <v>7500000</v>
      </c>
      <c r="P869" s="112">
        <v>0</v>
      </c>
      <c r="Q869" s="109">
        <f t="shared" si="69"/>
        <v>59133032717</v>
      </c>
      <c r="R869" s="14">
        <v>59125532717</v>
      </c>
      <c r="S869" s="5"/>
      <c r="T869" s="30">
        <v>7500000</v>
      </c>
      <c r="U869" s="5"/>
      <c r="V869" s="5"/>
      <c r="W869" s="28"/>
      <c r="X869" s="28">
        <f t="shared" si="70"/>
        <v>0</v>
      </c>
      <c r="Y869" s="28">
        <f t="shared" si="71"/>
        <v>0</v>
      </c>
      <c r="Z869" s="28">
        <f t="shared" si="72"/>
        <v>0</v>
      </c>
      <c r="AA869" s="4"/>
      <c r="AB869" s="4"/>
      <c r="AC869">
        <f t="shared" si="73"/>
        <v>2</v>
      </c>
    </row>
    <row r="870" spans="1:30" ht="62.4" customHeight="1" x14ac:dyDescent="0.3">
      <c r="A870" s="7" t="s">
        <v>46</v>
      </c>
      <c r="B870" s="6">
        <v>857</v>
      </c>
      <c r="C870" s="7" t="s">
        <v>3506</v>
      </c>
      <c r="D870" s="7" t="s">
        <v>3698</v>
      </c>
      <c r="E870" s="7" t="s">
        <v>3508</v>
      </c>
      <c r="F870" s="40" t="s">
        <v>3699</v>
      </c>
      <c r="G870" s="7" t="s">
        <v>3700</v>
      </c>
      <c r="H870" s="5"/>
      <c r="I870" s="5"/>
      <c r="J870" s="21" t="s">
        <v>3701</v>
      </c>
      <c r="K870" s="7" t="s">
        <v>24</v>
      </c>
      <c r="L870" s="7" t="s">
        <v>3702</v>
      </c>
      <c r="M870" s="114">
        <v>3420319048</v>
      </c>
      <c r="N870" s="112">
        <v>642406970</v>
      </c>
      <c r="O870" s="114">
        <v>15000000</v>
      </c>
      <c r="P870" s="112">
        <v>216000000</v>
      </c>
      <c r="Q870" s="109">
        <f t="shared" si="69"/>
        <v>4293726018</v>
      </c>
      <c r="R870" s="14">
        <v>3420319048</v>
      </c>
      <c r="S870" s="14">
        <v>642406970</v>
      </c>
      <c r="T870" s="30">
        <v>15000000</v>
      </c>
      <c r="U870" s="14">
        <v>216000000</v>
      </c>
      <c r="V870" s="5"/>
      <c r="W870" s="28"/>
      <c r="X870" s="28">
        <f t="shared" si="70"/>
        <v>0</v>
      </c>
      <c r="Y870" s="28">
        <f t="shared" si="71"/>
        <v>0</v>
      </c>
      <c r="Z870" s="28">
        <f t="shared" si="72"/>
        <v>0</v>
      </c>
      <c r="AA870" s="4"/>
      <c r="AB870" s="4"/>
      <c r="AC870">
        <f t="shared" si="73"/>
        <v>2</v>
      </c>
    </row>
    <row r="871" spans="1:30" ht="73.8" customHeight="1" x14ac:dyDescent="0.3">
      <c r="A871" s="7" t="s">
        <v>46</v>
      </c>
      <c r="B871" s="6">
        <v>858</v>
      </c>
      <c r="C871" s="7" t="s">
        <v>3506</v>
      </c>
      <c r="D871" s="7" t="s">
        <v>3703</v>
      </c>
      <c r="E871" s="7" t="s">
        <v>3704</v>
      </c>
      <c r="F871" s="4"/>
      <c r="G871" s="7" t="s">
        <v>3705</v>
      </c>
      <c r="H871" s="5"/>
      <c r="I871" s="5"/>
      <c r="J871" s="21" t="s">
        <v>3706</v>
      </c>
      <c r="K871" s="7" t="s">
        <v>24</v>
      </c>
      <c r="L871" s="7" t="s">
        <v>3616</v>
      </c>
      <c r="M871" s="114">
        <v>10000000</v>
      </c>
      <c r="N871" s="114">
        <v>361037124</v>
      </c>
      <c r="O871" s="114">
        <v>15000000</v>
      </c>
      <c r="P871" s="110"/>
      <c r="Q871" s="109">
        <f t="shared" si="69"/>
        <v>386037124</v>
      </c>
      <c r="R871" s="14">
        <v>10000000</v>
      </c>
      <c r="S871" s="14">
        <v>361037124</v>
      </c>
      <c r="T871" s="30">
        <v>15000000</v>
      </c>
      <c r="U871" s="5"/>
      <c r="V871" s="5"/>
      <c r="W871" s="28"/>
      <c r="X871" s="28">
        <f t="shared" si="70"/>
        <v>0</v>
      </c>
      <c r="Y871" s="28">
        <f t="shared" si="71"/>
        <v>0</v>
      </c>
      <c r="Z871" s="28">
        <f t="shared" si="72"/>
        <v>0</v>
      </c>
      <c r="AA871" s="4"/>
      <c r="AB871" s="4"/>
      <c r="AC871">
        <f t="shared" si="73"/>
        <v>2</v>
      </c>
    </row>
    <row r="872" spans="1:30" ht="69" customHeight="1" x14ac:dyDescent="0.3">
      <c r="A872" s="7" t="s">
        <v>46</v>
      </c>
      <c r="B872" s="6">
        <v>859</v>
      </c>
      <c r="C872" s="7" t="s">
        <v>3506</v>
      </c>
      <c r="D872" s="7" t="s">
        <v>3707</v>
      </c>
      <c r="E872" s="7" t="s">
        <v>3508</v>
      </c>
      <c r="F872" s="40" t="s">
        <v>3896</v>
      </c>
      <c r="G872" s="7" t="s">
        <v>3708</v>
      </c>
      <c r="H872" s="7" t="s">
        <v>3709</v>
      </c>
      <c r="I872" s="5"/>
      <c r="J872" s="21" t="s">
        <v>3710</v>
      </c>
      <c r="K872" s="7" t="s">
        <v>24</v>
      </c>
      <c r="L872" s="7" t="s">
        <v>3711</v>
      </c>
      <c r="M872" s="114">
        <v>758458178</v>
      </c>
      <c r="N872" s="114">
        <v>44608716</v>
      </c>
      <c r="O872" s="114">
        <v>15000000</v>
      </c>
      <c r="P872" s="112">
        <v>264000000</v>
      </c>
      <c r="Q872" s="109">
        <f t="shared" si="69"/>
        <v>1082066894</v>
      </c>
      <c r="R872" s="14">
        <v>758458178</v>
      </c>
      <c r="S872" s="14">
        <v>44608716</v>
      </c>
      <c r="T872" s="30">
        <v>15000000</v>
      </c>
      <c r="U872" s="14">
        <v>264000000</v>
      </c>
      <c r="V872" s="5"/>
      <c r="W872" s="28"/>
      <c r="X872" s="28">
        <f t="shared" si="70"/>
        <v>0</v>
      </c>
      <c r="Y872" s="28">
        <f t="shared" si="71"/>
        <v>0</v>
      </c>
      <c r="Z872" s="28">
        <f t="shared" si="72"/>
        <v>0</v>
      </c>
      <c r="AA872" s="4"/>
      <c r="AB872" s="4"/>
      <c r="AC872">
        <f t="shared" si="73"/>
        <v>2</v>
      </c>
    </row>
    <row r="873" spans="1:30" ht="42" x14ac:dyDescent="0.3">
      <c r="A873" s="7" t="s">
        <v>46</v>
      </c>
      <c r="B873" s="6">
        <v>860</v>
      </c>
      <c r="C873" s="7" t="s">
        <v>3506</v>
      </c>
      <c r="D873" s="7" t="s">
        <v>3712</v>
      </c>
      <c r="E873" s="5"/>
      <c r="F873" s="4"/>
      <c r="G873" s="7" t="s">
        <v>3713</v>
      </c>
      <c r="H873" s="5"/>
      <c r="I873" s="5"/>
      <c r="J873" s="21" t="s">
        <v>3714</v>
      </c>
      <c r="K873" s="7" t="s">
        <v>24</v>
      </c>
      <c r="L873" s="7" t="s">
        <v>3285</v>
      </c>
      <c r="M873" s="114">
        <v>5951052520</v>
      </c>
      <c r="N873" s="111"/>
      <c r="O873" s="114">
        <v>7500000</v>
      </c>
      <c r="P873" s="110"/>
      <c r="Q873" s="109">
        <f t="shared" si="69"/>
        <v>5958552520</v>
      </c>
      <c r="R873" s="14">
        <v>5951052520</v>
      </c>
      <c r="S873" s="5"/>
      <c r="T873" s="30">
        <v>7500000</v>
      </c>
      <c r="U873" s="5"/>
      <c r="V873" s="5"/>
      <c r="W873" s="28"/>
      <c r="X873" s="28">
        <f t="shared" si="70"/>
        <v>0</v>
      </c>
      <c r="Y873" s="28">
        <f t="shared" si="71"/>
        <v>0</v>
      </c>
      <c r="Z873" s="28">
        <f t="shared" si="72"/>
        <v>0</v>
      </c>
      <c r="AA873" s="4"/>
      <c r="AB873" s="4"/>
      <c r="AC873">
        <f t="shared" si="73"/>
        <v>2</v>
      </c>
    </row>
    <row r="874" spans="1:30" ht="46.8" x14ac:dyDescent="0.3">
      <c r="A874" s="7" t="s">
        <v>46</v>
      </c>
      <c r="B874" s="6">
        <v>861</v>
      </c>
      <c r="C874" s="7" t="s">
        <v>3506</v>
      </c>
      <c r="D874" s="7" t="s">
        <v>3715</v>
      </c>
      <c r="E874" s="5"/>
      <c r="F874" s="4"/>
      <c r="G874" s="7" t="s">
        <v>3716</v>
      </c>
      <c r="H874" s="5"/>
      <c r="I874" s="5"/>
      <c r="J874" s="21" t="s">
        <v>3717</v>
      </c>
      <c r="K874" s="7" t="s">
        <v>24</v>
      </c>
      <c r="L874" s="7" t="s">
        <v>3718</v>
      </c>
      <c r="M874" s="114">
        <v>1656027040</v>
      </c>
      <c r="N874" s="111"/>
      <c r="O874" s="114">
        <v>15000000</v>
      </c>
      <c r="P874" s="110"/>
      <c r="Q874" s="109">
        <f t="shared" si="69"/>
        <v>1671027040</v>
      </c>
      <c r="R874" s="14">
        <v>1656027040</v>
      </c>
      <c r="S874" s="5"/>
      <c r="T874" s="31">
        <v>15000000</v>
      </c>
      <c r="U874" s="5"/>
      <c r="V874" s="5"/>
      <c r="W874" s="28"/>
      <c r="X874" s="28">
        <f t="shared" si="70"/>
        <v>0</v>
      </c>
      <c r="Y874" s="28">
        <f t="shared" si="71"/>
        <v>0</v>
      </c>
      <c r="Z874" s="28">
        <f t="shared" si="72"/>
        <v>0</v>
      </c>
      <c r="AA874" s="4"/>
      <c r="AB874" s="4"/>
      <c r="AC874">
        <f t="shared" si="73"/>
        <v>2</v>
      </c>
    </row>
    <row r="875" spans="1:30" ht="46.8" x14ac:dyDescent="0.3">
      <c r="A875" s="7" t="s">
        <v>46</v>
      </c>
      <c r="B875" s="6">
        <v>862</v>
      </c>
      <c r="C875" s="7" t="s">
        <v>3506</v>
      </c>
      <c r="D875" s="7" t="s">
        <v>3719</v>
      </c>
      <c r="E875" s="5"/>
      <c r="F875" s="40" t="s">
        <v>308</v>
      </c>
      <c r="G875" s="7" t="s">
        <v>3720</v>
      </c>
      <c r="H875" s="5"/>
      <c r="I875" s="5"/>
      <c r="J875" s="21" t="s">
        <v>3721</v>
      </c>
      <c r="K875" s="7" t="s">
        <v>24</v>
      </c>
      <c r="L875" s="7" t="s">
        <v>3535</v>
      </c>
      <c r="M875" s="114">
        <v>2882807920</v>
      </c>
      <c r="N875" s="111"/>
      <c r="O875" s="114">
        <v>15000000</v>
      </c>
      <c r="P875" s="112">
        <v>16000000</v>
      </c>
      <c r="Q875" s="109">
        <f t="shared" si="69"/>
        <v>2913807920</v>
      </c>
      <c r="R875" s="14">
        <v>2882807920</v>
      </c>
      <c r="S875" s="5"/>
      <c r="T875" s="30">
        <v>15000000</v>
      </c>
      <c r="U875" s="14">
        <v>16000000</v>
      </c>
      <c r="V875" s="5"/>
      <c r="W875" s="28"/>
      <c r="X875" s="28">
        <f t="shared" si="70"/>
        <v>0</v>
      </c>
      <c r="Y875" s="28">
        <f t="shared" si="71"/>
        <v>0</v>
      </c>
      <c r="Z875" s="28">
        <f t="shared" si="72"/>
        <v>0</v>
      </c>
      <c r="AA875" s="4"/>
      <c r="AB875" s="4"/>
      <c r="AC875">
        <f t="shared" si="73"/>
        <v>2</v>
      </c>
    </row>
    <row r="876" spans="1:30" ht="46.8" x14ac:dyDescent="0.4">
      <c r="A876" s="7" t="s">
        <v>46</v>
      </c>
      <c r="B876" s="6">
        <v>863</v>
      </c>
      <c r="C876" s="7" t="s">
        <v>3506</v>
      </c>
      <c r="D876" s="7" t="s">
        <v>3722</v>
      </c>
      <c r="E876" s="7"/>
      <c r="F876" s="4"/>
      <c r="G876" s="7" t="s">
        <v>3723</v>
      </c>
      <c r="H876" s="7"/>
      <c r="I876" s="7"/>
      <c r="J876" s="7" t="s">
        <v>2566</v>
      </c>
      <c r="K876" s="7" t="s">
        <v>24</v>
      </c>
      <c r="L876" s="7" t="s">
        <v>3724</v>
      </c>
      <c r="M876" s="114">
        <v>3398093390</v>
      </c>
      <c r="N876" s="111"/>
      <c r="O876" s="109">
        <v>7500000</v>
      </c>
      <c r="P876" s="110"/>
      <c r="Q876" s="109">
        <f t="shared" si="69"/>
        <v>3405593390</v>
      </c>
      <c r="R876" s="5"/>
      <c r="S876" s="5"/>
      <c r="T876" s="72"/>
      <c r="U876" s="5"/>
      <c r="V876" s="5"/>
      <c r="W876" s="28">
        <v>3398093390</v>
      </c>
      <c r="X876" s="28">
        <f t="shared" si="70"/>
        <v>0</v>
      </c>
      <c r="Y876" s="36">
        <f t="shared" si="71"/>
        <v>7500000</v>
      </c>
      <c r="Z876" s="28">
        <f t="shared" si="72"/>
        <v>0</v>
      </c>
      <c r="AA876" s="16">
        <v>3398093390</v>
      </c>
      <c r="AB876" s="40"/>
      <c r="AC876" s="121">
        <f t="shared" si="73"/>
        <v>2</v>
      </c>
      <c r="AD876" s="121"/>
    </row>
    <row r="877" spans="1:30" ht="63" x14ac:dyDescent="0.3">
      <c r="A877" s="7" t="s">
        <v>1601</v>
      </c>
      <c r="B877" s="6">
        <v>864</v>
      </c>
      <c r="C877" s="7" t="s">
        <v>3725</v>
      </c>
      <c r="D877" s="7" t="s">
        <v>3726</v>
      </c>
      <c r="E877" s="7" t="s">
        <v>3728</v>
      </c>
      <c r="F877" s="40" t="s">
        <v>3727</v>
      </c>
      <c r="G877" s="7" t="s">
        <v>3729</v>
      </c>
      <c r="H877" s="7" t="s">
        <v>3730</v>
      </c>
      <c r="I877" s="5"/>
      <c r="J877" s="21" t="s">
        <v>3731</v>
      </c>
      <c r="K877" s="7" t="s">
        <v>24</v>
      </c>
      <c r="L877" s="7" t="s">
        <v>1666</v>
      </c>
      <c r="M877" s="114">
        <v>163511848</v>
      </c>
      <c r="N877" s="114">
        <v>1198719060</v>
      </c>
      <c r="O877" s="114">
        <v>15000000</v>
      </c>
      <c r="P877" s="112">
        <v>24000000</v>
      </c>
      <c r="Q877" s="109">
        <f t="shared" si="69"/>
        <v>1401230908</v>
      </c>
      <c r="R877" s="14">
        <v>163511848</v>
      </c>
      <c r="S877" s="14">
        <v>1198719060</v>
      </c>
      <c r="T877" s="30">
        <v>15000000</v>
      </c>
      <c r="U877" s="14">
        <v>24000000</v>
      </c>
      <c r="V877" s="5"/>
      <c r="W877" s="28"/>
      <c r="X877" s="28">
        <f t="shared" si="70"/>
        <v>0</v>
      </c>
      <c r="Y877" s="28">
        <f t="shared" si="71"/>
        <v>0</v>
      </c>
      <c r="Z877" s="28">
        <f t="shared" si="72"/>
        <v>0</v>
      </c>
      <c r="AA877" s="4"/>
      <c r="AB877" s="4"/>
      <c r="AC877">
        <f t="shared" si="73"/>
        <v>2</v>
      </c>
    </row>
    <row r="878" spans="1:30" ht="42" x14ac:dyDescent="0.3">
      <c r="A878" s="7" t="s">
        <v>18</v>
      </c>
      <c r="B878" s="6">
        <v>865</v>
      </c>
      <c r="C878" s="7" t="s">
        <v>3725</v>
      </c>
      <c r="D878" s="7" t="s">
        <v>3732</v>
      </c>
      <c r="E878" s="7" t="s">
        <v>3734</v>
      </c>
      <c r="F878" s="40" t="s">
        <v>3733</v>
      </c>
      <c r="G878" s="7" t="s">
        <v>3735</v>
      </c>
      <c r="H878" s="7" t="s">
        <v>3736</v>
      </c>
      <c r="I878" s="5"/>
      <c r="J878" s="21" t="s">
        <v>3737</v>
      </c>
      <c r="K878" s="7" t="s">
        <v>24</v>
      </c>
      <c r="L878" s="7" t="s">
        <v>3738</v>
      </c>
      <c r="M878" s="114">
        <v>7139329719</v>
      </c>
      <c r="N878" s="114">
        <v>1963433700</v>
      </c>
      <c r="O878" s="114">
        <v>15000000</v>
      </c>
      <c r="P878" s="112">
        <v>8000000</v>
      </c>
      <c r="Q878" s="109">
        <f t="shared" si="69"/>
        <v>9125763419</v>
      </c>
      <c r="R878" s="36">
        <v>7139329719</v>
      </c>
      <c r="S878" s="3">
        <v>1963433700</v>
      </c>
      <c r="T878" s="30">
        <v>15000000</v>
      </c>
      <c r="U878" s="3">
        <v>8000000</v>
      </c>
      <c r="V878" s="5"/>
      <c r="W878" s="28"/>
      <c r="X878" s="28">
        <f t="shared" ref="X878:X897" si="74">N878-S878</f>
        <v>0</v>
      </c>
      <c r="Y878" s="28">
        <f t="shared" ref="Y878:Y897" si="75">O878-T878</f>
        <v>0</v>
      </c>
      <c r="Z878" s="28">
        <f t="shared" ref="Z878:Z897" si="76">P878-U878</f>
        <v>0</v>
      </c>
      <c r="AA878" s="4"/>
      <c r="AB878" s="4"/>
      <c r="AC878">
        <f t="shared" si="73"/>
        <v>2</v>
      </c>
    </row>
    <row r="879" spans="1:30" ht="62.4" x14ac:dyDescent="0.3">
      <c r="A879" s="7" t="s">
        <v>18</v>
      </c>
      <c r="B879" s="6">
        <v>866</v>
      </c>
      <c r="C879" s="7" t="s">
        <v>3725</v>
      </c>
      <c r="D879" s="7" t="s">
        <v>3739</v>
      </c>
      <c r="E879" s="7" t="s">
        <v>1138</v>
      </c>
      <c r="F879" s="4"/>
      <c r="G879" s="7" t="s">
        <v>3740</v>
      </c>
      <c r="H879" s="7" t="s">
        <v>3741</v>
      </c>
      <c r="I879" s="5"/>
      <c r="J879" s="21" t="s">
        <v>3742</v>
      </c>
      <c r="K879" s="7" t="s">
        <v>24</v>
      </c>
      <c r="L879" s="7" t="s">
        <v>3743</v>
      </c>
      <c r="M879" s="114">
        <v>9156375016</v>
      </c>
      <c r="N879" s="109">
        <v>362103231</v>
      </c>
      <c r="O879" s="114">
        <v>15000000</v>
      </c>
      <c r="P879" s="110"/>
      <c r="Q879" s="109">
        <f t="shared" si="69"/>
        <v>9533478247</v>
      </c>
      <c r="R879" s="14">
        <v>9156375016</v>
      </c>
      <c r="S879" s="14">
        <v>362103231</v>
      </c>
      <c r="T879" s="30">
        <v>15000000</v>
      </c>
      <c r="U879" s="5"/>
      <c r="V879" s="5"/>
      <c r="W879" s="28"/>
      <c r="X879" s="28">
        <f t="shared" si="74"/>
        <v>0</v>
      </c>
      <c r="Y879" s="28">
        <f t="shared" si="75"/>
        <v>0</v>
      </c>
      <c r="Z879" s="28">
        <f t="shared" si="76"/>
        <v>0</v>
      </c>
      <c r="AA879" s="4"/>
      <c r="AB879" s="4"/>
      <c r="AC879">
        <f t="shared" si="73"/>
        <v>2</v>
      </c>
    </row>
    <row r="880" spans="1:30" ht="42" x14ac:dyDescent="0.3">
      <c r="A880" s="7" t="s">
        <v>18</v>
      </c>
      <c r="B880" s="6">
        <v>867</v>
      </c>
      <c r="C880" s="7" t="s">
        <v>3725</v>
      </c>
      <c r="D880" s="7" t="s">
        <v>3744</v>
      </c>
      <c r="E880" s="5"/>
      <c r="F880" s="4"/>
      <c r="G880" s="7" t="s">
        <v>3745</v>
      </c>
      <c r="H880" s="7" t="s">
        <v>3746</v>
      </c>
      <c r="I880" s="5"/>
      <c r="J880" s="21" t="s">
        <v>3747</v>
      </c>
      <c r="K880" s="7" t="s">
        <v>24</v>
      </c>
      <c r="L880" s="7" t="s">
        <v>1908</v>
      </c>
      <c r="M880" s="114">
        <v>5200666300</v>
      </c>
      <c r="N880" s="111"/>
      <c r="O880" s="114">
        <v>15000000</v>
      </c>
      <c r="P880" s="110"/>
      <c r="Q880" s="109">
        <f t="shared" si="69"/>
        <v>5215666300</v>
      </c>
      <c r="R880" s="36">
        <v>5200666300</v>
      </c>
      <c r="S880" s="5"/>
      <c r="T880" s="30">
        <v>15000000</v>
      </c>
      <c r="U880" s="5"/>
      <c r="V880" s="5"/>
      <c r="W880" s="28"/>
      <c r="X880" s="28">
        <f t="shared" si="74"/>
        <v>0</v>
      </c>
      <c r="Y880" s="28">
        <f t="shared" si="75"/>
        <v>0</v>
      </c>
      <c r="Z880" s="28">
        <f t="shared" si="76"/>
        <v>0</v>
      </c>
      <c r="AA880" s="4"/>
      <c r="AB880" s="4"/>
      <c r="AC880">
        <f t="shared" si="73"/>
        <v>2</v>
      </c>
    </row>
    <row r="881" spans="1:30" ht="46.8" x14ac:dyDescent="0.3">
      <c r="A881" s="7" t="s">
        <v>18</v>
      </c>
      <c r="B881" s="6">
        <v>868</v>
      </c>
      <c r="C881" s="7" t="s">
        <v>3725</v>
      </c>
      <c r="D881" s="7" t="s">
        <v>3748</v>
      </c>
      <c r="E881" s="7" t="s">
        <v>3749</v>
      </c>
      <c r="F881" s="40" t="s">
        <v>637</v>
      </c>
      <c r="G881" s="7" t="s">
        <v>3750</v>
      </c>
      <c r="H881" s="7" t="s">
        <v>3751</v>
      </c>
      <c r="I881" s="7"/>
      <c r="J881" s="7" t="s">
        <v>3752</v>
      </c>
      <c r="K881" s="7" t="s">
        <v>24</v>
      </c>
      <c r="L881" s="7" t="s">
        <v>3563</v>
      </c>
      <c r="M881" s="114">
        <v>8361271432</v>
      </c>
      <c r="N881" s="114">
        <v>1995580618</v>
      </c>
      <c r="O881" s="109">
        <v>15000000</v>
      </c>
      <c r="P881" s="112">
        <v>24000000</v>
      </c>
      <c r="Q881" s="109">
        <f t="shared" si="69"/>
        <v>10395852050</v>
      </c>
      <c r="R881" s="14">
        <v>8361271432</v>
      </c>
      <c r="S881" s="14">
        <v>1995580618</v>
      </c>
      <c r="T881" s="72"/>
      <c r="U881" s="5"/>
      <c r="V881" s="5"/>
      <c r="W881" s="28"/>
      <c r="X881" s="28">
        <f t="shared" si="74"/>
        <v>0</v>
      </c>
      <c r="Y881" s="36">
        <f t="shared" si="75"/>
        <v>15000000</v>
      </c>
      <c r="Z881" s="28">
        <f t="shared" si="76"/>
        <v>24000000</v>
      </c>
      <c r="AA881" s="4"/>
      <c r="AB881" s="40"/>
      <c r="AC881" s="121">
        <f t="shared" si="73"/>
        <v>2</v>
      </c>
      <c r="AD881" s="121"/>
    </row>
    <row r="882" spans="1:30" ht="63" x14ac:dyDescent="0.3">
      <c r="A882" s="7" t="s">
        <v>1601</v>
      </c>
      <c r="B882" s="6">
        <v>869</v>
      </c>
      <c r="C882" s="7" t="s">
        <v>3725</v>
      </c>
      <c r="D882" s="7" t="s">
        <v>3753</v>
      </c>
      <c r="E882" s="5"/>
      <c r="F882" s="4"/>
      <c r="G882" s="7" t="s">
        <v>3754</v>
      </c>
      <c r="H882" s="7" t="s">
        <v>3755</v>
      </c>
      <c r="I882" s="5"/>
      <c r="J882" s="21" t="s">
        <v>3756</v>
      </c>
      <c r="K882" s="7" t="s">
        <v>24</v>
      </c>
      <c r="L882" s="7" t="s">
        <v>3757</v>
      </c>
      <c r="M882" s="114">
        <v>2814083592</v>
      </c>
      <c r="N882" s="111"/>
      <c r="O882" s="114">
        <v>15000000</v>
      </c>
      <c r="P882" s="110"/>
      <c r="Q882" s="109">
        <f t="shared" si="69"/>
        <v>2829083592</v>
      </c>
      <c r="R882" s="14">
        <v>2814083592</v>
      </c>
      <c r="S882" s="5"/>
      <c r="T882" s="30">
        <v>15000000</v>
      </c>
      <c r="U882" s="5"/>
      <c r="V882" s="5"/>
      <c r="W882" s="28"/>
      <c r="X882" s="28">
        <f t="shared" si="74"/>
        <v>0</v>
      </c>
      <c r="Y882" s="28">
        <f t="shared" si="75"/>
        <v>0</v>
      </c>
      <c r="Z882" s="28">
        <f t="shared" si="76"/>
        <v>0</v>
      </c>
      <c r="AA882" s="4"/>
      <c r="AB882" s="4"/>
      <c r="AC882">
        <f t="shared" si="73"/>
        <v>2</v>
      </c>
    </row>
    <row r="883" spans="1:30" ht="42" x14ac:dyDescent="0.3">
      <c r="A883" s="7" t="s">
        <v>1601</v>
      </c>
      <c r="B883" s="6">
        <v>870</v>
      </c>
      <c r="C883" s="7" t="s">
        <v>3725</v>
      </c>
      <c r="D883" s="7" t="s">
        <v>3758</v>
      </c>
      <c r="E883" s="7" t="s">
        <v>3759</v>
      </c>
      <c r="F883" s="40" t="s">
        <v>1208</v>
      </c>
      <c r="G883" s="7" t="s">
        <v>3760</v>
      </c>
      <c r="H883" s="7" t="s">
        <v>3761</v>
      </c>
      <c r="I883" s="5"/>
      <c r="J883" s="21" t="s">
        <v>3762</v>
      </c>
      <c r="K883" s="7" t="s">
        <v>24</v>
      </c>
      <c r="L883" s="7" t="s">
        <v>3763</v>
      </c>
      <c r="M883" s="114">
        <v>1141870600</v>
      </c>
      <c r="N883" s="109">
        <v>10000000</v>
      </c>
      <c r="O883" s="114">
        <v>15000000</v>
      </c>
      <c r="P883" s="112">
        <v>24000000</v>
      </c>
      <c r="Q883" s="109">
        <f t="shared" si="69"/>
        <v>1190870600</v>
      </c>
      <c r="R883" s="14">
        <v>1141870600</v>
      </c>
      <c r="S883" s="28">
        <v>10000000</v>
      </c>
      <c r="T883" s="30">
        <v>15000000</v>
      </c>
      <c r="U883" s="14">
        <v>24000000</v>
      </c>
      <c r="V883" s="5"/>
      <c r="W883" s="28"/>
      <c r="X883" s="28">
        <f t="shared" si="74"/>
        <v>0</v>
      </c>
      <c r="Y883" s="28">
        <f t="shared" si="75"/>
        <v>0</v>
      </c>
      <c r="Z883" s="28">
        <f t="shared" si="76"/>
        <v>0</v>
      </c>
      <c r="AA883" s="4"/>
      <c r="AB883" s="4"/>
      <c r="AC883">
        <f t="shared" si="73"/>
        <v>2</v>
      </c>
    </row>
    <row r="884" spans="1:30" ht="78" x14ac:dyDescent="0.4">
      <c r="A884" s="7" t="s">
        <v>1601</v>
      </c>
      <c r="B884" s="6">
        <v>871</v>
      </c>
      <c r="C884" s="7" t="s">
        <v>3725</v>
      </c>
      <c r="D884" s="7" t="s">
        <v>3764</v>
      </c>
      <c r="E884" s="7" t="s">
        <v>3765</v>
      </c>
      <c r="F884" s="4"/>
      <c r="G884" s="7"/>
      <c r="H884" s="7" t="s">
        <v>3766</v>
      </c>
      <c r="I884" s="7" t="s">
        <v>3767</v>
      </c>
      <c r="J884" s="7" t="s">
        <v>3768</v>
      </c>
      <c r="K884" s="7" t="s">
        <v>24</v>
      </c>
      <c r="L884" s="7" t="s">
        <v>3769</v>
      </c>
      <c r="M884" s="114">
        <v>8297551400</v>
      </c>
      <c r="N884" s="111"/>
      <c r="O884" s="109">
        <v>15000000</v>
      </c>
      <c r="P884" s="110"/>
      <c r="Q884" s="109">
        <f t="shared" si="69"/>
        <v>8312551400</v>
      </c>
      <c r="R884" s="14">
        <v>8297551400</v>
      </c>
      <c r="S884" s="5"/>
      <c r="T884" s="72"/>
      <c r="U884" s="5"/>
      <c r="V884" s="16">
        <v>-8297551400</v>
      </c>
      <c r="W884" s="28"/>
      <c r="X884" s="28">
        <f t="shared" si="74"/>
        <v>0</v>
      </c>
      <c r="Y884" s="36">
        <f t="shared" si="75"/>
        <v>15000000</v>
      </c>
      <c r="Z884" s="28">
        <f t="shared" si="76"/>
        <v>0</v>
      </c>
      <c r="AA884" s="4"/>
      <c r="AB884" s="40"/>
      <c r="AC884" s="121">
        <f t="shared" si="73"/>
        <v>1</v>
      </c>
      <c r="AD884" s="121"/>
    </row>
    <row r="885" spans="1:30" ht="63" x14ac:dyDescent="0.3">
      <c r="A885" s="7" t="s">
        <v>18</v>
      </c>
      <c r="B885" s="6">
        <v>872</v>
      </c>
      <c r="C885" s="7" t="s">
        <v>3725</v>
      </c>
      <c r="D885" s="7" t="s">
        <v>3770</v>
      </c>
      <c r="E885" s="5"/>
      <c r="F885" s="40" t="s">
        <v>3771</v>
      </c>
      <c r="G885" s="7" t="s">
        <v>3772</v>
      </c>
      <c r="H885" s="5"/>
      <c r="I885" s="5"/>
      <c r="J885" s="21" t="s">
        <v>3773</v>
      </c>
      <c r="K885" s="7" t="s">
        <v>24</v>
      </c>
      <c r="L885" s="7" t="s">
        <v>3774</v>
      </c>
      <c r="M885" s="114">
        <v>11775251750</v>
      </c>
      <c r="N885" s="111"/>
      <c r="O885" s="114">
        <v>15000000</v>
      </c>
      <c r="P885" s="112">
        <v>126000000</v>
      </c>
      <c r="Q885" s="109">
        <f t="shared" si="69"/>
        <v>11916251750</v>
      </c>
      <c r="R885" s="14">
        <v>11775251750</v>
      </c>
      <c r="S885" s="5"/>
      <c r="T885" s="30">
        <v>15000000</v>
      </c>
      <c r="U885" s="3">
        <v>126000000</v>
      </c>
      <c r="V885" s="5"/>
      <c r="W885" s="28"/>
      <c r="X885" s="28">
        <f t="shared" si="74"/>
        <v>0</v>
      </c>
      <c r="Y885" s="28">
        <f t="shared" si="75"/>
        <v>0</v>
      </c>
      <c r="Z885" s="28">
        <f t="shared" si="76"/>
        <v>0</v>
      </c>
      <c r="AA885" s="4"/>
      <c r="AB885" s="4"/>
      <c r="AC885">
        <f t="shared" si="73"/>
        <v>2</v>
      </c>
    </row>
    <row r="886" spans="1:30" ht="78" x14ac:dyDescent="0.3">
      <c r="A886" s="7" t="s">
        <v>1601</v>
      </c>
      <c r="B886" s="6">
        <v>873</v>
      </c>
      <c r="C886" s="7" t="s">
        <v>3775</v>
      </c>
      <c r="D886" s="5"/>
      <c r="E886" s="7" t="s">
        <v>3777</v>
      </c>
      <c r="F886" s="7" t="s">
        <v>3776</v>
      </c>
      <c r="G886" s="7" t="s">
        <v>3778</v>
      </c>
      <c r="H886" s="5"/>
      <c r="I886" s="7" t="s">
        <v>40</v>
      </c>
      <c r="J886" s="21" t="s">
        <v>3768</v>
      </c>
      <c r="K886" s="7" t="s">
        <v>24</v>
      </c>
      <c r="L886" s="7" t="s">
        <v>3769</v>
      </c>
      <c r="M886" s="114">
        <v>10717985200</v>
      </c>
      <c r="N886" s="111"/>
      <c r="O886" s="114">
        <v>15000000</v>
      </c>
      <c r="P886" s="114">
        <v>24000000</v>
      </c>
      <c r="Q886" s="109">
        <f t="shared" si="69"/>
        <v>10756985200</v>
      </c>
      <c r="R886" s="3">
        <v>10717985200</v>
      </c>
      <c r="S886" s="5"/>
      <c r="T886" s="31">
        <v>15000000</v>
      </c>
      <c r="U886" s="14">
        <v>24000000</v>
      </c>
      <c r="V886" s="5"/>
      <c r="W886" s="28"/>
      <c r="X886" s="28">
        <f t="shared" si="74"/>
        <v>0</v>
      </c>
      <c r="Y886" s="28">
        <f t="shared" si="75"/>
        <v>0</v>
      </c>
      <c r="Z886" s="28">
        <f t="shared" si="76"/>
        <v>0</v>
      </c>
      <c r="AA886" s="4"/>
      <c r="AB886" s="4"/>
      <c r="AC886">
        <f t="shared" si="73"/>
        <v>2</v>
      </c>
    </row>
    <row r="887" spans="1:30" ht="42" x14ac:dyDescent="0.3">
      <c r="A887" s="7" t="s">
        <v>1601</v>
      </c>
      <c r="B887" s="6">
        <v>874</v>
      </c>
      <c r="C887" s="7" t="s">
        <v>3775</v>
      </c>
      <c r="D887" s="7" t="s">
        <v>3779</v>
      </c>
      <c r="E887" s="7" t="s">
        <v>3777</v>
      </c>
      <c r="F887" s="5"/>
      <c r="G887" s="7" t="s">
        <v>3780</v>
      </c>
      <c r="H887" s="5"/>
      <c r="I887" s="7" t="s">
        <v>40</v>
      </c>
      <c r="J887" s="21" t="s">
        <v>3781</v>
      </c>
      <c r="K887" s="7" t="s">
        <v>24</v>
      </c>
      <c r="L887" s="7" t="s">
        <v>3769</v>
      </c>
      <c r="M887" s="114">
        <v>2704930000</v>
      </c>
      <c r="N887" s="111"/>
      <c r="O887" s="114">
        <v>15000000</v>
      </c>
      <c r="P887" s="111"/>
      <c r="Q887" s="109">
        <f t="shared" si="69"/>
        <v>2719930000</v>
      </c>
      <c r="R887" s="14">
        <v>2704930000</v>
      </c>
      <c r="S887" s="5"/>
      <c r="T887" s="31">
        <v>15000000</v>
      </c>
      <c r="U887" s="5"/>
      <c r="V887" s="5"/>
      <c r="W887" s="28"/>
      <c r="X887" s="28">
        <f t="shared" si="74"/>
        <v>0</v>
      </c>
      <c r="Y887" s="28">
        <f t="shared" si="75"/>
        <v>0</v>
      </c>
      <c r="Z887" s="28">
        <f t="shared" si="76"/>
        <v>0</v>
      </c>
      <c r="AA887" s="4"/>
      <c r="AB887" s="4"/>
      <c r="AC887">
        <f t="shared" si="73"/>
        <v>2</v>
      </c>
    </row>
    <row r="888" spans="1:30" ht="42" x14ac:dyDescent="0.3">
      <c r="A888" s="7" t="s">
        <v>1601</v>
      </c>
      <c r="B888" s="6">
        <v>875</v>
      </c>
      <c r="C888" s="7" t="s">
        <v>3775</v>
      </c>
      <c r="D888" s="7" t="s">
        <v>3782</v>
      </c>
      <c r="E888" s="7" t="s">
        <v>3777</v>
      </c>
      <c r="F888" s="7" t="s">
        <v>3776</v>
      </c>
      <c r="G888" s="7" t="s">
        <v>3015</v>
      </c>
      <c r="H888" s="5"/>
      <c r="I888" s="7" t="s">
        <v>40</v>
      </c>
      <c r="J888" s="21" t="s">
        <v>3783</v>
      </c>
      <c r="K888" s="7" t="s">
        <v>24</v>
      </c>
      <c r="L888" s="7" t="s">
        <v>3769</v>
      </c>
      <c r="M888" s="114">
        <v>2852252840</v>
      </c>
      <c r="N888" s="111"/>
      <c r="O888" s="114">
        <v>15000000</v>
      </c>
      <c r="P888" s="114">
        <v>24000000</v>
      </c>
      <c r="Q888" s="109">
        <f t="shared" si="69"/>
        <v>2891252840</v>
      </c>
      <c r="R888" s="14">
        <v>2852252840</v>
      </c>
      <c r="S888" s="5"/>
      <c r="T888" s="31">
        <v>15000000</v>
      </c>
      <c r="U888" s="14">
        <v>24000000</v>
      </c>
      <c r="V888" s="5"/>
      <c r="W888" s="28"/>
      <c r="X888" s="28">
        <f t="shared" si="74"/>
        <v>0</v>
      </c>
      <c r="Y888" s="28">
        <f t="shared" si="75"/>
        <v>0</v>
      </c>
      <c r="Z888" s="28">
        <f t="shared" si="76"/>
        <v>0</v>
      </c>
      <c r="AA888" s="4"/>
      <c r="AB888" s="4"/>
      <c r="AC888">
        <f t="shared" si="73"/>
        <v>2</v>
      </c>
    </row>
    <row r="889" spans="1:30" ht="78" x14ac:dyDescent="0.3">
      <c r="A889" s="7" t="s">
        <v>18</v>
      </c>
      <c r="B889" s="6">
        <v>876</v>
      </c>
      <c r="C889" s="7" t="s">
        <v>3784</v>
      </c>
      <c r="D889" s="7" t="s">
        <v>3785</v>
      </c>
      <c r="E889" s="5"/>
      <c r="F889" s="5"/>
      <c r="G889" s="7" t="s">
        <v>3786</v>
      </c>
      <c r="H889" s="5"/>
      <c r="I889" s="5"/>
      <c r="J889" s="21" t="s">
        <v>3787</v>
      </c>
      <c r="K889" s="7" t="s">
        <v>24</v>
      </c>
      <c r="L889" s="7" t="s">
        <v>2943</v>
      </c>
      <c r="M889" s="114">
        <v>668410816</v>
      </c>
      <c r="N889" s="111"/>
      <c r="O889" s="114">
        <v>15000000</v>
      </c>
      <c r="P889" s="111"/>
      <c r="Q889" s="109">
        <f t="shared" si="69"/>
        <v>683410816</v>
      </c>
      <c r="R889" s="14">
        <v>668410816</v>
      </c>
      <c r="S889" s="5"/>
      <c r="T889" s="30">
        <v>15000000</v>
      </c>
      <c r="U889" s="5"/>
      <c r="V889" s="5"/>
      <c r="W889" s="28"/>
      <c r="X889" s="28">
        <f t="shared" si="74"/>
        <v>0</v>
      </c>
      <c r="Y889" s="28">
        <f t="shared" si="75"/>
        <v>0</v>
      </c>
      <c r="Z889" s="28">
        <f t="shared" si="76"/>
        <v>0</v>
      </c>
      <c r="AA889" s="4"/>
      <c r="AB889" s="4"/>
      <c r="AC889">
        <f t="shared" si="73"/>
        <v>2</v>
      </c>
    </row>
    <row r="890" spans="1:30" ht="78" x14ac:dyDescent="0.4">
      <c r="A890" s="40" t="s">
        <v>18</v>
      </c>
      <c r="B890" s="6">
        <v>877</v>
      </c>
      <c r="C890" s="7" t="s">
        <v>3784</v>
      </c>
      <c r="D890" s="7" t="s">
        <v>3788</v>
      </c>
      <c r="E890" s="4"/>
      <c r="F890" s="4"/>
      <c r="G890" s="7" t="s">
        <v>3789</v>
      </c>
      <c r="H890" s="4"/>
      <c r="I890" s="4"/>
      <c r="J890" s="47" t="s">
        <v>3790</v>
      </c>
      <c r="K890" s="40" t="s">
        <v>24</v>
      </c>
      <c r="L890" s="40" t="s">
        <v>2943</v>
      </c>
      <c r="M890" s="118">
        <v>930126309</v>
      </c>
      <c r="N890" s="110"/>
      <c r="O890" s="118">
        <v>7500000</v>
      </c>
      <c r="P890" s="110"/>
      <c r="Q890" s="109">
        <f t="shared" si="69"/>
        <v>937626309</v>
      </c>
      <c r="R890" s="14">
        <v>930126309</v>
      </c>
      <c r="S890" s="5"/>
      <c r="T890" s="31">
        <v>7500000</v>
      </c>
      <c r="U890" s="4"/>
      <c r="V890" s="4"/>
      <c r="W890" s="28"/>
      <c r="X890" s="28">
        <f t="shared" si="74"/>
        <v>0</v>
      </c>
      <c r="Y890" s="28">
        <f t="shared" si="75"/>
        <v>0</v>
      </c>
      <c r="Z890" s="28">
        <f t="shared" si="76"/>
        <v>0</v>
      </c>
      <c r="AA890" s="4"/>
      <c r="AB890" s="4"/>
      <c r="AC890">
        <f t="shared" si="73"/>
        <v>2</v>
      </c>
    </row>
    <row r="891" spans="1:30" ht="78" x14ac:dyDescent="0.3">
      <c r="A891" s="7" t="s">
        <v>18</v>
      </c>
      <c r="B891" s="6">
        <v>878</v>
      </c>
      <c r="C891" s="7" t="s">
        <v>3784</v>
      </c>
      <c r="D891" s="7" t="s">
        <v>3791</v>
      </c>
      <c r="E891" s="7"/>
      <c r="F891" s="5"/>
      <c r="G891" s="7" t="s">
        <v>3792</v>
      </c>
      <c r="H891" s="7"/>
      <c r="I891" s="7"/>
      <c r="J891" s="40" t="s">
        <v>3793</v>
      </c>
      <c r="K891" s="7" t="s">
        <v>24</v>
      </c>
      <c r="L891" s="7" t="s">
        <v>2826</v>
      </c>
      <c r="M891" s="114">
        <v>250126298</v>
      </c>
      <c r="N891" s="111"/>
      <c r="O891" s="109">
        <v>15000000</v>
      </c>
      <c r="P891" s="111"/>
      <c r="Q891" s="109">
        <f t="shared" si="69"/>
        <v>265126298</v>
      </c>
      <c r="R891" s="14">
        <v>250126298</v>
      </c>
      <c r="S891" s="5"/>
      <c r="T891" s="72"/>
      <c r="U891" s="5"/>
      <c r="V891" s="5"/>
      <c r="W891" s="28"/>
      <c r="X891" s="28">
        <f t="shared" si="74"/>
        <v>0</v>
      </c>
      <c r="Y891" s="36">
        <f t="shared" si="75"/>
        <v>15000000</v>
      </c>
      <c r="Z891" s="28">
        <f t="shared" si="76"/>
        <v>0</v>
      </c>
      <c r="AA891" s="4"/>
      <c r="AB891" s="40"/>
      <c r="AC891" s="121">
        <f t="shared" si="73"/>
        <v>2</v>
      </c>
      <c r="AD891" s="121"/>
    </row>
    <row r="892" spans="1:30" ht="93.6" x14ac:dyDescent="0.3">
      <c r="A892" s="7" t="s">
        <v>2290</v>
      </c>
      <c r="B892" s="6">
        <v>879</v>
      </c>
      <c r="C892" s="7" t="s">
        <v>2864</v>
      </c>
      <c r="D892" s="7" t="s">
        <v>3641</v>
      </c>
      <c r="E892" s="5"/>
      <c r="F892" s="4"/>
      <c r="G892" s="7" t="s">
        <v>3794</v>
      </c>
      <c r="H892" s="5"/>
      <c r="I892" s="7" t="s">
        <v>40</v>
      </c>
      <c r="J892" s="21" t="s">
        <v>3795</v>
      </c>
      <c r="K892" s="7" t="s">
        <v>24</v>
      </c>
      <c r="L892" s="7" t="s">
        <v>3396</v>
      </c>
      <c r="M892" s="114">
        <v>493278040</v>
      </c>
      <c r="N892" s="114"/>
      <c r="O892" s="111"/>
      <c r="P892" s="110"/>
      <c r="Q892" s="109">
        <f t="shared" si="69"/>
        <v>493278040</v>
      </c>
      <c r="R892" s="28">
        <v>493278040</v>
      </c>
      <c r="S892" s="5"/>
      <c r="T892" s="31"/>
      <c r="U892" s="5"/>
      <c r="V892" s="5"/>
      <c r="W892" s="28"/>
      <c r="X892" s="28">
        <f t="shared" si="74"/>
        <v>0</v>
      </c>
      <c r="Y892" s="28">
        <f t="shared" si="75"/>
        <v>0</v>
      </c>
      <c r="Z892" s="28">
        <f t="shared" si="76"/>
        <v>0</v>
      </c>
      <c r="AA892" s="4"/>
      <c r="AB892" s="4"/>
      <c r="AC892">
        <f t="shared" si="73"/>
        <v>2</v>
      </c>
    </row>
    <row r="893" spans="1:30" ht="93.6" x14ac:dyDescent="0.3">
      <c r="A893" s="7" t="s">
        <v>18</v>
      </c>
      <c r="B893" s="6">
        <v>880</v>
      </c>
      <c r="C893" s="7" t="s">
        <v>3796</v>
      </c>
      <c r="D893" s="5"/>
      <c r="E893" s="5"/>
      <c r="F893" s="4"/>
      <c r="G893" s="7" t="s">
        <v>3797</v>
      </c>
      <c r="H893" s="5"/>
      <c r="I893" s="5"/>
      <c r="J893" s="21" t="s">
        <v>3798</v>
      </c>
      <c r="K893" s="7" t="s">
        <v>24</v>
      </c>
      <c r="L893" s="7" t="s">
        <v>3396</v>
      </c>
      <c r="M893" s="114">
        <v>564348340</v>
      </c>
      <c r="N893" s="111"/>
      <c r="O893" s="114">
        <v>15000000</v>
      </c>
      <c r="P893" s="110"/>
      <c r="Q893" s="109">
        <f t="shared" si="69"/>
        <v>579348340</v>
      </c>
      <c r="R893" s="3">
        <v>564348340</v>
      </c>
      <c r="S893" s="5"/>
      <c r="T893" s="31">
        <v>15000000</v>
      </c>
      <c r="U893" s="5"/>
      <c r="V893" s="5"/>
      <c r="W893" s="28"/>
      <c r="X893" s="28">
        <f t="shared" si="74"/>
        <v>0</v>
      </c>
      <c r="Y893" s="28">
        <f t="shared" si="75"/>
        <v>0</v>
      </c>
      <c r="Z893" s="28">
        <f t="shared" si="76"/>
        <v>0</v>
      </c>
      <c r="AA893" s="4"/>
      <c r="AB893" s="4"/>
      <c r="AC893">
        <f t="shared" si="73"/>
        <v>2</v>
      </c>
    </row>
    <row r="894" spans="1:30" ht="93.6" x14ac:dyDescent="0.3">
      <c r="A894" s="7" t="s">
        <v>46</v>
      </c>
      <c r="B894" s="6">
        <v>881</v>
      </c>
      <c r="C894" s="7" t="s">
        <v>3796</v>
      </c>
      <c r="D894" s="5"/>
      <c r="E894" s="5"/>
      <c r="F894" s="4"/>
      <c r="G894" s="7" t="s">
        <v>3799</v>
      </c>
      <c r="H894" s="5"/>
      <c r="I894" s="5"/>
      <c r="J894" s="21" t="s">
        <v>3800</v>
      </c>
      <c r="K894" s="7" t="s">
        <v>24</v>
      </c>
      <c r="L894" s="7" t="s">
        <v>3396</v>
      </c>
      <c r="M894" s="114">
        <v>589933648</v>
      </c>
      <c r="N894" s="111"/>
      <c r="O894" s="114">
        <v>15000000</v>
      </c>
      <c r="P894" s="110"/>
      <c r="Q894" s="109">
        <f t="shared" si="69"/>
        <v>604933648</v>
      </c>
      <c r="R894" s="3">
        <v>589933648</v>
      </c>
      <c r="S894" s="5"/>
      <c r="T894" s="31">
        <v>15000000</v>
      </c>
      <c r="U894" s="5"/>
      <c r="V894" s="5"/>
      <c r="W894" s="28"/>
      <c r="X894" s="28">
        <f t="shared" si="74"/>
        <v>0</v>
      </c>
      <c r="Y894" s="28">
        <f t="shared" si="75"/>
        <v>0</v>
      </c>
      <c r="Z894" s="28">
        <f t="shared" si="76"/>
        <v>0</v>
      </c>
      <c r="AA894" s="4"/>
      <c r="AB894" s="4"/>
      <c r="AC894">
        <f t="shared" si="73"/>
        <v>2</v>
      </c>
    </row>
    <row r="895" spans="1:30" ht="93.6" x14ac:dyDescent="0.3">
      <c r="A895" s="7" t="s">
        <v>46</v>
      </c>
      <c r="B895" s="6">
        <v>882</v>
      </c>
      <c r="C895" s="7" t="s">
        <v>3796</v>
      </c>
      <c r="D895" s="5"/>
      <c r="E895" s="5"/>
      <c r="F895" s="4"/>
      <c r="G895" s="7" t="s">
        <v>3801</v>
      </c>
      <c r="H895" s="5"/>
      <c r="I895" s="5"/>
      <c r="J895" s="21" t="s">
        <v>3802</v>
      </c>
      <c r="K895" s="7" t="s">
        <v>24</v>
      </c>
      <c r="L895" s="7" t="s">
        <v>3396</v>
      </c>
      <c r="M895" s="114">
        <v>396622432</v>
      </c>
      <c r="N895" s="111"/>
      <c r="O895" s="114">
        <v>15000000</v>
      </c>
      <c r="P895" s="110"/>
      <c r="Q895" s="109">
        <f t="shared" si="69"/>
        <v>411622432</v>
      </c>
      <c r="R895" s="3">
        <v>396622432</v>
      </c>
      <c r="S895" s="5"/>
      <c r="T895" s="30">
        <v>15000000</v>
      </c>
      <c r="U895" s="5"/>
      <c r="V895" s="5"/>
      <c r="W895" s="28"/>
      <c r="X895" s="28">
        <f t="shared" si="74"/>
        <v>0</v>
      </c>
      <c r="Y895" s="28">
        <f t="shared" si="75"/>
        <v>0</v>
      </c>
      <c r="Z895" s="28">
        <f t="shared" si="76"/>
        <v>0</v>
      </c>
      <c r="AA895" s="4"/>
      <c r="AB895" s="4"/>
      <c r="AC895">
        <f t="shared" si="73"/>
        <v>2</v>
      </c>
    </row>
    <row r="896" spans="1:30" ht="42" x14ac:dyDescent="0.3">
      <c r="A896" s="7" t="s">
        <v>46</v>
      </c>
      <c r="B896" s="6">
        <v>883</v>
      </c>
      <c r="C896" s="7" t="s">
        <v>3803</v>
      </c>
      <c r="D896" s="5"/>
      <c r="E896" s="5"/>
      <c r="F896" s="4"/>
      <c r="G896" s="7" t="s">
        <v>3804</v>
      </c>
      <c r="H896" s="5"/>
      <c r="I896" s="5"/>
      <c r="J896" s="21" t="s">
        <v>3805</v>
      </c>
      <c r="K896" s="7" t="s">
        <v>24</v>
      </c>
      <c r="L896" s="7" t="s">
        <v>3806</v>
      </c>
      <c r="M896" s="114">
        <v>149778000</v>
      </c>
      <c r="N896" s="111"/>
      <c r="O896" s="111"/>
      <c r="P896" s="110"/>
      <c r="Q896" s="109">
        <f t="shared" si="69"/>
        <v>149778000</v>
      </c>
      <c r="R896" s="5"/>
      <c r="S896" s="5"/>
      <c r="T896" s="31"/>
      <c r="U896" s="5"/>
      <c r="V896" s="5"/>
      <c r="W896" s="28">
        <v>149778000</v>
      </c>
      <c r="X896" s="28">
        <f t="shared" si="74"/>
        <v>0</v>
      </c>
      <c r="Y896" s="28">
        <f t="shared" si="75"/>
        <v>0</v>
      </c>
      <c r="Z896" s="28">
        <f t="shared" si="76"/>
        <v>0</v>
      </c>
      <c r="AA896" s="4"/>
      <c r="AB896" s="4"/>
      <c r="AC896">
        <f t="shared" si="73"/>
        <v>2</v>
      </c>
    </row>
    <row r="897" spans="1:29" ht="42" x14ac:dyDescent="0.3">
      <c r="A897" s="7" t="s">
        <v>46</v>
      </c>
      <c r="B897" s="6">
        <v>884</v>
      </c>
      <c r="C897" s="7" t="s">
        <v>3803</v>
      </c>
      <c r="D897" s="5"/>
      <c r="E897" s="5"/>
      <c r="F897" s="4"/>
      <c r="G897" s="7" t="s">
        <v>594</v>
      </c>
      <c r="H897" s="5"/>
      <c r="I897" s="5"/>
      <c r="J897" s="21" t="s">
        <v>3805</v>
      </c>
      <c r="K897" s="7" t="s">
        <v>24</v>
      </c>
      <c r="L897" s="7" t="s">
        <v>3807</v>
      </c>
      <c r="M897" s="114">
        <v>95035000</v>
      </c>
      <c r="N897" s="111"/>
      <c r="O897" s="111"/>
      <c r="P897" s="110"/>
      <c r="Q897" s="109">
        <f t="shared" si="69"/>
        <v>95035000</v>
      </c>
      <c r="R897" s="5"/>
      <c r="S897" s="5"/>
      <c r="T897" s="31"/>
      <c r="U897" s="5"/>
      <c r="V897" s="5"/>
      <c r="W897" s="28">
        <v>95035000</v>
      </c>
      <c r="X897" s="28">
        <f t="shared" si="74"/>
        <v>0</v>
      </c>
      <c r="Y897" s="28">
        <f t="shared" si="75"/>
        <v>0</v>
      </c>
      <c r="Z897" s="28">
        <f t="shared" si="76"/>
        <v>0</v>
      </c>
      <c r="AA897" s="4"/>
      <c r="AB897" s="4"/>
      <c r="AC897">
        <f t="shared" si="73"/>
        <v>2</v>
      </c>
    </row>
  </sheetData>
  <autoFilter ref="A13:AS897" xr:uid="{D3F67B45-2CDF-43A5-A8CA-E88B6367DD9C}"/>
  <mergeCells count="22">
    <mergeCell ref="L10:L11"/>
    <mergeCell ref="A10:A11"/>
    <mergeCell ref="B10:B11"/>
    <mergeCell ref="C10:C11"/>
    <mergeCell ref="E10:E11"/>
    <mergeCell ref="F10:F11"/>
    <mergeCell ref="AB10:AB11"/>
    <mergeCell ref="I5:I8"/>
    <mergeCell ref="B4:E4"/>
    <mergeCell ref="B5:E5"/>
    <mergeCell ref="B6:E6"/>
    <mergeCell ref="B7:E7"/>
    <mergeCell ref="B8:E8"/>
    <mergeCell ref="M10:Q10"/>
    <mergeCell ref="R10:V10"/>
    <mergeCell ref="W10:Z10"/>
    <mergeCell ref="AA10:AA11"/>
    <mergeCell ref="G10:G11"/>
    <mergeCell ref="H10:H11"/>
    <mergeCell ref="I10:I11"/>
    <mergeCell ref="J10:J11"/>
    <mergeCell ref="K10:K11"/>
  </mergeCells>
  <pageMargins left="0.17" right="0.17" top="0.17" bottom="0.17" header="0.17" footer="0.17"/>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A3B6-96DF-41B2-9FEF-A03556BEEF88}">
  <sheetPr filterMode="1"/>
  <dimension ref="A1:AD888"/>
  <sheetViews>
    <sheetView topLeftCell="B1" zoomScale="70" zoomScaleNormal="70" workbookViewId="0">
      <selection activeCell="B1" sqref="B1:B2"/>
    </sheetView>
  </sheetViews>
  <sheetFormatPr defaultRowHeight="15.6" x14ac:dyDescent="0.3"/>
  <cols>
    <col min="1" max="1" width="8.88671875" hidden="1" customWidth="1"/>
    <col min="2" max="2" width="6.21875" style="61" customWidth="1"/>
    <col min="3" max="3" width="18.21875" style="61" customWidth="1"/>
    <col min="4" max="4" width="18.21875" hidden="1" customWidth="1"/>
    <col min="5" max="5" width="17.5546875" style="61" hidden="1" customWidth="1"/>
    <col min="6" max="6" width="18.5546875" style="61" customWidth="1"/>
    <col min="7" max="7" width="14.88671875" style="61" customWidth="1"/>
    <col min="8" max="8" width="13.6640625" style="61" customWidth="1"/>
    <col min="9" max="9" width="19.6640625" style="61" customWidth="1"/>
    <col min="10" max="10" width="40.44140625" style="77" customWidth="1"/>
    <col min="11" max="11" width="7.109375" style="61" customWidth="1"/>
    <col min="12" max="12" width="38.21875" style="61" customWidth="1"/>
    <col min="13" max="13" width="21.44140625" hidden="1" customWidth="1"/>
    <col min="14" max="14" width="20.77734375" hidden="1" customWidth="1"/>
    <col min="15" max="15" width="23.44140625" hidden="1" customWidth="1"/>
    <col min="16" max="16" width="23.44140625" style="61" customWidth="1"/>
    <col min="17" max="17" width="23.44140625" hidden="1" customWidth="1"/>
    <col min="18" max="18" width="23.44140625" style="34" hidden="1" customWidth="1"/>
    <col min="19" max="19" width="19.44140625" style="34" hidden="1" customWidth="1"/>
    <col min="20" max="20" width="23.44140625" style="35" hidden="1" customWidth="1"/>
    <col min="21" max="21" width="23.44140625" style="61" customWidth="1"/>
    <col min="22" max="22" width="19.33203125" hidden="1" customWidth="1"/>
    <col min="23" max="23" width="23.44140625" hidden="1" customWidth="1"/>
    <col min="24" max="24" width="21.88671875" hidden="1" customWidth="1"/>
    <col min="25" max="25" width="23.44140625" hidden="1" customWidth="1"/>
    <col min="26" max="26" width="23.44140625" style="61" customWidth="1"/>
    <col min="27" max="27" width="17.77734375" hidden="1" customWidth="1"/>
    <col min="28" max="28" width="12.109375" style="61" customWidth="1"/>
    <col min="29" max="16384" width="8.88671875" style="61"/>
  </cols>
  <sheetData>
    <row r="1" spans="1:30" ht="19.2" customHeight="1" x14ac:dyDescent="0.3">
      <c r="A1" s="146" t="s">
        <v>1</v>
      </c>
      <c r="B1" s="145" t="s">
        <v>2</v>
      </c>
      <c r="C1" s="143" t="s">
        <v>3</v>
      </c>
      <c r="D1" s="2"/>
      <c r="E1" s="143" t="s">
        <v>6</v>
      </c>
      <c r="F1" s="143" t="s">
        <v>5</v>
      </c>
      <c r="G1" s="143" t="s">
        <v>7</v>
      </c>
      <c r="H1" s="143" t="s">
        <v>8</v>
      </c>
      <c r="I1" s="143" t="s">
        <v>9</v>
      </c>
      <c r="J1" s="143" t="s">
        <v>10</v>
      </c>
      <c r="K1" s="144" t="s">
        <v>11</v>
      </c>
      <c r="L1" s="145" t="s">
        <v>3811</v>
      </c>
      <c r="M1" s="136" t="s">
        <v>3809</v>
      </c>
      <c r="N1" s="136"/>
      <c r="O1" s="136"/>
      <c r="P1" s="136"/>
      <c r="Q1" s="137"/>
      <c r="R1" s="138" t="s">
        <v>3810</v>
      </c>
      <c r="S1" s="139"/>
      <c r="T1" s="139"/>
      <c r="U1" s="139"/>
      <c r="V1" s="138"/>
      <c r="W1" s="140" t="s">
        <v>16</v>
      </c>
      <c r="X1" s="141"/>
      <c r="Y1" s="141"/>
      <c r="Z1" s="141"/>
      <c r="AA1" s="124" t="s">
        <v>3808</v>
      </c>
      <c r="AB1" s="124" t="s">
        <v>3821</v>
      </c>
      <c r="AC1" s="121"/>
      <c r="AD1" s="121"/>
    </row>
    <row r="2" spans="1:30" s="169" customFormat="1" ht="23.4" customHeight="1" x14ac:dyDescent="0.3">
      <c r="A2" s="146"/>
      <c r="B2" s="145"/>
      <c r="C2" s="143"/>
      <c r="D2" s="39" t="s">
        <v>4</v>
      </c>
      <c r="E2" s="143"/>
      <c r="F2" s="143"/>
      <c r="G2" s="143"/>
      <c r="H2" s="143"/>
      <c r="I2" s="143"/>
      <c r="J2" s="143"/>
      <c r="K2" s="144"/>
      <c r="L2" s="145"/>
      <c r="M2" s="24" t="s">
        <v>12</v>
      </c>
      <c r="N2" s="24" t="s">
        <v>13</v>
      </c>
      <c r="O2" s="24" t="s">
        <v>14</v>
      </c>
      <c r="P2" s="66" t="s">
        <v>15</v>
      </c>
      <c r="Q2" s="23" t="s">
        <v>3812</v>
      </c>
      <c r="R2" s="25" t="s">
        <v>12</v>
      </c>
      <c r="S2" s="25" t="s">
        <v>13</v>
      </c>
      <c r="T2" s="29" t="s">
        <v>14</v>
      </c>
      <c r="U2" s="25" t="s">
        <v>15</v>
      </c>
      <c r="V2" s="26" t="s">
        <v>0</v>
      </c>
      <c r="W2" s="27" t="s">
        <v>12</v>
      </c>
      <c r="X2" s="67" t="s">
        <v>13</v>
      </c>
      <c r="Y2" s="67" t="s">
        <v>14</v>
      </c>
      <c r="Z2" s="67" t="s">
        <v>15</v>
      </c>
      <c r="AA2" s="125"/>
      <c r="AB2" s="125"/>
      <c r="AC2" s="122"/>
      <c r="AD2" s="122"/>
    </row>
    <row r="3" spans="1:30" ht="16.8" x14ac:dyDescent="0.3">
      <c r="A3" s="5"/>
      <c r="B3" s="7"/>
      <c r="C3" s="7"/>
      <c r="D3" s="5"/>
      <c r="E3" s="7"/>
      <c r="F3" s="7"/>
      <c r="G3" s="7"/>
      <c r="H3" s="7"/>
      <c r="I3" s="7"/>
      <c r="J3" s="120" t="s">
        <v>17</v>
      </c>
      <c r="K3" s="120" t="s">
        <v>17</v>
      </c>
      <c r="L3" s="120" t="s">
        <v>17</v>
      </c>
      <c r="M3" s="68">
        <f t="shared" ref="M3:AA3" si="0">SUM(M5:M888)</f>
        <v>3763236605910</v>
      </c>
      <c r="N3" s="68">
        <f t="shared" si="0"/>
        <v>201799087016</v>
      </c>
      <c r="O3" s="68">
        <f t="shared" si="0"/>
        <v>10305000664</v>
      </c>
      <c r="P3" s="68">
        <f t="shared" si="0"/>
        <v>13477266691</v>
      </c>
      <c r="Q3" s="12">
        <f t="shared" si="0"/>
        <v>3988817959493</v>
      </c>
      <c r="R3" s="12">
        <f t="shared" si="0"/>
        <v>3658167941939</v>
      </c>
      <c r="S3" s="68">
        <f t="shared" si="0"/>
        <v>186498030964</v>
      </c>
      <c r="T3" s="69">
        <f t="shared" si="0"/>
        <v>8981250565</v>
      </c>
      <c r="U3" s="68">
        <f t="shared" si="0"/>
        <v>11459266691</v>
      </c>
      <c r="V3" s="54">
        <f t="shared" si="0"/>
        <v>-8686446991</v>
      </c>
      <c r="W3" s="12">
        <f t="shared" si="0"/>
        <v>105068663971</v>
      </c>
      <c r="X3" s="68">
        <f t="shared" si="0"/>
        <v>15301056053</v>
      </c>
      <c r="Y3" s="68">
        <f t="shared" si="0"/>
        <v>1323750100</v>
      </c>
      <c r="Z3" s="68">
        <f t="shared" si="0"/>
        <v>2018000000</v>
      </c>
      <c r="AA3" s="68">
        <f t="shared" si="0"/>
        <v>105376718353</v>
      </c>
      <c r="AB3" s="68"/>
      <c r="AC3" s="121"/>
      <c r="AD3" s="121"/>
    </row>
    <row r="4" spans="1:30" s="170" customFormat="1" ht="37.799999999999997" customHeight="1" x14ac:dyDescent="0.3">
      <c r="A4" s="7" t="s">
        <v>46</v>
      </c>
      <c r="B4" s="6">
        <v>376</v>
      </c>
      <c r="C4" s="7" t="s">
        <v>1077</v>
      </c>
      <c r="D4" s="7" t="s">
        <v>1558</v>
      </c>
      <c r="E4" s="7"/>
      <c r="F4" s="40" t="s">
        <v>1559</v>
      </c>
      <c r="G4" s="7" t="s">
        <v>1560</v>
      </c>
      <c r="H4" s="7"/>
      <c r="I4" s="7"/>
      <c r="J4" s="7" t="s">
        <v>1561</v>
      </c>
      <c r="K4" s="7" t="s">
        <v>24</v>
      </c>
      <c r="L4" s="7" t="s">
        <v>1562</v>
      </c>
      <c r="M4" s="109">
        <v>544448656</v>
      </c>
      <c r="N4" s="111"/>
      <c r="O4" s="109">
        <v>15000000</v>
      </c>
      <c r="P4" s="75">
        <v>72000000</v>
      </c>
      <c r="Q4" s="109">
        <f>M4+N4+O4+P4</f>
        <v>631448656</v>
      </c>
      <c r="R4" s="3">
        <v>544448656</v>
      </c>
      <c r="S4" s="5"/>
      <c r="T4" s="30">
        <v>15000000</v>
      </c>
      <c r="U4" s="7"/>
      <c r="V4" s="5"/>
      <c r="W4" s="28"/>
      <c r="X4" s="28">
        <f>N4-S4</f>
        <v>0</v>
      </c>
      <c r="Y4" s="28">
        <f>O4-T4</f>
        <v>0</v>
      </c>
      <c r="Z4" s="36">
        <f>P4-U4</f>
        <v>72000000</v>
      </c>
      <c r="AA4" s="4"/>
      <c r="AB4" s="40"/>
      <c r="AC4" s="61">
        <f>IF(AB4=G4,1,2)</f>
        <v>2</v>
      </c>
      <c r="AD4" s="61"/>
    </row>
    <row r="5" spans="1:30" customFormat="1" ht="31.2" hidden="1" x14ac:dyDescent="0.3">
      <c r="A5" s="7" t="s">
        <v>53</v>
      </c>
      <c r="B5" s="6">
        <v>440</v>
      </c>
      <c r="C5" s="7" t="s">
        <v>1785</v>
      </c>
      <c r="D5" s="7" t="s">
        <v>1840</v>
      </c>
      <c r="E5" s="5"/>
      <c r="F5" s="40" t="s">
        <v>1559</v>
      </c>
      <c r="G5" s="7" t="s">
        <v>1841</v>
      </c>
      <c r="H5" s="5"/>
      <c r="I5" s="5"/>
      <c r="J5" s="7" t="s">
        <v>1842</v>
      </c>
      <c r="K5" s="7" t="s">
        <v>24</v>
      </c>
      <c r="L5" s="7" t="s">
        <v>1843</v>
      </c>
      <c r="M5" s="109">
        <v>1804834020</v>
      </c>
      <c r="N5" s="111"/>
      <c r="O5" s="109">
        <v>15000000</v>
      </c>
      <c r="P5" s="112">
        <v>72000000</v>
      </c>
      <c r="Q5" s="109">
        <f>M5+N5+O5+P5</f>
        <v>1891834020</v>
      </c>
      <c r="R5" s="3">
        <v>1804834020</v>
      </c>
      <c r="S5" s="5"/>
      <c r="T5" s="30">
        <v>15000000</v>
      </c>
      <c r="U5" s="3">
        <v>72000000</v>
      </c>
      <c r="V5" s="5"/>
      <c r="W5" s="28"/>
      <c r="X5" s="28">
        <f>N5-S5</f>
        <v>0</v>
      </c>
      <c r="Y5" s="28">
        <f>O5-T5</f>
        <v>0</v>
      </c>
      <c r="Z5" s="28">
        <f>P5-U5</f>
        <v>0</v>
      </c>
      <c r="AA5" s="4"/>
      <c r="AB5" s="4"/>
      <c r="AC5">
        <f>IF(AB5=G5,1,2)</f>
        <v>2</v>
      </c>
    </row>
    <row r="6" spans="1:30" customFormat="1" ht="31.2" hidden="1" x14ac:dyDescent="0.3">
      <c r="A6" s="7" t="s">
        <v>62</v>
      </c>
      <c r="B6" s="6">
        <v>606</v>
      </c>
      <c r="C6" s="7" t="s">
        <v>2562</v>
      </c>
      <c r="D6" s="7" t="s">
        <v>2579</v>
      </c>
      <c r="E6" s="7" t="s">
        <v>2580</v>
      </c>
      <c r="F6" s="40" t="s">
        <v>1559</v>
      </c>
      <c r="G6" s="7" t="s">
        <v>2581</v>
      </c>
      <c r="H6" s="7" t="s">
        <v>2582</v>
      </c>
      <c r="I6" s="5"/>
      <c r="J6" s="21" t="s">
        <v>2583</v>
      </c>
      <c r="K6" s="7" t="s">
        <v>24</v>
      </c>
      <c r="L6" s="7" t="s">
        <v>2584</v>
      </c>
      <c r="M6" s="114">
        <v>1335262372</v>
      </c>
      <c r="N6" s="114">
        <v>1131203544</v>
      </c>
      <c r="O6" s="114">
        <v>15000000</v>
      </c>
      <c r="P6" s="112">
        <v>24000000</v>
      </c>
      <c r="Q6" s="109">
        <f>M6+N6+O6+P6</f>
        <v>2505465916</v>
      </c>
      <c r="R6" s="14">
        <v>1335262372</v>
      </c>
      <c r="S6" s="14">
        <v>1131203544</v>
      </c>
      <c r="T6" s="30">
        <v>15000000</v>
      </c>
      <c r="U6" s="14">
        <v>24000000</v>
      </c>
      <c r="V6" s="5"/>
      <c r="W6" s="28"/>
      <c r="X6" s="28">
        <f>N6-S6</f>
        <v>0</v>
      </c>
      <c r="Y6" s="28">
        <f>O6-T6</f>
        <v>0</v>
      </c>
      <c r="Z6" s="28">
        <f>P6-U6</f>
        <v>0</v>
      </c>
      <c r="AA6" s="4"/>
      <c r="AB6" s="4"/>
      <c r="AC6">
        <f>IF(AB6=G6,1,2)</f>
        <v>2</v>
      </c>
    </row>
    <row r="7" spans="1:30" customFormat="1" ht="31.2" hidden="1" x14ac:dyDescent="0.3">
      <c r="A7" s="7" t="s">
        <v>46</v>
      </c>
      <c r="B7" s="6">
        <v>689</v>
      </c>
      <c r="C7" s="7" t="s">
        <v>2877</v>
      </c>
      <c r="D7" s="7" t="s">
        <v>2951</v>
      </c>
      <c r="E7" s="7" t="s">
        <v>3897</v>
      </c>
      <c r="F7" s="40" t="s">
        <v>1559</v>
      </c>
      <c r="G7" s="7" t="s">
        <v>2952</v>
      </c>
      <c r="H7" s="7" t="s">
        <v>3906</v>
      </c>
      <c r="I7" s="5"/>
      <c r="J7" s="7" t="s">
        <v>2953</v>
      </c>
      <c r="K7" s="7" t="s">
        <v>24</v>
      </c>
      <c r="L7" s="7" t="s">
        <v>2954</v>
      </c>
      <c r="M7" s="109">
        <v>309253343</v>
      </c>
      <c r="N7" s="74">
        <v>1023702675</v>
      </c>
      <c r="O7" s="114">
        <v>15000000</v>
      </c>
      <c r="P7" s="112">
        <v>30000000</v>
      </c>
      <c r="Q7" s="109">
        <f>M7+N7+O7+P7</f>
        <v>1377956018</v>
      </c>
      <c r="R7" s="14">
        <v>309253343</v>
      </c>
      <c r="S7" s="36">
        <v>1023702675</v>
      </c>
      <c r="T7" s="31">
        <v>15000000</v>
      </c>
      <c r="U7" s="14">
        <v>30000000</v>
      </c>
      <c r="V7" s="5"/>
      <c r="W7" s="28"/>
      <c r="X7" s="36">
        <f>N7-S7</f>
        <v>0</v>
      </c>
      <c r="Y7" s="28">
        <f>O7-T7</f>
        <v>0</v>
      </c>
      <c r="Z7" s="28">
        <f>P7-U7</f>
        <v>0</v>
      </c>
      <c r="AA7" s="40"/>
      <c r="AB7" s="40"/>
      <c r="AC7" s="61">
        <f>IF(AB7=G7,1,2)</f>
        <v>2</v>
      </c>
      <c r="AD7" s="61"/>
    </row>
    <row r="8" spans="1:30" customFormat="1" ht="62.4" hidden="1" x14ac:dyDescent="0.3">
      <c r="A8" s="7" t="s">
        <v>62</v>
      </c>
      <c r="B8" s="6">
        <v>775</v>
      </c>
      <c r="C8" s="7" t="s">
        <v>3313</v>
      </c>
      <c r="D8" s="7" t="s">
        <v>3335</v>
      </c>
      <c r="E8" s="7" t="s">
        <v>3336</v>
      </c>
      <c r="F8" s="40" t="s">
        <v>3907</v>
      </c>
      <c r="G8" s="7" t="s">
        <v>3337</v>
      </c>
      <c r="H8" s="7" t="s">
        <v>3338</v>
      </c>
      <c r="I8" s="7" t="s">
        <v>3324</v>
      </c>
      <c r="J8" s="21" t="s">
        <v>3339</v>
      </c>
      <c r="K8" s="7" t="s">
        <v>24</v>
      </c>
      <c r="L8" s="7" t="s">
        <v>2856</v>
      </c>
      <c r="M8" s="114">
        <v>563400736</v>
      </c>
      <c r="N8" s="114">
        <v>138350184</v>
      </c>
      <c r="O8" s="114">
        <v>15000000</v>
      </c>
      <c r="P8" s="112">
        <v>72000000</v>
      </c>
      <c r="Q8" s="109">
        <f>M8+N8+O8+P8</f>
        <v>788750920</v>
      </c>
      <c r="R8" s="14">
        <v>563400736</v>
      </c>
      <c r="S8" s="14">
        <v>138350184</v>
      </c>
      <c r="T8" s="30">
        <v>15000000</v>
      </c>
      <c r="U8" s="14">
        <v>72000000</v>
      </c>
      <c r="V8" s="5"/>
      <c r="W8" s="28"/>
      <c r="X8" s="28">
        <f>N8-S8</f>
        <v>0</v>
      </c>
      <c r="Y8" s="28">
        <f>O8-T8</f>
        <v>0</v>
      </c>
      <c r="Z8" s="28">
        <f>P8-U8</f>
        <v>0</v>
      </c>
      <c r="AA8" s="4"/>
      <c r="AB8" s="4"/>
      <c r="AC8">
        <f>IF(AB8=G8,1,2)</f>
        <v>2</v>
      </c>
    </row>
    <row r="9" spans="1:30" ht="31.2" x14ac:dyDescent="0.3">
      <c r="A9" s="7" t="s">
        <v>1601</v>
      </c>
      <c r="B9" s="6">
        <v>812</v>
      </c>
      <c r="C9" s="7" t="s">
        <v>3506</v>
      </c>
      <c r="D9" s="7" t="s">
        <v>3507</v>
      </c>
      <c r="E9" s="7" t="s">
        <v>3508</v>
      </c>
      <c r="F9" s="40" t="s">
        <v>3840</v>
      </c>
      <c r="G9" s="7" t="s">
        <v>3509</v>
      </c>
      <c r="H9" s="7" t="s">
        <v>3510</v>
      </c>
      <c r="I9" s="7"/>
      <c r="J9" s="7" t="s">
        <v>3511</v>
      </c>
      <c r="K9" s="7" t="s">
        <v>24</v>
      </c>
      <c r="L9" s="7" t="s">
        <v>3512</v>
      </c>
      <c r="M9" s="109">
        <v>2652068258</v>
      </c>
      <c r="N9" s="109">
        <v>680801625</v>
      </c>
      <c r="O9" s="109">
        <v>15000000</v>
      </c>
      <c r="P9" s="75">
        <v>24000000</v>
      </c>
      <c r="Q9" s="109">
        <f>M9+N9+O9+P9</f>
        <v>3371869883</v>
      </c>
      <c r="R9" s="5"/>
      <c r="S9" s="7"/>
      <c r="T9" s="72"/>
      <c r="U9" s="7"/>
      <c r="V9" s="5"/>
      <c r="W9" s="28">
        <v>2652068258</v>
      </c>
      <c r="X9" s="36">
        <f>N9-S9</f>
        <v>680801625</v>
      </c>
      <c r="Y9" s="36">
        <f>O9-T9</f>
        <v>15000000</v>
      </c>
      <c r="Z9" s="36">
        <f>P9-U9</f>
        <v>24000000</v>
      </c>
      <c r="AA9" s="10">
        <v>2652068258</v>
      </c>
      <c r="AB9" s="40"/>
      <c r="AC9" s="121">
        <f>IF(AB9=G9,1,2)</f>
        <v>2</v>
      </c>
      <c r="AD9" s="121"/>
    </row>
    <row r="10" spans="1:30" customFormat="1" ht="31.2" hidden="1" x14ac:dyDescent="0.3">
      <c r="A10" s="7" t="s">
        <v>62</v>
      </c>
      <c r="B10" s="6">
        <v>442</v>
      </c>
      <c r="C10" s="7" t="s">
        <v>1785</v>
      </c>
      <c r="D10" s="7" t="s">
        <v>1848</v>
      </c>
      <c r="E10" s="7" t="s">
        <v>1850</v>
      </c>
      <c r="F10" s="40" t="s">
        <v>1849</v>
      </c>
      <c r="G10" s="7" t="s">
        <v>1851</v>
      </c>
      <c r="H10" s="7" t="s">
        <v>1852</v>
      </c>
      <c r="I10" s="5"/>
      <c r="J10" s="7" t="s">
        <v>1853</v>
      </c>
      <c r="K10" s="7" t="s">
        <v>24</v>
      </c>
      <c r="L10" s="7" t="s">
        <v>1854</v>
      </c>
      <c r="M10" s="109">
        <v>1155653236</v>
      </c>
      <c r="N10" s="109">
        <v>1188367986</v>
      </c>
      <c r="O10" s="109">
        <v>15000000</v>
      </c>
      <c r="P10" s="112">
        <v>24000000</v>
      </c>
      <c r="Q10" s="109">
        <f>M10+N10+O10+P10</f>
        <v>2383021222</v>
      </c>
      <c r="R10" s="3">
        <v>1155653236</v>
      </c>
      <c r="S10" s="3">
        <v>1188367986</v>
      </c>
      <c r="T10" s="30">
        <v>15000000</v>
      </c>
      <c r="U10" s="3">
        <v>24000000</v>
      </c>
      <c r="V10" s="5"/>
      <c r="W10" s="28"/>
      <c r="X10" s="28">
        <f>N10-S10</f>
        <v>0</v>
      </c>
      <c r="Y10" s="28">
        <f>O10-T10</f>
        <v>0</v>
      </c>
      <c r="Z10" s="28">
        <f>P10-U10</f>
        <v>0</v>
      </c>
      <c r="AA10" s="4"/>
      <c r="AB10" s="4"/>
      <c r="AC10">
        <f>IF(AB10=G10,1,2)</f>
        <v>2</v>
      </c>
    </row>
    <row r="11" spans="1:30" customFormat="1" ht="46.8" hidden="1" x14ac:dyDescent="0.3">
      <c r="A11" s="7" t="s">
        <v>46</v>
      </c>
      <c r="B11" s="6">
        <v>708</v>
      </c>
      <c r="C11" s="7" t="s">
        <v>2877</v>
      </c>
      <c r="D11" s="7" t="s">
        <v>3034</v>
      </c>
      <c r="E11" s="5"/>
      <c r="F11" s="40" t="s">
        <v>2139</v>
      </c>
      <c r="G11" s="7" t="s">
        <v>3035</v>
      </c>
      <c r="H11" s="7" t="s">
        <v>27</v>
      </c>
      <c r="I11" s="5"/>
      <c r="J11" s="21" t="s">
        <v>3036</v>
      </c>
      <c r="K11" s="7" t="s">
        <v>24</v>
      </c>
      <c r="L11" s="7" t="s">
        <v>3037</v>
      </c>
      <c r="M11" s="114">
        <v>2877293872</v>
      </c>
      <c r="N11" s="111"/>
      <c r="O11" s="114">
        <v>15000000</v>
      </c>
      <c r="P11" s="112">
        <v>32000000</v>
      </c>
      <c r="Q11" s="109">
        <f>M11+N11+O11+P11</f>
        <v>2924293872</v>
      </c>
      <c r="R11" s="14">
        <v>2877293872</v>
      </c>
      <c r="S11" s="5"/>
      <c r="T11" s="30">
        <v>15000000</v>
      </c>
      <c r="U11" s="14">
        <v>32000000</v>
      </c>
      <c r="V11" s="5"/>
      <c r="W11" s="28"/>
      <c r="X11" s="28">
        <f>N11-S11</f>
        <v>0</v>
      </c>
      <c r="Y11" s="28">
        <f>O11-T11</f>
        <v>0</v>
      </c>
      <c r="Z11" s="28">
        <f>P11-U11</f>
        <v>0</v>
      </c>
      <c r="AA11" s="4"/>
      <c r="AB11" s="4"/>
      <c r="AC11">
        <f>IF(AB11=G11,1,2)</f>
        <v>2</v>
      </c>
    </row>
    <row r="12" spans="1:30" customFormat="1" ht="78" hidden="1" x14ac:dyDescent="0.3">
      <c r="A12" s="7" t="s">
        <v>53</v>
      </c>
      <c r="B12" s="6">
        <v>506</v>
      </c>
      <c r="C12" s="7" t="s">
        <v>2020</v>
      </c>
      <c r="D12" s="7" t="s">
        <v>2138</v>
      </c>
      <c r="E12" s="5"/>
      <c r="F12" s="40" t="s">
        <v>3881</v>
      </c>
      <c r="G12" s="7" t="s">
        <v>2140</v>
      </c>
      <c r="H12" s="5"/>
      <c r="I12" s="5"/>
      <c r="J12" s="7" t="s">
        <v>2141</v>
      </c>
      <c r="K12" s="7" t="s">
        <v>24</v>
      </c>
      <c r="L12" s="7" t="s">
        <v>2142</v>
      </c>
      <c r="M12" s="109">
        <v>3890846788</v>
      </c>
      <c r="N12" s="111"/>
      <c r="O12" s="109">
        <v>15000000</v>
      </c>
      <c r="P12" s="112">
        <v>72000000</v>
      </c>
      <c r="Q12" s="109">
        <f>M12+N12+O12+P12</f>
        <v>3977846788</v>
      </c>
      <c r="R12" s="3">
        <v>3890846788</v>
      </c>
      <c r="S12" s="5"/>
      <c r="T12" s="30">
        <v>15000000</v>
      </c>
      <c r="U12" s="3">
        <v>72000000</v>
      </c>
      <c r="V12" s="5"/>
      <c r="W12" s="28"/>
      <c r="X12" s="28">
        <f>N12-S12</f>
        <v>0</v>
      </c>
      <c r="Y12" s="28">
        <f>O12-T12</f>
        <v>0</v>
      </c>
      <c r="Z12" s="28">
        <f>P12-U12</f>
        <v>0</v>
      </c>
      <c r="AA12" s="4"/>
      <c r="AB12" s="4"/>
      <c r="AC12">
        <f>IF(AB12=G12,1,2)</f>
        <v>2</v>
      </c>
    </row>
    <row r="13" spans="1:30" customFormat="1" ht="46.8" hidden="1" x14ac:dyDescent="0.3">
      <c r="A13" s="7" t="s">
        <v>18</v>
      </c>
      <c r="B13" s="6">
        <v>358</v>
      </c>
      <c r="C13" s="7" t="s">
        <v>1077</v>
      </c>
      <c r="D13" s="7" t="s">
        <v>1482</v>
      </c>
      <c r="E13" s="5"/>
      <c r="F13" s="40" t="s">
        <v>1483</v>
      </c>
      <c r="G13" s="7" t="s">
        <v>1484</v>
      </c>
      <c r="H13" s="5"/>
      <c r="I13" s="5"/>
      <c r="J13" s="7" t="s">
        <v>1485</v>
      </c>
      <c r="K13" s="7" t="s">
        <v>24</v>
      </c>
      <c r="L13" s="7" t="s">
        <v>1432</v>
      </c>
      <c r="M13" s="109">
        <v>10000000</v>
      </c>
      <c r="N13" s="111"/>
      <c r="O13" s="109">
        <v>15000000</v>
      </c>
      <c r="P13" s="112">
        <v>30000000</v>
      </c>
      <c r="Q13" s="109">
        <f>M13+N13+O13+P13</f>
        <v>55000000</v>
      </c>
      <c r="R13" s="3">
        <v>10000000</v>
      </c>
      <c r="S13" s="5"/>
      <c r="T13" s="30">
        <v>15000000</v>
      </c>
      <c r="U13" s="3">
        <v>30000000</v>
      </c>
      <c r="V13" s="5"/>
      <c r="W13" s="28"/>
      <c r="X13" s="28">
        <f>N13-S13</f>
        <v>0</v>
      </c>
      <c r="Y13" s="28">
        <f>O13-T13</f>
        <v>0</v>
      </c>
      <c r="Z13" s="28">
        <f>P13-U13</f>
        <v>0</v>
      </c>
      <c r="AA13" s="4"/>
      <c r="AB13" s="4"/>
      <c r="AC13">
        <f>IF(AB13=G13,1,2)</f>
        <v>2</v>
      </c>
    </row>
    <row r="14" spans="1:30" customFormat="1" ht="31.2" hidden="1" x14ac:dyDescent="0.3">
      <c r="A14" s="7" t="s">
        <v>62</v>
      </c>
      <c r="B14" s="6">
        <v>70</v>
      </c>
      <c r="C14" s="7" t="s">
        <v>205</v>
      </c>
      <c r="D14" s="7" t="s">
        <v>205</v>
      </c>
      <c r="E14" s="5"/>
      <c r="F14" s="40" t="s">
        <v>264</v>
      </c>
      <c r="G14" s="7" t="s">
        <v>265</v>
      </c>
      <c r="H14" s="5"/>
      <c r="I14" s="5"/>
      <c r="J14" s="7" t="s">
        <v>266</v>
      </c>
      <c r="K14" s="7" t="s">
        <v>24</v>
      </c>
      <c r="L14" s="7" t="s">
        <v>267</v>
      </c>
      <c r="M14" s="109">
        <v>3419539969</v>
      </c>
      <c r="N14" s="111"/>
      <c r="O14" s="109">
        <v>15000000</v>
      </c>
      <c r="P14" s="112">
        <v>96000000</v>
      </c>
      <c r="Q14" s="109">
        <f>M14+N14+O14+P14</f>
        <v>3530539969</v>
      </c>
      <c r="R14" s="36">
        <v>3419539969</v>
      </c>
      <c r="S14" s="5"/>
      <c r="T14" s="30">
        <v>15000000</v>
      </c>
      <c r="U14" s="3">
        <v>96000000</v>
      </c>
      <c r="V14" s="5"/>
      <c r="W14" s="28"/>
      <c r="X14" s="28">
        <f>N14-S14</f>
        <v>0</v>
      </c>
      <c r="Y14" s="28">
        <f>O14-T14</f>
        <v>0</v>
      </c>
      <c r="Z14" s="28">
        <f>P14-U14</f>
        <v>0</v>
      </c>
      <c r="AA14" s="4"/>
      <c r="AB14" s="4"/>
      <c r="AC14">
        <f>IF(AB14=G14,1,2)</f>
        <v>2</v>
      </c>
    </row>
    <row r="15" spans="1:30" customFormat="1" ht="31.2" hidden="1" x14ac:dyDescent="0.3">
      <c r="A15" s="7" t="s">
        <v>53</v>
      </c>
      <c r="B15" s="6">
        <v>157</v>
      </c>
      <c r="C15" s="7" t="s">
        <v>574</v>
      </c>
      <c r="D15" s="7" t="s">
        <v>579</v>
      </c>
      <c r="E15" s="7" t="s">
        <v>389</v>
      </c>
      <c r="F15" s="40" t="s">
        <v>264</v>
      </c>
      <c r="G15" s="7" t="s">
        <v>580</v>
      </c>
      <c r="H15" s="7" t="s">
        <v>21</v>
      </c>
      <c r="I15" s="5"/>
      <c r="J15" s="7" t="s">
        <v>581</v>
      </c>
      <c r="K15" s="7" t="s">
        <v>24</v>
      </c>
      <c r="L15" s="7" t="s">
        <v>582</v>
      </c>
      <c r="M15" s="109">
        <v>1901994350</v>
      </c>
      <c r="N15" s="109">
        <v>63527270</v>
      </c>
      <c r="O15" s="109">
        <v>15000000</v>
      </c>
      <c r="P15" s="112">
        <v>90000000</v>
      </c>
      <c r="Q15" s="109">
        <f>M15+N15+O15+P15</f>
        <v>2070521620</v>
      </c>
      <c r="R15" s="3">
        <v>1901994350</v>
      </c>
      <c r="S15" s="3">
        <v>63527270</v>
      </c>
      <c r="T15" s="30">
        <v>15000000</v>
      </c>
      <c r="U15" s="3">
        <v>90000000</v>
      </c>
      <c r="V15" s="5"/>
      <c r="W15" s="28"/>
      <c r="X15" s="28">
        <f>N15-S15</f>
        <v>0</v>
      </c>
      <c r="Y15" s="28">
        <f>O15-T15</f>
        <v>0</v>
      </c>
      <c r="Z15" s="28">
        <f>P15-U15</f>
        <v>0</v>
      </c>
      <c r="AA15" s="4"/>
      <c r="AB15" s="4"/>
      <c r="AC15">
        <f>IF(AB15=G15,1,2)</f>
        <v>2</v>
      </c>
    </row>
    <row r="16" spans="1:30" customFormat="1" ht="62.4" hidden="1" x14ac:dyDescent="0.3">
      <c r="A16" s="7" t="s">
        <v>46</v>
      </c>
      <c r="B16" s="6">
        <v>384</v>
      </c>
      <c r="C16" s="7" t="s">
        <v>1591</v>
      </c>
      <c r="D16" s="7" t="s">
        <v>1596</v>
      </c>
      <c r="E16" s="5"/>
      <c r="F16" s="40" t="s">
        <v>1597</v>
      </c>
      <c r="G16" s="7" t="s">
        <v>1598</v>
      </c>
      <c r="H16" s="5"/>
      <c r="I16" s="5"/>
      <c r="J16" s="7" t="s">
        <v>1599</v>
      </c>
      <c r="K16" s="7" t="s">
        <v>24</v>
      </c>
      <c r="L16" s="7" t="s">
        <v>1600</v>
      </c>
      <c r="M16" s="109">
        <v>3413351616</v>
      </c>
      <c r="N16" s="111"/>
      <c r="O16" s="109">
        <v>15000000</v>
      </c>
      <c r="P16" s="112">
        <v>126000000</v>
      </c>
      <c r="Q16" s="109">
        <f>M16+N16+O16+P16</f>
        <v>3554351616</v>
      </c>
      <c r="R16" s="3">
        <v>3413351616</v>
      </c>
      <c r="S16" s="5"/>
      <c r="T16" s="30">
        <v>15000000</v>
      </c>
      <c r="U16" s="3">
        <v>126000000</v>
      </c>
      <c r="V16" s="5"/>
      <c r="W16" s="28"/>
      <c r="X16" s="28">
        <f>N16-S16</f>
        <v>0</v>
      </c>
      <c r="Y16" s="28">
        <f>O16-T16</f>
        <v>0</v>
      </c>
      <c r="Z16" s="28">
        <f>P16-U16</f>
        <v>0</v>
      </c>
      <c r="AA16" s="4"/>
      <c r="AB16" s="4"/>
      <c r="AC16">
        <f>IF(AB16=G16,1,2)</f>
        <v>2</v>
      </c>
    </row>
    <row r="17" spans="1:30" customFormat="1" ht="62.4" hidden="1" x14ac:dyDescent="0.3">
      <c r="A17" s="7" t="s">
        <v>18</v>
      </c>
      <c r="B17" s="6">
        <v>494</v>
      </c>
      <c r="C17" s="7" t="s">
        <v>2020</v>
      </c>
      <c r="D17" s="7" t="s">
        <v>2089</v>
      </c>
      <c r="E17" s="5"/>
      <c r="F17" s="40" t="s">
        <v>1597</v>
      </c>
      <c r="G17" s="7" t="s">
        <v>2090</v>
      </c>
      <c r="H17" s="5"/>
      <c r="I17" s="5"/>
      <c r="J17" s="7" t="s">
        <v>2091</v>
      </c>
      <c r="K17" s="7" t="s">
        <v>24</v>
      </c>
      <c r="L17" s="7" t="s">
        <v>2092</v>
      </c>
      <c r="M17" s="109">
        <v>10000000</v>
      </c>
      <c r="N17" s="111"/>
      <c r="O17" s="109">
        <v>15000000</v>
      </c>
      <c r="P17" s="112">
        <v>72000000</v>
      </c>
      <c r="Q17" s="109">
        <f>M17+N17+O17+P17</f>
        <v>97000000</v>
      </c>
      <c r="R17" s="28">
        <v>10000000</v>
      </c>
      <c r="S17" s="5"/>
      <c r="T17" s="31">
        <v>15000000</v>
      </c>
      <c r="U17" s="28">
        <v>72000000</v>
      </c>
      <c r="V17" s="5"/>
      <c r="W17" s="28"/>
      <c r="X17" s="28">
        <f>N17-S17</f>
        <v>0</v>
      </c>
      <c r="Y17" s="28">
        <f>O17-T17</f>
        <v>0</v>
      </c>
      <c r="Z17" s="28">
        <f>P17-U17</f>
        <v>0</v>
      </c>
      <c r="AA17" s="8"/>
      <c r="AB17" s="4"/>
      <c r="AC17">
        <f>IF(AB17=G17,1,2)</f>
        <v>2</v>
      </c>
    </row>
    <row r="18" spans="1:30" customFormat="1" ht="62.4" hidden="1" x14ac:dyDescent="0.3">
      <c r="A18" s="7" t="s">
        <v>62</v>
      </c>
      <c r="B18" s="6">
        <v>778</v>
      </c>
      <c r="C18" s="7" t="s">
        <v>3313</v>
      </c>
      <c r="D18" s="7" t="s">
        <v>3349</v>
      </c>
      <c r="E18" s="5"/>
      <c r="F18" s="40" t="s">
        <v>1597</v>
      </c>
      <c r="G18" s="7" t="s">
        <v>3350</v>
      </c>
      <c r="H18" s="5"/>
      <c r="I18" s="7" t="s">
        <v>3324</v>
      </c>
      <c r="J18" s="21" t="s">
        <v>3351</v>
      </c>
      <c r="K18" s="7" t="s">
        <v>24</v>
      </c>
      <c r="L18" s="7" t="s">
        <v>3352</v>
      </c>
      <c r="M18" s="114">
        <v>805645312</v>
      </c>
      <c r="N18" s="111"/>
      <c r="O18" s="114">
        <v>15000000</v>
      </c>
      <c r="P18" s="112">
        <v>72000000</v>
      </c>
      <c r="Q18" s="109">
        <f>M18+N18+O18+P18</f>
        <v>892645312</v>
      </c>
      <c r="R18" s="14">
        <v>805645312</v>
      </c>
      <c r="S18" s="5"/>
      <c r="T18" s="30">
        <v>15000000</v>
      </c>
      <c r="U18" s="14">
        <v>72000000</v>
      </c>
      <c r="V18" s="5"/>
      <c r="W18" s="28"/>
      <c r="X18" s="28">
        <f>N18-S18</f>
        <v>0</v>
      </c>
      <c r="Y18" s="28">
        <f>O18-T18</f>
        <v>0</v>
      </c>
      <c r="Z18" s="28">
        <f>P18-U18</f>
        <v>0</v>
      </c>
      <c r="AA18" s="4"/>
      <c r="AB18" s="4"/>
      <c r="AC18">
        <f>IF(AB18=G18,1,2)</f>
        <v>2</v>
      </c>
    </row>
    <row r="19" spans="1:30" customFormat="1" ht="63" hidden="1" x14ac:dyDescent="0.3">
      <c r="A19" s="7" t="s">
        <v>18</v>
      </c>
      <c r="B19" s="6">
        <v>808</v>
      </c>
      <c r="C19" s="7" t="s">
        <v>3313</v>
      </c>
      <c r="D19" s="7" t="s">
        <v>3486</v>
      </c>
      <c r="E19" s="7" t="s">
        <v>3487</v>
      </c>
      <c r="F19" s="40" t="s">
        <v>1597</v>
      </c>
      <c r="G19" s="7" t="s">
        <v>3488</v>
      </c>
      <c r="H19" s="7" t="s">
        <v>3489</v>
      </c>
      <c r="I19" s="6" t="s">
        <v>3490</v>
      </c>
      <c r="J19" s="21" t="s">
        <v>3491</v>
      </c>
      <c r="K19" s="7" t="s">
        <v>24</v>
      </c>
      <c r="L19" s="7" t="s">
        <v>3352</v>
      </c>
      <c r="M19" s="114">
        <v>1042844736</v>
      </c>
      <c r="N19" s="114">
        <v>353989728</v>
      </c>
      <c r="O19" s="114">
        <v>15000000</v>
      </c>
      <c r="P19" s="112">
        <v>108000000</v>
      </c>
      <c r="Q19" s="109">
        <f>M19+N19+O19+P19</f>
        <v>1519834464</v>
      </c>
      <c r="R19" s="14">
        <v>1042844736</v>
      </c>
      <c r="S19" s="3">
        <v>353989728</v>
      </c>
      <c r="T19" s="30">
        <v>15000000</v>
      </c>
      <c r="U19" s="3">
        <v>108000000</v>
      </c>
      <c r="V19" s="5"/>
      <c r="W19" s="28"/>
      <c r="X19" s="28">
        <f>N19-S19</f>
        <v>0</v>
      </c>
      <c r="Y19" s="28">
        <f>O19-T19</f>
        <v>0</v>
      </c>
      <c r="Z19" s="28">
        <f>P19-U19</f>
        <v>0</v>
      </c>
      <c r="AA19" s="4"/>
      <c r="AB19" s="4"/>
      <c r="AC19">
        <f>IF(AB19=G19,1,2)</f>
        <v>2</v>
      </c>
    </row>
    <row r="20" spans="1:30" customFormat="1" ht="31.2" hidden="1" x14ac:dyDescent="0.3">
      <c r="A20" s="7" t="s">
        <v>62</v>
      </c>
      <c r="B20" s="6">
        <v>341</v>
      </c>
      <c r="C20" s="7" t="s">
        <v>1077</v>
      </c>
      <c r="D20" s="7" t="s">
        <v>1411</v>
      </c>
      <c r="E20" s="5"/>
      <c r="F20" s="40" t="s">
        <v>1412</v>
      </c>
      <c r="G20" s="7" t="s">
        <v>1413</v>
      </c>
      <c r="H20" s="5"/>
      <c r="I20" s="5"/>
      <c r="J20" s="7" t="s">
        <v>1414</v>
      </c>
      <c r="K20" s="7" t="s">
        <v>24</v>
      </c>
      <c r="L20" s="7" t="s">
        <v>1415</v>
      </c>
      <c r="M20" s="109">
        <v>15179235900</v>
      </c>
      <c r="N20" s="111"/>
      <c r="O20" s="109">
        <v>15000000</v>
      </c>
      <c r="P20" s="112">
        <v>96000000</v>
      </c>
      <c r="Q20" s="109">
        <f>M20+N20+O20+P20</f>
        <v>15290235900</v>
      </c>
      <c r="R20" s="3">
        <v>15179235900</v>
      </c>
      <c r="S20" s="5"/>
      <c r="T20" s="30">
        <v>15000000</v>
      </c>
      <c r="U20" s="3">
        <v>96000000</v>
      </c>
      <c r="V20" s="5"/>
      <c r="W20" s="28"/>
      <c r="X20" s="28">
        <f>N20-S20</f>
        <v>0</v>
      </c>
      <c r="Y20" s="28">
        <f>O20-T20</f>
        <v>0</v>
      </c>
      <c r="Z20" s="28">
        <f>P20-U20</f>
        <v>0</v>
      </c>
      <c r="AA20" s="4"/>
      <c r="AB20" s="4"/>
      <c r="AC20">
        <f>IF(AB20=G20,1,2)</f>
        <v>2</v>
      </c>
    </row>
    <row r="21" spans="1:30" customFormat="1" ht="62.4" hidden="1" x14ac:dyDescent="0.3">
      <c r="A21" s="7" t="s">
        <v>62</v>
      </c>
      <c r="B21" s="6">
        <v>787</v>
      </c>
      <c r="C21" s="7" t="s">
        <v>3313</v>
      </c>
      <c r="D21" s="7" t="s">
        <v>3392</v>
      </c>
      <c r="E21" s="5"/>
      <c r="F21" s="40" t="s">
        <v>3393</v>
      </c>
      <c r="G21" s="7" t="s">
        <v>3394</v>
      </c>
      <c r="H21" s="5"/>
      <c r="I21" s="7" t="s">
        <v>3324</v>
      </c>
      <c r="J21" s="21" t="s">
        <v>3395</v>
      </c>
      <c r="K21" s="7" t="s">
        <v>24</v>
      </c>
      <c r="L21" s="7" t="s">
        <v>3396</v>
      </c>
      <c r="M21" s="114">
        <v>444381674</v>
      </c>
      <c r="N21" s="111"/>
      <c r="O21" s="114">
        <v>15000000</v>
      </c>
      <c r="P21" s="112">
        <v>72000000</v>
      </c>
      <c r="Q21" s="109">
        <f>M21+N21+O21+P21</f>
        <v>531381674</v>
      </c>
      <c r="R21" s="14">
        <v>444381674</v>
      </c>
      <c r="S21" s="5"/>
      <c r="T21" s="33">
        <v>15000000</v>
      </c>
      <c r="U21" s="14">
        <v>72000000</v>
      </c>
      <c r="V21" s="5"/>
      <c r="W21" s="28"/>
      <c r="X21" s="28">
        <f>N21-S21</f>
        <v>0</v>
      </c>
      <c r="Y21" s="28">
        <f>O21-T21</f>
        <v>0</v>
      </c>
      <c r="Z21" s="28">
        <f>P21-U21</f>
        <v>0</v>
      </c>
      <c r="AA21" s="4"/>
      <c r="AB21" s="4"/>
      <c r="AC21">
        <f>IF(AB21=G21,1,2)</f>
        <v>2</v>
      </c>
    </row>
    <row r="22" spans="1:30" customFormat="1" ht="78" hidden="1" x14ac:dyDescent="0.3">
      <c r="A22" s="7" t="s">
        <v>1601</v>
      </c>
      <c r="B22" s="6">
        <v>755</v>
      </c>
      <c r="C22" s="7" t="s">
        <v>2877</v>
      </c>
      <c r="D22" s="7" t="s">
        <v>3248</v>
      </c>
      <c r="E22" s="5"/>
      <c r="F22" s="40" t="s">
        <v>3249</v>
      </c>
      <c r="G22" s="7" t="s">
        <v>3250</v>
      </c>
      <c r="H22" s="5"/>
      <c r="I22" s="5"/>
      <c r="J22" s="21" t="s">
        <v>3251</v>
      </c>
      <c r="K22" s="7" t="s">
        <v>24</v>
      </c>
      <c r="L22" s="7" t="s">
        <v>3252</v>
      </c>
      <c r="M22" s="114">
        <v>10000000</v>
      </c>
      <c r="N22" s="111"/>
      <c r="O22" s="114">
        <v>15000000</v>
      </c>
      <c r="P22" s="112">
        <v>72000000</v>
      </c>
      <c r="Q22" s="109">
        <f>M22+N22+O22+P22</f>
        <v>97000000</v>
      </c>
      <c r="R22" s="14">
        <v>10000000</v>
      </c>
      <c r="S22" s="5"/>
      <c r="T22" s="30">
        <v>15000000</v>
      </c>
      <c r="U22" s="14">
        <v>72000000</v>
      </c>
      <c r="V22" s="5"/>
      <c r="W22" s="28"/>
      <c r="X22" s="28">
        <f>N22-S22</f>
        <v>0</v>
      </c>
      <c r="Y22" s="28">
        <f>O22-T22</f>
        <v>0</v>
      </c>
      <c r="Z22" s="28">
        <f>P22-U22</f>
        <v>0</v>
      </c>
      <c r="AA22" s="4"/>
      <c r="AB22" s="4"/>
      <c r="AC22">
        <f>IF(AB22=G22,1,2)</f>
        <v>2</v>
      </c>
    </row>
    <row r="23" spans="1:30" customFormat="1" ht="62.4" hidden="1" x14ac:dyDescent="0.3">
      <c r="A23" s="7" t="s">
        <v>62</v>
      </c>
      <c r="B23" s="6">
        <v>621</v>
      </c>
      <c r="C23" s="7" t="s">
        <v>2562</v>
      </c>
      <c r="D23" s="7" t="s">
        <v>2647</v>
      </c>
      <c r="E23" s="7" t="s">
        <v>2649</v>
      </c>
      <c r="F23" s="40" t="s">
        <v>3882</v>
      </c>
      <c r="G23" s="7" t="s">
        <v>2650</v>
      </c>
      <c r="H23" s="7" t="s">
        <v>2651</v>
      </c>
      <c r="I23" s="5"/>
      <c r="J23" s="21" t="s">
        <v>2652</v>
      </c>
      <c r="K23" s="7" t="s">
        <v>24</v>
      </c>
      <c r="L23" s="7" t="s">
        <v>2653</v>
      </c>
      <c r="M23" s="114">
        <v>1634989243</v>
      </c>
      <c r="N23" s="114">
        <v>115406760</v>
      </c>
      <c r="O23" s="114">
        <v>15000000</v>
      </c>
      <c r="P23" s="112">
        <v>90000000</v>
      </c>
      <c r="Q23" s="109">
        <f>M23+N23+O23+P23</f>
        <v>1855396003</v>
      </c>
      <c r="R23" s="14">
        <v>1634989243</v>
      </c>
      <c r="S23" s="3">
        <v>115406760</v>
      </c>
      <c r="T23" s="30">
        <v>15000000</v>
      </c>
      <c r="U23" s="14">
        <v>90000000</v>
      </c>
      <c r="V23" s="5"/>
      <c r="W23" s="28"/>
      <c r="X23" s="28">
        <f>N23-S23</f>
        <v>0</v>
      </c>
      <c r="Y23" s="28">
        <f>O23-T23</f>
        <v>0</v>
      </c>
      <c r="Z23" s="28">
        <f>P23-U23</f>
        <v>0</v>
      </c>
      <c r="AA23" s="4"/>
      <c r="AB23" s="4"/>
      <c r="AC23">
        <f>IF(AB23=G23,1,2)</f>
        <v>2</v>
      </c>
    </row>
    <row r="24" spans="1:30" customFormat="1" ht="46.8" hidden="1" x14ac:dyDescent="0.3">
      <c r="A24" s="7" t="s">
        <v>46</v>
      </c>
      <c r="B24" s="6">
        <v>397</v>
      </c>
      <c r="C24" s="7" t="s">
        <v>1591</v>
      </c>
      <c r="D24" s="7" t="s">
        <v>1653</v>
      </c>
      <c r="E24" s="5"/>
      <c r="F24" s="40" t="s">
        <v>1654</v>
      </c>
      <c r="G24" s="7" t="s">
        <v>1655</v>
      </c>
      <c r="H24" s="7" t="s">
        <v>1656</v>
      </c>
      <c r="I24" s="5"/>
      <c r="J24" s="7" t="s">
        <v>1657</v>
      </c>
      <c r="K24" s="7" t="s">
        <v>24</v>
      </c>
      <c r="L24" s="7" t="s">
        <v>1631</v>
      </c>
      <c r="M24" s="109">
        <v>1599436369</v>
      </c>
      <c r="N24" s="111"/>
      <c r="O24" s="109">
        <v>15000000</v>
      </c>
      <c r="P24" s="112">
        <v>48000000</v>
      </c>
      <c r="Q24" s="109">
        <f>M24+N24+O24+P24</f>
        <v>1662436369</v>
      </c>
      <c r="R24" s="3">
        <v>1599436369</v>
      </c>
      <c r="S24" s="5"/>
      <c r="T24" s="30">
        <v>15000000</v>
      </c>
      <c r="U24" s="3">
        <v>48000000</v>
      </c>
      <c r="V24" s="5"/>
      <c r="W24" s="28"/>
      <c r="X24" s="28">
        <f>N24-S24</f>
        <v>0</v>
      </c>
      <c r="Y24" s="28">
        <f>O24-T24</f>
        <v>0</v>
      </c>
      <c r="Z24" s="28">
        <f>P24-U24</f>
        <v>0</v>
      </c>
      <c r="AA24" s="4"/>
      <c r="AB24" s="4"/>
      <c r="AC24">
        <f>IF(AB24=G24,1,2)</f>
        <v>2</v>
      </c>
    </row>
    <row r="25" spans="1:30" customFormat="1" ht="46.8" hidden="1" x14ac:dyDescent="0.3">
      <c r="A25" s="7" t="s">
        <v>1601</v>
      </c>
      <c r="B25" s="6">
        <v>405</v>
      </c>
      <c r="C25" s="7" t="s">
        <v>1591</v>
      </c>
      <c r="D25" s="7" t="s">
        <v>1689</v>
      </c>
      <c r="E25" s="5"/>
      <c r="F25" s="40" t="s">
        <v>1654</v>
      </c>
      <c r="G25" s="7" t="s">
        <v>1690</v>
      </c>
      <c r="H25" s="5"/>
      <c r="I25" s="5"/>
      <c r="J25" s="7" t="s">
        <v>1691</v>
      </c>
      <c r="K25" s="7" t="s">
        <v>24</v>
      </c>
      <c r="L25" s="7" t="s">
        <v>1692</v>
      </c>
      <c r="M25" s="109">
        <v>4490379050</v>
      </c>
      <c r="N25" s="111"/>
      <c r="O25" s="109">
        <v>15000000</v>
      </c>
      <c r="P25" s="112">
        <v>16000000</v>
      </c>
      <c r="Q25" s="109">
        <f>M25+N25+O25+P25</f>
        <v>4521379050</v>
      </c>
      <c r="R25" s="36">
        <v>4490379050</v>
      </c>
      <c r="S25" s="5"/>
      <c r="T25" s="30">
        <v>15000000</v>
      </c>
      <c r="U25" s="3">
        <v>16000000</v>
      </c>
      <c r="V25" s="5"/>
      <c r="W25" s="28"/>
      <c r="X25" s="28">
        <f>N25-S25</f>
        <v>0</v>
      </c>
      <c r="Y25" s="28">
        <f>O25-T25</f>
        <v>0</v>
      </c>
      <c r="Z25" s="28">
        <f>P25-U25</f>
        <v>0</v>
      </c>
      <c r="AA25" s="4"/>
      <c r="AB25" s="4"/>
      <c r="AC25">
        <f>IF(AB25=G25,1,2)</f>
        <v>2</v>
      </c>
    </row>
    <row r="26" spans="1:30" customFormat="1" ht="140.4" hidden="1" x14ac:dyDescent="0.3">
      <c r="A26" s="7" t="s">
        <v>18</v>
      </c>
      <c r="B26" s="6">
        <v>692</v>
      </c>
      <c r="C26" s="7" t="s">
        <v>2877</v>
      </c>
      <c r="D26" s="7" t="s">
        <v>2963</v>
      </c>
      <c r="E26" s="5"/>
      <c r="F26" s="40" t="s">
        <v>2964</v>
      </c>
      <c r="G26" s="7" t="s">
        <v>2965</v>
      </c>
      <c r="H26" s="7" t="s">
        <v>1656</v>
      </c>
      <c r="I26" s="5"/>
      <c r="J26" s="21" t="s">
        <v>2966</v>
      </c>
      <c r="K26" s="7" t="s">
        <v>24</v>
      </c>
      <c r="L26" s="7" t="s">
        <v>2967</v>
      </c>
      <c r="M26" s="114">
        <v>1213968903</v>
      </c>
      <c r="N26" s="111"/>
      <c r="O26" s="109">
        <v>15000000</v>
      </c>
      <c r="P26" s="112">
        <v>192000000</v>
      </c>
      <c r="Q26" s="109">
        <f>M26+N26+O26+P26</f>
        <v>1420968903</v>
      </c>
      <c r="R26" s="14">
        <v>1213968903</v>
      </c>
      <c r="S26" s="5"/>
      <c r="T26" s="30">
        <v>15000000</v>
      </c>
      <c r="U26" s="14">
        <v>192000000</v>
      </c>
      <c r="V26" s="5"/>
      <c r="W26" s="28"/>
      <c r="X26" s="28">
        <f>N26-S26</f>
        <v>0</v>
      </c>
      <c r="Y26" s="28">
        <f>O26-T26</f>
        <v>0</v>
      </c>
      <c r="Z26" s="28">
        <f>P26-U26</f>
        <v>0</v>
      </c>
      <c r="AA26" s="4"/>
      <c r="AB26" s="4"/>
      <c r="AC26">
        <f>IF(AB26=G26,1,2)</f>
        <v>2</v>
      </c>
    </row>
    <row r="27" spans="1:30" customFormat="1" ht="62.4" hidden="1" x14ac:dyDescent="0.3">
      <c r="A27" s="7" t="s">
        <v>46</v>
      </c>
      <c r="B27" s="6">
        <v>604</v>
      </c>
      <c r="C27" s="7" t="s">
        <v>2562</v>
      </c>
      <c r="D27" s="7" t="s">
        <v>2568</v>
      </c>
      <c r="E27" s="5"/>
      <c r="F27" s="40" t="s">
        <v>2569</v>
      </c>
      <c r="G27" s="7" t="s">
        <v>2570</v>
      </c>
      <c r="H27" s="5"/>
      <c r="I27" s="7" t="s">
        <v>2565</v>
      </c>
      <c r="J27" s="21" t="s">
        <v>2571</v>
      </c>
      <c r="K27" s="7" t="s">
        <v>24</v>
      </c>
      <c r="L27" s="7" t="s">
        <v>2572</v>
      </c>
      <c r="M27" s="114">
        <v>1552944130</v>
      </c>
      <c r="N27" s="111"/>
      <c r="O27" s="114">
        <v>15000000</v>
      </c>
      <c r="P27" s="112">
        <v>96000000</v>
      </c>
      <c r="Q27" s="109">
        <f>M27+N27+O27+P27</f>
        <v>1663944130</v>
      </c>
      <c r="R27" s="14">
        <v>1552944130</v>
      </c>
      <c r="S27" s="5"/>
      <c r="T27" s="30">
        <v>15000000</v>
      </c>
      <c r="U27" s="14">
        <v>96000000</v>
      </c>
      <c r="V27" s="5"/>
      <c r="W27" s="28"/>
      <c r="X27" s="28">
        <f>N27-S27</f>
        <v>0</v>
      </c>
      <c r="Y27" s="28">
        <f>O27-T27</f>
        <v>0</v>
      </c>
      <c r="Z27" s="28">
        <f>P27-U27</f>
        <v>0</v>
      </c>
      <c r="AA27" s="4"/>
      <c r="AB27" s="4"/>
      <c r="AC27">
        <f>IF(AB27=G27,1,2)</f>
        <v>2</v>
      </c>
    </row>
    <row r="28" spans="1:30" customFormat="1" ht="78" hidden="1" x14ac:dyDescent="0.3">
      <c r="A28" s="7" t="s">
        <v>62</v>
      </c>
      <c r="B28" s="6">
        <v>703</v>
      </c>
      <c r="C28" s="7" t="s">
        <v>2877</v>
      </c>
      <c r="D28" s="7" t="s">
        <v>3013</v>
      </c>
      <c r="E28" s="5"/>
      <c r="F28" s="40" t="s">
        <v>3893</v>
      </c>
      <c r="G28" s="7" t="s">
        <v>3015</v>
      </c>
      <c r="H28" s="5"/>
      <c r="I28" s="5"/>
      <c r="J28" s="21" t="s">
        <v>3016</v>
      </c>
      <c r="K28" s="7" t="s">
        <v>24</v>
      </c>
      <c r="L28" s="7" t="s">
        <v>3017</v>
      </c>
      <c r="M28" s="114">
        <v>732297702</v>
      </c>
      <c r="N28" s="111"/>
      <c r="O28" s="114">
        <v>15000000</v>
      </c>
      <c r="P28" s="112">
        <v>72000000</v>
      </c>
      <c r="Q28" s="109">
        <f>M28+N28+O28+P28</f>
        <v>819297702</v>
      </c>
      <c r="R28" s="14">
        <v>732297702</v>
      </c>
      <c r="S28" s="5"/>
      <c r="T28" s="30">
        <v>15000000</v>
      </c>
      <c r="U28" s="14">
        <v>72000000</v>
      </c>
      <c r="V28" s="5"/>
      <c r="W28" s="28"/>
      <c r="X28" s="28">
        <f>N28-S28</f>
        <v>0</v>
      </c>
      <c r="Y28" s="28">
        <f>O28-T28</f>
        <v>0</v>
      </c>
      <c r="Z28" s="28">
        <f>P28-U28</f>
        <v>0</v>
      </c>
      <c r="AA28" s="4"/>
      <c r="AB28" s="4"/>
      <c r="AC28">
        <f>IF(AB28=G28,1,2)</f>
        <v>2</v>
      </c>
    </row>
    <row r="29" spans="1:30" ht="62.4" x14ac:dyDescent="0.3">
      <c r="A29" s="7" t="s">
        <v>2290</v>
      </c>
      <c r="B29" s="6">
        <v>838</v>
      </c>
      <c r="C29" s="7" t="s">
        <v>3506</v>
      </c>
      <c r="D29" s="7" t="s">
        <v>3617</v>
      </c>
      <c r="E29" s="7" t="s">
        <v>3619</v>
      </c>
      <c r="F29" s="40" t="s">
        <v>3618</v>
      </c>
      <c r="G29" s="7" t="s">
        <v>3620</v>
      </c>
      <c r="H29" s="7" t="s">
        <v>3621</v>
      </c>
      <c r="I29" s="7"/>
      <c r="J29" s="7" t="s">
        <v>3622</v>
      </c>
      <c r="K29" s="7" t="s">
        <v>24</v>
      </c>
      <c r="L29" s="7" t="s">
        <v>3033</v>
      </c>
      <c r="M29" s="109">
        <v>10000000</v>
      </c>
      <c r="N29" s="109">
        <v>882094598</v>
      </c>
      <c r="O29" s="109">
        <v>15000000</v>
      </c>
      <c r="P29" s="75">
        <v>24000000</v>
      </c>
      <c r="Q29" s="109">
        <f>M29+N29+O29+P29</f>
        <v>931094598</v>
      </c>
      <c r="R29" s="5"/>
      <c r="S29" s="7"/>
      <c r="T29" s="72"/>
      <c r="U29" s="7"/>
      <c r="V29" s="5"/>
      <c r="W29" s="28">
        <v>10000000</v>
      </c>
      <c r="X29" s="36">
        <f>N29-S29</f>
        <v>882094598</v>
      </c>
      <c r="Y29" s="36">
        <f>O29-T29</f>
        <v>15000000</v>
      </c>
      <c r="Z29" s="36">
        <f>P29-U29</f>
        <v>24000000</v>
      </c>
      <c r="AA29" s="10">
        <v>10000000</v>
      </c>
      <c r="AB29" s="40"/>
      <c r="AC29" s="121">
        <f>IF(AB29=G29,1,2)</f>
        <v>2</v>
      </c>
      <c r="AD29" s="121"/>
    </row>
    <row r="30" spans="1:30" customFormat="1" ht="93.6" hidden="1" x14ac:dyDescent="0.3">
      <c r="A30" s="7" t="s">
        <v>62</v>
      </c>
      <c r="B30" s="6">
        <v>783</v>
      </c>
      <c r="C30" s="7" t="s">
        <v>3313</v>
      </c>
      <c r="D30" s="7" t="s">
        <v>3372</v>
      </c>
      <c r="E30" s="5"/>
      <c r="F30" s="40" t="s">
        <v>3373</v>
      </c>
      <c r="G30" s="7" t="s">
        <v>3374</v>
      </c>
      <c r="H30" s="5"/>
      <c r="I30" s="5"/>
      <c r="J30" s="21" t="s">
        <v>3375</v>
      </c>
      <c r="K30" s="7" t="s">
        <v>24</v>
      </c>
      <c r="L30" s="7" t="s">
        <v>3376</v>
      </c>
      <c r="M30" s="114">
        <v>1162218928</v>
      </c>
      <c r="N30" s="111"/>
      <c r="O30" s="114">
        <v>15000000</v>
      </c>
      <c r="P30" s="112">
        <v>120000000</v>
      </c>
      <c r="Q30" s="109">
        <f>M30+N30+O30+P30</f>
        <v>1297218928</v>
      </c>
      <c r="R30" s="14">
        <v>1162218928</v>
      </c>
      <c r="S30" s="5"/>
      <c r="T30" s="33">
        <v>15000000</v>
      </c>
      <c r="U30" s="14">
        <v>120000000</v>
      </c>
      <c r="V30" s="5"/>
      <c r="W30" s="28"/>
      <c r="X30" s="28">
        <f>N30-S30</f>
        <v>0</v>
      </c>
      <c r="Y30" s="28">
        <f>O30-T30</f>
        <v>0</v>
      </c>
      <c r="Z30" s="28">
        <f>P30-U30</f>
        <v>0</v>
      </c>
      <c r="AA30" s="4"/>
      <c r="AB30" s="4"/>
      <c r="AC30">
        <f>IF(AB30=G30,1,2)</f>
        <v>2</v>
      </c>
    </row>
    <row r="31" spans="1:30" customFormat="1" ht="63" hidden="1" x14ac:dyDescent="0.3">
      <c r="A31" s="7" t="s">
        <v>18</v>
      </c>
      <c r="B31" s="6">
        <v>872</v>
      </c>
      <c r="C31" s="7" t="s">
        <v>3725</v>
      </c>
      <c r="D31" s="7" t="s">
        <v>3770</v>
      </c>
      <c r="E31" s="5"/>
      <c r="F31" s="40" t="s">
        <v>3771</v>
      </c>
      <c r="G31" s="7" t="s">
        <v>3772</v>
      </c>
      <c r="H31" s="5"/>
      <c r="I31" s="5"/>
      <c r="J31" s="21" t="s">
        <v>3773</v>
      </c>
      <c r="K31" s="7" t="s">
        <v>24</v>
      </c>
      <c r="L31" s="7" t="s">
        <v>3774</v>
      </c>
      <c r="M31" s="114">
        <v>11775251750</v>
      </c>
      <c r="N31" s="111"/>
      <c r="O31" s="114">
        <v>15000000</v>
      </c>
      <c r="P31" s="112">
        <v>126000000</v>
      </c>
      <c r="Q31" s="109">
        <f>M31+N31+O31+P31</f>
        <v>11916251750</v>
      </c>
      <c r="R31" s="14">
        <v>11775251750</v>
      </c>
      <c r="S31" s="5"/>
      <c r="T31" s="30">
        <v>15000000</v>
      </c>
      <c r="U31" s="3">
        <v>126000000</v>
      </c>
      <c r="V31" s="5"/>
      <c r="W31" s="28"/>
      <c r="X31" s="28">
        <f>N31-S31</f>
        <v>0</v>
      </c>
      <c r="Y31" s="28">
        <f>O31-T31</f>
        <v>0</v>
      </c>
      <c r="Z31" s="28">
        <f>P31-U31</f>
        <v>0</v>
      </c>
      <c r="AA31" s="4"/>
      <c r="AB31" s="4"/>
      <c r="AC31">
        <f>IF(AB31=G31,1,2)</f>
        <v>2</v>
      </c>
    </row>
    <row r="32" spans="1:30" customFormat="1" ht="62.4" hidden="1" x14ac:dyDescent="0.3">
      <c r="A32" s="7" t="s">
        <v>18</v>
      </c>
      <c r="B32" s="6">
        <v>719</v>
      </c>
      <c r="C32" s="7" t="s">
        <v>2877</v>
      </c>
      <c r="D32" s="7" t="s">
        <v>3088</v>
      </c>
      <c r="E32" s="5"/>
      <c r="F32" s="40" t="s">
        <v>3089</v>
      </c>
      <c r="G32" s="7" t="s">
        <v>3090</v>
      </c>
      <c r="H32" s="5"/>
      <c r="I32" s="5"/>
      <c r="J32" s="21" t="s">
        <v>3091</v>
      </c>
      <c r="K32" s="7" t="s">
        <v>24</v>
      </c>
      <c r="L32" s="7" t="s">
        <v>3092</v>
      </c>
      <c r="M32" s="114">
        <v>268708240</v>
      </c>
      <c r="N32" s="111"/>
      <c r="O32" s="114">
        <v>15000000</v>
      </c>
      <c r="P32" s="112">
        <v>72000000</v>
      </c>
      <c r="Q32" s="109">
        <f>M32+N32+O32+P32</f>
        <v>355708240</v>
      </c>
      <c r="R32" s="14">
        <v>268708240</v>
      </c>
      <c r="S32" s="5"/>
      <c r="T32" s="30">
        <v>15000000</v>
      </c>
      <c r="U32" s="14">
        <v>72000000</v>
      </c>
      <c r="V32" s="5"/>
      <c r="W32" s="28"/>
      <c r="X32" s="28">
        <f>N32-S32</f>
        <v>0</v>
      </c>
      <c r="Y32" s="28">
        <f>O32-T32</f>
        <v>0</v>
      </c>
      <c r="Z32" s="28">
        <f>P32-U32</f>
        <v>0</v>
      </c>
      <c r="AA32" s="4"/>
      <c r="AB32" s="4"/>
      <c r="AC32">
        <f>IF(AB32=G32,1,2)</f>
        <v>2</v>
      </c>
    </row>
    <row r="33" spans="1:29" customFormat="1" ht="62.4" hidden="1" x14ac:dyDescent="0.3">
      <c r="A33" s="7" t="s">
        <v>2290</v>
      </c>
      <c r="B33" s="6">
        <v>646</v>
      </c>
      <c r="C33" s="7" t="s">
        <v>2562</v>
      </c>
      <c r="D33" s="7" t="s">
        <v>2762</v>
      </c>
      <c r="E33" s="7" t="s">
        <v>2764</v>
      </c>
      <c r="F33" s="40" t="s">
        <v>3883</v>
      </c>
      <c r="G33" s="7" t="s">
        <v>2765</v>
      </c>
      <c r="H33" s="5"/>
      <c r="I33" s="7" t="s">
        <v>2685</v>
      </c>
      <c r="J33" s="21" t="s">
        <v>2766</v>
      </c>
      <c r="K33" s="7" t="s">
        <v>24</v>
      </c>
      <c r="L33" s="7" t="s">
        <v>2767</v>
      </c>
      <c r="M33" s="114">
        <v>986764751</v>
      </c>
      <c r="N33" s="114">
        <v>522395346</v>
      </c>
      <c r="O33" s="114">
        <v>15000000</v>
      </c>
      <c r="P33" s="112">
        <v>72000000</v>
      </c>
      <c r="Q33" s="109">
        <f>M33+N33+O33+P33</f>
        <v>1596160097</v>
      </c>
      <c r="R33" s="14">
        <v>986764751</v>
      </c>
      <c r="S33" s="14">
        <v>522395346</v>
      </c>
      <c r="T33" s="30">
        <v>15000000</v>
      </c>
      <c r="U33" s="14">
        <v>72000000</v>
      </c>
      <c r="V33" s="5"/>
      <c r="W33" s="28"/>
      <c r="X33" s="28">
        <f>N33-S33</f>
        <v>0</v>
      </c>
      <c r="Y33" s="28">
        <f>O33-T33</f>
        <v>0</v>
      </c>
      <c r="Z33" s="28">
        <f>P33-U33</f>
        <v>0</v>
      </c>
      <c r="AA33" s="4"/>
      <c r="AB33" s="4"/>
      <c r="AC33">
        <f>IF(AB33=G33,1,2)</f>
        <v>2</v>
      </c>
    </row>
    <row r="34" spans="1:29" customFormat="1" ht="42" hidden="1" x14ac:dyDescent="0.3">
      <c r="A34" s="7" t="s">
        <v>46</v>
      </c>
      <c r="B34" s="6">
        <v>666</v>
      </c>
      <c r="C34" s="7" t="s">
        <v>2838</v>
      </c>
      <c r="D34" s="7" t="s">
        <v>2851</v>
      </c>
      <c r="E34" s="7" t="s">
        <v>2853</v>
      </c>
      <c r="F34" s="40" t="s">
        <v>2852</v>
      </c>
      <c r="G34" s="7" t="s">
        <v>2854</v>
      </c>
      <c r="H34" s="5"/>
      <c r="I34" s="5"/>
      <c r="J34" s="21" t="s">
        <v>2855</v>
      </c>
      <c r="K34" s="7" t="s">
        <v>24</v>
      </c>
      <c r="L34" s="7" t="s">
        <v>2856</v>
      </c>
      <c r="M34" s="114">
        <v>10000000</v>
      </c>
      <c r="N34" s="114">
        <v>348172944</v>
      </c>
      <c r="O34" s="114">
        <v>15000000</v>
      </c>
      <c r="P34" s="112">
        <v>30000000</v>
      </c>
      <c r="Q34" s="109">
        <f>M34+N34+O34+P34</f>
        <v>403172944</v>
      </c>
      <c r="R34" s="14">
        <v>10000000</v>
      </c>
      <c r="S34" s="14">
        <v>348172944</v>
      </c>
      <c r="T34" s="30">
        <v>15000000</v>
      </c>
      <c r="U34" s="14">
        <v>30000000</v>
      </c>
      <c r="V34" s="5"/>
      <c r="W34" s="28"/>
      <c r="X34" s="28">
        <f>N34-S34</f>
        <v>0</v>
      </c>
      <c r="Y34" s="28">
        <f>O34-T34</f>
        <v>0</v>
      </c>
      <c r="Z34" s="28">
        <f>P34-U34</f>
        <v>0</v>
      </c>
      <c r="AA34" s="4"/>
      <c r="AB34" s="4"/>
      <c r="AC34">
        <f>IF(AB34=G34,1,2)</f>
        <v>2</v>
      </c>
    </row>
    <row r="35" spans="1:29" customFormat="1" ht="78" hidden="1" x14ac:dyDescent="0.3">
      <c r="A35" s="7" t="s">
        <v>62</v>
      </c>
      <c r="B35" s="6">
        <v>448</v>
      </c>
      <c r="C35" s="7" t="s">
        <v>1785</v>
      </c>
      <c r="D35" s="7" t="s">
        <v>1875</v>
      </c>
      <c r="E35" s="5"/>
      <c r="F35" s="40" t="s">
        <v>3889</v>
      </c>
      <c r="G35" s="7" t="s">
        <v>1877</v>
      </c>
      <c r="H35" s="5"/>
      <c r="I35" s="5"/>
      <c r="J35" s="7" t="s">
        <v>1878</v>
      </c>
      <c r="K35" s="7" t="s">
        <v>24</v>
      </c>
      <c r="L35" s="7" t="s">
        <v>1879</v>
      </c>
      <c r="M35" s="109">
        <v>1330580934</v>
      </c>
      <c r="N35" s="111"/>
      <c r="O35" s="109">
        <v>15000000</v>
      </c>
      <c r="P35" s="112">
        <v>96000000</v>
      </c>
      <c r="Q35" s="109">
        <f>M35+N35+O35+P35</f>
        <v>1441580934</v>
      </c>
      <c r="R35" s="3">
        <v>1330580934</v>
      </c>
      <c r="S35" s="5"/>
      <c r="T35" s="30">
        <v>15000000</v>
      </c>
      <c r="U35" s="3">
        <v>96000000</v>
      </c>
      <c r="V35" s="5"/>
      <c r="W35" s="28"/>
      <c r="X35" s="28">
        <f>N35-S35</f>
        <v>0</v>
      </c>
      <c r="Y35" s="28">
        <f>O35-T35</f>
        <v>0</v>
      </c>
      <c r="Z35" s="28">
        <f>P35-U35</f>
        <v>0</v>
      </c>
      <c r="AA35" s="4"/>
      <c r="AB35" s="4"/>
      <c r="AC35">
        <f>IF(AB35=G35,1,2)</f>
        <v>2</v>
      </c>
    </row>
    <row r="36" spans="1:29" customFormat="1" ht="31.2" hidden="1" x14ac:dyDescent="0.3">
      <c r="A36" s="7" t="s">
        <v>53</v>
      </c>
      <c r="B36" s="6">
        <v>511</v>
      </c>
      <c r="C36" s="7" t="s">
        <v>2020</v>
      </c>
      <c r="D36" s="7" t="s">
        <v>2161</v>
      </c>
      <c r="E36" s="5"/>
      <c r="F36" s="40" t="s">
        <v>2162</v>
      </c>
      <c r="G36" s="7" t="s">
        <v>2163</v>
      </c>
      <c r="H36" s="5"/>
      <c r="I36" s="5"/>
      <c r="J36" s="7" t="s">
        <v>2164</v>
      </c>
      <c r="K36" s="7" t="s">
        <v>24</v>
      </c>
      <c r="L36" s="7" t="s">
        <v>2165</v>
      </c>
      <c r="M36" s="109">
        <v>1160551680</v>
      </c>
      <c r="N36" s="111"/>
      <c r="O36" s="109">
        <v>15000000</v>
      </c>
      <c r="P36" s="112">
        <v>24000000</v>
      </c>
      <c r="Q36" s="109">
        <f>M36+N36+O36+P36</f>
        <v>1199551680</v>
      </c>
      <c r="R36" s="3">
        <v>1160551680</v>
      </c>
      <c r="S36" s="5"/>
      <c r="T36" s="30">
        <v>15000000</v>
      </c>
      <c r="U36" s="3">
        <v>24000000</v>
      </c>
      <c r="V36" s="5"/>
      <c r="W36" s="28"/>
      <c r="X36" s="28">
        <f>N36-S36</f>
        <v>0</v>
      </c>
      <c r="Y36" s="28">
        <f>O36-T36</f>
        <v>0</v>
      </c>
      <c r="Z36" s="28">
        <f>P36-U36</f>
        <v>0</v>
      </c>
      <c r="AA36" s="4"/>
      <c r="AB36" s="4"/>
      <c r="AC36">
        <f>IF(AB36=G36,1,2)</f>
        <v>2</v>
      </c>
    </row>
    <row r="37" spans="1:29" customFormat="1" ht="42" hidden="1" x14ac:dyDescent="0.3">
      <c r="A37" s="7" t="s">
        <v>1601</v>
      </c>
      <c r="B37" s="6">
        <v>732</v>
      </c>
      <c r="C37" s="7" t="s">
        <v>2877</v>
      </c>
      <c r="D37" s="7" t="s">
        <v>3144</v>
      </c>
      <c r="E37" s="5"/>
      <c r="F37" s="40" t="s">
        <v>3145</v>
      </c>
      <c r="G37" s="7" t="s">
        <v>3146</v>
      </c>
      <c r="H37" s="7" t="s">
        <v>3147</v>
      </c>
      <c r="I37" s="5"/>
      <c r="J37" s="21" t="s">
        <v>3148</v>
      </c>
      <c r="K37" s="7" t="s">
        <v>24</v>
      </c>
      <c r="L37" s="7" t="s">
        <v>3149</v>
      </c>
      <c r="M37" s="114">
        <v>13921454534</v>
      </c>
      <c r="N37" s="111"/>
      <c r="O37" s="114">
        <v>15000000</v>
      </c>
      <c r="P37" s="112">
        <v>96000000</v>
      </c>
      <c r="Q37" s="109">
        <f>M37+N37+O37+P37</f>
        <v>14032454534</v>
      </c>
      <c r="R37" s="14">
        <v>13921454534</v>
      </c>
      <c r="S37" s="5"/>
      <c r="T37" s="30">
        <v>15000000</v>
      </c>
      <c r="U37" s="3">
        <v>96000000</v>
      </c>
      <c r="V37" s="5"/>
      <c r="W37" s="28"/>
      <c r="X37" s="28">
        <f>N37-S37</f>
        <v>0</v>
      </c>
      <c r="Y37" s="28">
        <f>O37-T37</f>
        <v>0</v>
      </c>
      <c r="Z37" s="28">
        <f>P37-U37</f>
        <v>0</v>
      </c>
      <c r="AA37" s="4"/>
      <c r="AB37" s="4"/>
      <c r="AC37">
        <f>IF(AB37=G37,1,2)</f>
        <v>2</v>
      </c>
    </row>
    <row r="38" spans="1:29" customFormat="1" ht="46.8" hidden="1" x14ac:dyDescent="0.3">
      <c r="A38" s="7" t="s">
        <v>46</v>
      </c>
      <c r="B38" s="6">
        <v>285</v>
      </c>
      <c r="C38" s="7" t="s">
        <v>1077</v>
      </c>
      <c r="D38" s="7" t="s">
        <v>1155</v>
      </c>
      <c r="E38" s="7" t="s">
        <v>1157</v>
      </c>
      <c r="F38" s="40" t="s">
        <v>1156</v>
      </c>
      <c r="G38" s="7" t="s">
        <v>1158</v>
      </c>
      <c r="H38" s="5"/>
      <c r="I38" s="5"/>
      <c r="J38" s="7" t="s">
        <v>1159</v>
      </c>
      <c r="K38" s="7" t="s">
        <v>24</v>
      </c>
      <c r="L38" s="7" t="s">
        <v>1160</v>
      </c>
      <c r="M38" s="109">
        <v>10000000</v>
      </c>
      <c r="N38" s="109">
        <v>549345285</v>
      </c>
      <c r="O38" s="109">
        <v>15000000</v>
      </c>
      <c r="P38" s="112">
        <v>30000000</v>
      </c>
      <c r="Q38" s="109">
        <f>M38+N38+O38+P38</f>
        <v>604345285</v>
      </c>
      <c r="R38" s="3">
        <v>10000000</v>
      </c>
      <c r="S38" s="3">
        <v>549345285</v>
      </c>
      <c r="T38" s="30">
        <v>15000000</v>
      </c>
      <c r="U38" s="3">
        <v>30000000</v>
      </c>
      <c r="V38" s="5"/>
      <c r="W38" s="28"/>
      <c r="X38" s="28">
        <f>N38-S38</f>
        <v>0</v>
      </c>
      <c r="Y38" s="28">
        <f>O38-T38</f>
        <v>0</v>
      </c>
      <c r="Z38" s="28">
        <f>P38-U38</f>
        <v>0</v>
      </c>
      <c r="AA38" s="4"/>
      <c r="AB38" s="4"/>
      <c r="AC38">
        <f>IF(AB38=G38,1,2)</f>
        <v>2</v>
      </c>
    </row>
    <row r="39" spans="1:29" ht="62.4" x14ac:dyDescent="0.3">
      <c r="A39" s="7" t="s">
        <v>46</v>
      </c>
      <c r="B39" s="6">
        <v>698</v>
      </c>
      <c r="C39" s="7" t="s">
        <v>2877</v>
      </c>
      <c r="D39" s="7" t="s">
        <v>2989</v>
      </c>
      <c r="E39" s="7" t="s">
        <v>1922</v>
      </c>
      <c r="F39" s="40" t="s">
        <v>3892</v>
      </c>
      <c r="G39" s="7" t="s">
        <v>2991</v>
      </c>
      <c r="H39" s="7" t="s">
        <v>2992</v>
      </c>
      <c r="I39" s="7"/>
      <c r="J39" s="7" t="s">
        <v>2993</v>
      </c>
      <c r="K39" s="7" t="s">
        <v>24</v>
      </c>
      <c r="L39" s="7" t="s">
        <v>2994</v>
      </c>
      <c r="M39" s="114">
        <v>1495439088</v>
      </c>
      <c r="N39" s="114">
        <v>330415722</v>
      </c>
      <c r="O39" s="114">
        <v>15000000</v>
      </c>
      <c r="P39" s="75">
        <v>72000000</v>
      </c>
      <c r="Q39" s="109">
        <f>M39+N39+O39+P39</f>
        <v>1912854810</v>
      </c>
      <c r="R39" s="14">
        <v>1495439088</v>
      </c>
      <c r="S39" s="14">
        <v>330415722</v>
      </c>
      <c r="T39" s="31">
        <v>15000000</v>
      </c>
      <c r="U39" s="7"/>
      <c r="V39" s="5"/>
      <c r="W39" s="28"/>
      <c r="X39" s="28">
        <f>N39-S39</f>
        <v>0</v>
      </c>
      <c r="Y39" s="28">
        <f>O39-T39</f>
        <v>0</v>
      </c>
      <c r="Z39" s="36">
        <f>P39-U39</f>
        <v>72000000</v>
      </c>
      <c r="AA39" s="4"/>
      <c r="AB39" s="40"/>
      <c r="AC39" s="61">
        <f>IF(AB39=G39,1,2)</f>
        <v>2</v>
      </c>
    </row>
    <row r="40" spans="1:29" customFormat="1" ht="31.2" hidden="1" x14ac:dyDescent="0.3">
      <c r="A40" s="7" t="s">
        <v>18</v>
      </c>
      <c r="B40" s="6">
        <v>181</v>
      </c>
      <c r="C40" s="7" t="s">
        <v>625</v>
      </c>
      <c r="D40" s="7" t="s">
        <v>690</v>
      </c>
      <c r="E40" s="7" t="s">
        <v>389</v>
      </c>
      <c r="F40" s="40" t="s">
        <v>691</v>
      </c>
      <c r="G40" s="7" t="s">
        <v>692</v>
      </c>
      <c r="H40" s="7" t="s">
        <v>693</v>
      </c>
      <c r="I40" s="5"/>
      <c r="J40" s="7" t="s">
        <v>694</v>
      </c>
      <c r="K40" s="7" t="s">
        <v>24</v>
      </c>
      <c r="L40" s="7" t="s">
        <v>695</v>
      </c>
      <c r="M40" s="109">
        <v>14532544980</v>
      </c>
      <c r="N40" s="109">
        <v>643772000</v>
      </c>
      <c r="O40" s="109">
        <v>15000000</v>
      </c>
      <c r="P40" s="112">
        <v>48000000</v>
      </c>
      <c r="Q40" s="109">
        <f>M40+N40+O40+P40</f>
        <v>15239316980</v>
      </c>
      <c r="R40" s="3">
        <v>14532544980</v>
      </c>
      <c r="S40" s="3">
        <v>643772000</v>
      </c>
      <c r="T40" s="30">
        <v>15000000</v>
      </c>
      <c r="U40" s="3">
        <v>48000000</v>
      </c>
      <c r="V40" s="5"/>
      <c r="W40" s="28"/>
      <c r="X40" s="28">
        <f>N40-S40</f>
        <v>0</v>
      </c>
      <c r="Y40" s="28">
        <f>O40-T40</f>
        <v>0</v>
      </c>
      <c r="Z40" s="28">
        <f>P40-U40</f>
        <v>0</v>
      </c>
      <c r="AA40" s="4"/>
      <c r="AB40" s="4"/>
      <c r="AC40">
        <f>IF(AB40=G40,1,2)</f>
        <v>2</v>
      </c>
    </row>
    <row r="41" spans="1:29" customFormat="1" ht="31.2" hidden="1" x14ac:dyDescent="0.3">
      <c r="A41" s="7" t="s">
        <v>46</v>
      </c>
      <c r="B41" s="6">
        <v>518</v>
      </c>
      <c r="C41" s="7" t="s">
        <v>2020</v>
      </c>
      <c r="D41" s="7" t="s">
        <v>2193</v>
      </c>
      <c r="E41" s="5"/>
      <c r="F41" s="40" t="s">
        <v>691</v>
      </c>
      <c r="G41" s="7" t="s">
        <v>2194</v>
      </c>
      <c r="H41" s="5"/>
      <c r="I41" s="5"/>
      <c r="J41" s="7" t="s">
        <v>2195</v>
      </c>
      <c r="K41" s="7" t="s">
        <v>24</v>
      </c>
      <c r="L41" s="7" t="s">
        <v>2196</v>
      </c>
      <c r="M41" s="109">
        <v>6145577620</v>
      </c>
      <c r="N41" s="111"/>
      <c r="O41" s="109">
        <v>15000000</v>
      </c>
      <c r="P41" s="112">
        <v>38666675</v>
      </c>
      <c r="Q41" s="109">
        <f>M41+N41+O41+P41</f>
        <v>6199244295</v>
      </c>
      <c r="R41" s="3">
        <v>6145577620</v>
      </c>
      <c r="S41" s="5"/>
      <c r="T41" s="30">
        <v>15000000</v>
      </c>
      <c r="U41" s="3">
        <v>38666675</v>
      </c>
      <c r="V41" s="5"/>
      <c r="W41" s="28"/>
      <c r="X41" s="28">
        <f>N41-S41</f>
        <v>0</v>
      </c>
      <c r="Y41" s="28">
        <f>O41-T41</f>
        <v>0</v>
      </c>
      <c r="Z41" s="28">
        <f>P41-U41</f>
        <v>0</v>
      </c>
      <c r="AA41" s="4"/>
      <c r="AB41" s="4"/>
      <c r="AC41">
        <f>IF(AB41=G41,1,2)</f>
        <v>2</v>
      </c>
    </row>
    <row r="42" spans="1:29" customFormat="1" ht="42" hidden="1" x14ac:dyDescent="0.3">
      <c r="A42" s="7" t="s">
        <v>18</v>
      </c>
      <c r="B42" s="6">
        <v>710</v>
      </c>
      <c r="C42" s="7" t="s">
        <v>2877</v>
      </c>
      <c r="D42" s="7" t="s">
        <v>3042</v>
      </c>
      <c r="E42" s="5"/>
      <c r="F42" s="40" t="s">
        <v>691</v>
      </c>
      <c r="G42" s="7" t="s">
        <v>3043</v>
      </c>
      <c r="H42" s="7" t="s">
        <v>681</v>
      </c>
      <c r="I42" s="5"/>
      <c r="J42" s="21" t="s">
        <v>3044</v>
      </c>
      <c r="K42" s="7" t="s">
        <v>24</v>
      </c>
      <c r="L42" s="7" t="s">
        <v>3045</v>
      </c>
      <c r="M42" s="114">
        <v>770926012</v>
      </c>
      <c r="N42" s="111"/>
      <c r="O42" s="114">
        <v>15000000</v>
      </c>
      <c r="P42" s="112">
        <v>17866669</v>
      </c>
      <c r="Q42" s="109">
        <f>M42+N42+O42+P42</f>
        <v>803792681</v>
      </c>
      <c r="R42" s="14">
        <v>770926012</v>
      </c>
      <c r="S42" s="5"/>
      <c r="T42" s="30">
        <v>15000000</v>
      </c>
      <c r="U42" s="14">
        <v>17866669</v>
      </c>
      <c r="V42" s="5"/>
      <c r="W42" s="28"/>
      <c r="X42" s="28">
        <f>N42-S42</f>
        <v>0</v>
      </c>
      <c r="Y42" s="28">
        <f>O42-T42</f>
        <v>0</v>
      </c>
      <c r="Z42" s="28">
        <f>P42-U42</f>
        <v>0</v>
      </c>
      <c r="AA42" s="4"/>
      <c r="AB42" s="4"/>
      <c r="AC42">
        <f>IF(AB42=G42,1,2)</f>
        <v>2</v>
      </c>
    </row>
    <row r="43" spans="1:29" customFormat="1" ht="31.2" hidden="1" x14ac:dyDescent="0.3">
      <c r="A43" s="7" t="s">
        <v>62</v>
      </c>
      <c r="B43" s="6">
        <v>781</v>
      </c>
      <c r="C43" s="7" t="s">
        <v>3313</v>
      </c>
      <c r="D43" s="7" t="s">
        <v>3362</v>
      </c>
      <c r="E43" s="7" t="s">
        <v>3363</v>
      </c>
      <c r="F43" s="40" t="s">
        <v>691</v>
      </c>
      <c r="G43" s="7" t="s">
        <v>3364</v>
      </c>
      <c r="H43" s="7" t="s">
        <v>3365</v>
      </c>
      <c r="I43" s="7" t="s">
        <v>3324</v>
      </c>
      <c r="J43" s="21" t="s">
        <v>3366</v>
      </c>
      <c r="K43" s="7" t="s">
        <v>24</v>
      </c>
      <c r="L43" s="7" t="s">
        <v>3367</v>
      </c>
      <c r="M43" s="114">
        <v>1064740652</v>
      </c>
      <c r="N43" s="114">
        <v>253106154</v>
      </c>
      <c r="O43" s="114">
        <v>15000000</v>
      </c>
      <c r="P43" s="112">
        <v>12533339</v>
      </c>
      <c r="Q43" s="109">
        <f>M43+N43+O43+P43</f>
        <v>1345380145</v>
      </c>
      <c r="R43" s="14">
        <v>1064740652</v>
      </c>
      <c r="S43" s="14">
        <v>253106154</v>
      </c>
      <c r="T43" s="33">
        <v>15000000</v>
      </c>
      <c r="U43" s="14">
        <v>12533339</v>
      </c>
      <c r="V43" s="5"/>
      <c r="W43" s="28"/>
      <c r="X43" s="28">
        <f>N43-S43</f>
        <v>0</v>
      </c>
      <c r="Y43" s="28">
        <f>O43-T43</f>
        <v>0</v>
      </c>
      <c r="Z43" s="28">
        <f>P43-U43</f>
        <v>0</v>
      </c>
      <c r="AA43" s="4"/>
      <c r="AB43" s="4"/>
      <c r="AC43">
        <f>IF(AB43=G43,1,2)</f>
        <v>2</v>
      </c>
    </row>
    <row r="44" spans="1:29" customFormat="1" ht="62.4" hidden="1" customHeight="1" x14ac:dyDescent="0.3">
      <c r="A44" s="7" t="s">
        <v>1601</v>
      </c>
      <c r="B44" s="6">
        <v>822</v>
      </c>
      <c r="C44" s="7" t="s">
        <v>3506</v>
      </c>
      <c r="D44" s="7" t="s">
        <v>3548</v>
      </c>
      <c r="E44" s="7" t="s">
        <v>3549</v>
      </c>
      <c r="F44" s="40" t="s">
        <v>691</v>
      </c>
      <c r="G44" s="7" t="s">
        <v>3550</v>
      </c>
      <c r="H44" s="7" t="s">
        <v>3551</v>
      </c>
      <c r="I44" s="5"/>
      <c r="J44" s="21" t="s">
        <v>3552</v>
      </c>
      <c r="K44" s="7" t="s">
        <v>24</v>
      </c>
      <c r="L44" s="7" t="s">
        <v>3553</v>
      </c>
      <c r="M44" s="114">
        <v>10000000</v>
      </c>
      <c r="N44" s="114">
        <v>715604580</v>
      </c>
      <c r="O44" s="114">
        <v>15000000</v>
      </c>
      <c r="P44" s="112">
        <v>24000000</v>
      </c>
      <c r="Q44" s="109">
        <f>M44+N44+O44+P44</f>
        <v>764604580</v>
      </c>
      <c r="R44" s="14">
        <v>10000000</v>
      </c>
      <c r="S44" s="14">
        <v>715604580</v>
      </c>
      <c r="T44" s="30">
        <v>15000000</v>
      </c>
      <c r="U44" s="14">
        <v>24000000</v>
      </c>
      <c r="V44" s="5"/>
      <c r="W44" s="28"/>
      <c r="X44" s="28">
        <f>N44-S44</f>
        <v>0</v>
      </c>
      <c r="Y44" s="28">
        <f>O44-T44</f>
        <v>0</v>
      </c>
      <c r="Z44" s="28">
        <f>P44-U44</f>
        <v>0</v>
      </c>
      <c r="AA44" s="4"/>
      <c r="AB44" s="4"/>
      <c r="AC44">
        <f>IF(AB44=G44,1,2)</f>
        <v>2</v>
      </c>
    </row>
    <row r="45" spans="1:29" customFormat="1" ht="63" hidden="1" x14ac:dyDescent="0.3">
      <c r="A45" s="7" t="s">
        <v>1601</v>
      </c>
      <c r="B45" s="6">
        <v>828</v>
      </c>
      <c r="C45" s="7" t="s">
        <v>3506</v>
      </c>
      <c r="D45" s="7" t="s">
        <v>3578</v>
      </c>
      <c r="E45" s="5"/>
      <c r="F45" s="40" t="s">
        <v>691</v>
      </c>
      <c r="G45" s="7" t="s">
        <v>3579</v>
      </c>
      <c r="H45" s="5"/>
      <c r="I45" s="5"/>
      <c r="J45" s="21" t="s">
        <v>3580</v>
      </c>
      <c r="K45" s="7" t="s">
        <v>24</v>
      </c>
      <c r="L45" s="7" t="s">
        <v>3581</v>
      </c>
      <c r="M45" s="114">
        <v>1770648232</v>
      </c>
      <c r="N45" s="111"/>
      <c r="O45" s="114">
        <v>15000000</v>
      </c>
      <c r="P45" s="112">
        <v>33333335</v>
      </c>
      <c r="Q45" s="109">
        <f>M45+N45+O45+P45</f>
        <v>1818981567</v>
      </c>
      <c r="R45" s="14">
        <v>1770648232</v>
      </c>
      <c r="S45" s="5"/>
      <c r="T45" s="30">
        <v>15000000</v>
      </c>
      <c r="U45" s="14">
        <v>33333335</v>
      </c>
      <c r="V45" s="5"/>
      <c r="W45" s="28"/>
      <c r="X45" s="28">
        <f>N45-S45</f>
        <v>0</v>
      </c>
      <c r="Y45" s="28">
        <f>O45-T45</f>
        <v>0</v>
      </c>
      <c r="Z45" s="28">
        <f>P45-U45</f>
        <v>0</v>
      </c>
      <c r="AA45" s="4"/>
      <c r="AB45" s="4"/>
      <c r="AC45">
        <f>IF(AB45=G45,1,2)</f>
        <v>2</v>
      </c>
    </row>
    <row r="46" spans="1:29" customFormat="1" ht="62.4" hidden="1" x14ac:dyDescent="0.3">
      <c r="A46" s="7" t="s">
        <v>18</v>
      </c>
      <c r="B46" s="6">
        <v>802</v>
      </c>
      <c r="C46" s="7" t="s">
        <v>3313</v>
      </c>
      <c r="D46" s="7" t="s">
        <v>3457</v>
      </c>
      <c r="E46" s="5"/>
      <c r="F46" s="40" t="s">
        <v>3458</v>
      </c>
      <c r="G46" s="7" t="s">
        <v>3459</v>
      </c>
      <c r="H46" s="5"/>
      <c r="I46" s="5"/>
      <c r="J46" s="21" t="s">
        <v>3460</v>
      </c>
      <c r="K46" s="7" t="s">
        <v>24</v>
      </c>
      <c r="L46" s="7" t="s">
        <v>2632</v>
      </c>
      <c r="M46" s="114">
        <v>10000000</v>
      </c>
      <c r="N46" s="111"/>
      <c r="O46" s="114">
        <v>15000000</v>
      </c>
      <c r="P46" s="112">
        <v>72000000</v>
      </c>
      <c r="Q46" s="109">
        <f>M46+N46+O46+P46</f>
        <v>97000000</v>
      </c>
      <c r="R46" s="36">
        <v>10000000</v>
      </c>
      <c r="S46" s="5"/>
      <c r="T46" s="30">
        <v>15000000</v>
      </c>
      <c r="U46" s="3">
        <v>72000000</v>
      </c>
      <c r="V46" s="5"/>
      <c r="W46" s="28"/>
      <c r="X46" s="28">
        <f>N46-S46</f>
        <v>0</v>
      </c>
      <c r="Y46" s="28">
        <f>O46-T46</f>
        <v>0</v>
      </c>
      <c r="Z46" s="28">
        <f>P46-U46</f>
        <v>0</v>
      </c>
      <c r="AA46" s="4"/>
      <c r="AB46" s="4"/>
      <c r="AC46">
        <f>IF(AB46=G46,1,2)</f>
        <v>2</v>
      </c>
    </row>
    <row r="47" spans="1:29" customFormat="1" ht="78" hidden="1" x14ac:dyDescent="0.3">
      <c r="A47" s="7" t="s">
        <v>46</v>
      </c>
      <c r="B47" s="6">
        <v>447</v>
      </c>
      <c r="C47" s="7" t="s">
        <v>1785</v>
      </c>
      <c r="D47" s="7" t="s">
        <v>1871</v>
      </c>
      <c r="E47" s="5"/>
      <c r="F47" s="40" t="s">
        <v>1872</v>
      </c>
      <c r="G47" s="7" t="s">
        <v>1873</v>
      </c>
      <c r="H47" s="5"/>
      <c r="I47" s="5"/>
      <c r="J47" s="7" t="s">
        <v>3826</v>
      </c>
      <c r="K47" s="7" t="s">
        <v>24</v>
      </c>
      <c r="L47" s="7" t="s">
        <v>1874</v>
      </c>
      <c r="M47" s="109">
        <v>1371254860</v>
      </c>
      <c r="N47" s="111"/>
      <c r="O47" s="109">
        <v>15000000</v>
      </c>
      <c r="P47" s="112">
        <v>192000000</v>
      </c>
      <c r="Q47" s="109">
        <f>M47+N47+O47+P47</f>
        <v>1578254860</v>
      </c>
      <c r="R47" s="3">
        <v>1371254860</v>
      </c>
      <c r="S47" s="5"/>
      <c r="T47" s="30">
        <v>15000000</v>
      </c>
      <c r="U47" s="3">
        <v>192000000</v>
      </c>
      <c r="V47" s="5"/>
      <c r="W47" s="28"/>
      <c r="X47" s="28">
        <f>N47-S47</f>
        <v>0</v>
      </c>
      <c r="Y47" s="28">
        <f>O47-T47</f>
        <v>0</v>
      </c>
      <c r="Z47" s="28">
        <f>P47-U47</f>
        <v>0</v>
      </c>
      <c r="AA47" s="4"/>
      <c r="AB47" s="4"/>
      <c r="AC47">
        <f>IF(AB47=G47,1,2)</f>
        <v>2</v>
      </c>
    </row>
    <row r="48" spans="1:29" customFormat="1" ht="63.6" hidden="1" x14ac:dyDescent="0.4">
      <c r="A48" s="40" t="s">
        <v>46</v>
      </c>
      <c r="B48" s="6">
        <v>760</v>
      </c>
      <c r="C48" s="7" t="s">
        <v>2877</v>
      </c>
      <c r="D48" s="7" t="s">
        <v>3270</v>
      </c>
      <c r="E48" s="4"/>
      <c r="F48" s="40" t="s">
        <v>3271</v>
      </c>
      <c r="G48" s="40" t="s">
        <v>3272</v>
      </c>
      <c r="H48" s="4"/>
      <c r="I48" s="4"/>
      <c r="J48" s="21" t="s">
        <v>3273</v>
      </c>
      <c r="K48" s="40" t="s">
        <v>24</v>
      </c>
      <c r="L48" s="7" t="s">
        <v>2856</v>
      </c>
      <c r="M48" s="118">
        <v>1230286468</v>
      </c>
      <c r="N48" s="111"/>
      <c r="O48" s="114">
        <v>15000000</v>
      </c>
      <c r="P48" s="112">
        <v>72000000</v>
      </c>
      <c r="Q48" s="109">
        <f>M48+N48+O48+P48</f>
        <v>1317286468</v>
      </c>
      <c r="R48" s="14">
        <v>1230286468</v>
      </c>
      <c r="S48" s="5"/>
      <c r="T48" s="33">
        <v>15000000</v>
      </c>
      <c r="U48" s="14">
        <v>72000000</v>
      </c>
      <c r="V48" s="5"/>
      <c r="W48" s="28"/>
      <c r="X48" s="28">
        <f>N48-S48</f>
        <v>0</v>
      </c>
      <c r="Y48" s="28">
        <f>O48-T48</f>
        <v>0</v>
      </c>
      <c r="Z48" s="28">
        <f>P48-U48</f>
        <v>0</v>
      </c>
      <c r="AA48" s="4"/>
      <c r="AB48" s="4"/>
      <c r="AC48">
        <f>IF(AB48=G48,1,2)</f>
        <v>2</v>
      </c>
    </row>
    <row r="49" spans="1:30" customFormat="1" ht="78" hidden="1" x14ac:dyDescent="0.3">
      <c r="A49" s="7" t="s">
        <v>1601</v>
      </c>
      <c r="B49" s="6">
        <v>873</v>
      </c>
      <c r="C49" s="7" t="s">
        <v>3775</v>
      </c>
      <c r="D49" s="5"/>
      <c r="E49" s="7" t="s">
        <v>3777</v>
      </c>
      <c r="F49" s="7" t="s">
        <v>3776</v>
      </c>
      <c r="G49" s="7" t="s">
        <v>3778</v>
      </c>
      <c r="H49" s="5"/>
      <c r="I49" s="7" t="s">
        <v>40</v>
      </c>
      <c r="J49" s="21" t="s">
        <v>3768</v>
      </c>
      <c r="K49" s="7" t="s">
        <v>24</v>
      </c>
      <c r="L49" s="7" t="s">
        <v>3769</v>
      </c>
      <c r="M49" s="114">
        <v>10717985200</v>
      </c>
      <c r="N49" s="111"/>
      <c r="O49" s="114">
        <v>15000000</v>
      </c>
      <c r="P49" s="114">
        <v>24000000</v>
      </c>
      <c r="Q49" s="109">
        <f>M49+N49+O49+P49</f>
        <v>10756985200</v>
      </c>
      <c r="R49" s="3">
        <v>10717985200</v>
      </c>
      <c r="S49" s="5"/>
      <c r="T49" s="31">
        <v>15000000</v>
      </c>
      <c r="U49" s="14">
        <v>24000000</v>
      </c>
      <c r="V49" s="5"/>
      <c r="W49" s="28"/>
      <c r="X49" s="28">
        <f>N49-S49</f>
        <v>0</v>
      </c>
      <c r="Y49" s="28">
        <f>O49-T49</f>
        <v>0</v>
      </c>
      <c r="Z49" s="28">
        <f>P49-U49</f>
        <v>0</v>
      </c>
      <c r="AA49" s="4"/>
      <c r="AB49" s="4"/>
      <c r="AC49">
        <f>IF(AB49=G49,1,2)</f>
        <v>2</v>
      </c>
    </row>
    <row r="50" spans="1:30" customFormat="1" ht="42" hidden="1" x14ac:dyDescent="0.3">
      <c r="A50" s="7" t="s">
        <v>1601</v>
      </c>
      <c r="B50" s="6">
        <v>875</v>
      </c>
      <c r="C50" s="7" t="s">
        <v>3775</v>
      </c>
      <c r="D50" s="7" t="s">
        <v>3782</v>
      </c>
      <c r="E50" s="7" t="s">
        <v>3777</v>
      </c>
      <c r="F50" s="7" t="s">
        <v>3776</v>
      </c>
      <c r="G50" s="7" t="s">
        <v>3015</v>
      </c>
      <c r="H50" s="5"/>
      <c r="I50" s="7" t="s">
        <v>40</v>
      </c>
      <c r="J50" s="21" t="s">
        <v>3783</v>
      </c>
      <c r="K50" s="7" t="s">
        <v>24</v>
      </c>
      <c r="L50" s="7" t="s">
        <v>3769</v>
      </c>
      <c r="M50" s="114">
        <v>2852252840</v>
      </c>
      <c r="N50" s="111"/>
      <c r="O50" s="114">
        <v>15000000</v>
      </c>
      <c r="P50" s="114">
        <v>24000000</v>
      </c>
      <c r="Q50" s="109">
        <f>M50+N50+O50+P50</f>
        <v>2891252840</v>
      </c>
      <c r="R50" s="14">
        <v>2852252840</v>
      </c>
      <c r="S50" s="5"/>
      <c r="T50" s="31">
        <v>15000000</v>
      </c>
      <c r="U50" s="14">
        <v>24000000</v>
      </c>
      <c r="V50" s="5"/>
      <c r="W50" s="28"/>
      <c r="X50" s="28">
        <f>N50-S50</f>
        <v>0</v>
      </c>
      <c r="Y50" s="28">
        <f>O50-T50</f>
        <v>0</v>
      </c>
      <c r="Z50" s="28">
        <f>P50-U50</f>
        <v>0</v>
      </c>
      <c r="AA50" s="4"/>
      <c r="AB50" s="4"/>
      <c r="AC50">
        <f>IF(AB50=G50,1,2)</f>
        <v>2</v>
      </c>
    </row>
    <row r="51" spans="1:30" customFormat="1" ht="84" hidden="1" x14ac:dyDescent="0.3">
      <c r="A51" s="7" t="s">
        <v>46</v>
      </c>
      <c r="B51" s="6">
        <v>599</v>
      </c>
      <c r="C51" s="7" t="s">
        <v>2323</v>
      </c>
      <c r="D51" s="7" t="s">
        <v>2540</v>
      </c>
      <c r="E51" s="7" t="s">
        <v>2542</v>
      </c>
      <c r="F51" s="40" t="s">
        <v>2541</v>
      </c>
      <c r="G51" s="7" t="s">
        <v>2543</v>
      </c>
      <c r="H51" s="5"/>
      <c r="I51" s="5"/>
      <c r="J51" s="21" t="s">
        <v>2544</v>
      </c>
      <c r="K51" s="7" t="s">
        <v>24</v>
      </c>
      <c r="L51" s="7" t="s">
        <v>2545</v>
      </c>
      <c r="M51" s="114">
        <v>1021855390</v>
      </c>
      <c r="N51" s="114">
        <v>627822258</v>
      </c>
      <c r="O51" s="114">
        <v>15000000</v>
      </c>
      <c r="P51" s="112">
        <v>24000000</v>
      </c>
      <c r="Q51" s="109">
        <f>M51+N51+O51+P51</f>
        <v>1688677648</v>
      </c>
      <c r="R51" s="14">
        <v>1021855390</v>
      </c>
      <c r="S51" s="14">
        <v>627822258</v>
      </c>
      <c r="T51" s="30">
        <v>15000000</v>
      </c>
      <c r="U51" s="14">
        <v>24000000</v>
      </c>
      <c r="V51" s="5"/>
      <c r="W51" s="28"/>
      <c r="X51" s="28">
        <f>N51-S51</f>
        <v>0</v>
      </c>
      <c r="Y51" s="28">
        <f>O51-T51</f>
        <v>0</v>
      </c>
      <c r="Z51" s="28">
        <f>P51-U51</f>
        <v>0</v>
      </c>
      <c r="AA51" s="4"/>
      <c r="AB51" s="4"/>
      <c r="AC51">
        <f>IF(AB51=G51,1,2)</f>
        <v>2</v>
      </c>
    </row>
    <row r="52" spans="1:30" customFormat="1" ht="31.2" hidden="1" x14ac:dyDescent="0.3">
      <c r="A52" s="7" t="s">
        <v>62</v>
      </c>
      <c r="B52" s="6">
        <v>786</v>
      </c>
      <c r="C52" s="7" t="s">
        <v>3313</v>
      </c>
      <c r="D52" s="7" t="s">
        <v>3385</v>
      </c>
      <c r="E52" s="7" t="s">
        <v>3387</v>
      </c>
      <c r="F52" s="40" t="s">
        <v>3386</v>
      </c>
      <c r="G52" s="7" t="s">
        <v>3388</v>
      </c>
      <c r="H52" s="7" t="s">
        <v>3389</v>
      </c>
      <c r="I52" s="7"/>
      <c r="J52" s="7" t="s">
        <v>3390</v>
      </c>
      <c r="K52" s="7" t="s">
        <v>24</v>
      </c>
      <c r="L52" s="7" t="s">
        <v>3391</v>
      </c>
      <c r="M52" s="114">
        <v>10000000</v>
      </c>
      <c r="N52" s="114">
        <v>1809369992</v>
      </c>
      <c r="O52" s="109">
        <v>15000000</v>
      </c>
      <c r="P52" s="112">
        <v>24000000</v>
      </c>
      <c r="Q52" s="109">
        <f>M52+N52+O52+P52</f>
        <v>1858369992</v>
      </c>
      <c r="R52" s="14">
        <v>10000000</v>
      </c>
      <c r="S52" s="14">
        <v>1809369992</v>
      </c>
      <c r="T52" s="72"/>
      <c r="U52" s="14">
        <v>24000000</v>
      </c>
      <c r="V52" s="5"/>
      <c r="W52" s="28"/>
      <c r="X52" s="28">
        <f>N52-S52</f>
        <v>0</v>
      </c>
      <c r="Y52" s="36">
        <f>O52-T52</f>
        <v>15000000</v>
      </c>
      <c r="Z52" s="28">
        <f>P52-U52</f>
        <v>0</v>
      </c>
      <c r="AA52" s="4"/>
      <c r="AB52" s="40"/>
      <c r="AC52" s="121">
        <f>IF(AB52=G52,1,2)</f>
        <v>2</v>
      </c>
      <c r="AD52" s="121"/>
    </row>
    <row r="53" spans="1:30" customFormat="1" ht="62.4" hidden="1" x14ac:dyDescent="0.3">
      <c r="A53" s="7" t="s">
        <v>62</v>
      </c>
      <c r="B53" s="6">
        <v>301</v>
      </c>
      <c r="C53" s="7" t="s">
        <v>1077</v>
      </c>
      <c r="D53" s="7" t="s">
        <v>1232</v>
      </c>
      <c r="E53" s="7" t="s">
        <v>1234</v>
      </c>
      <c r="F53" s="40" t="s">
        <v>1233</v>
      </c>
      <c r="G53" s="7" t="s">
        <v>1235</v>
      </c>
      <c r="H53" s="7" t="s">
        <v>1236</v>
      </c>
      <c r="I53" s="5"/>
      <c r="J53" s="7" t="s">
        <v>1237</v>
      </c>
      <c r="K53" s="7" t="s">
        <v>24</v>
      </c>
      <c r="L53" s="7" t="s">
        <v>1238</v>
      </c>
      <c r="M53" s="109">
        <v>3088919040</v>
      </c>
      <c r="N53" s="109">
        <v>465246720</v>
      </c>
      <c r="O53" s="109">
        <v>15000000</v>
      </c>
      <c r="P53" s="112">
        <v>36000000</v>
      </c>
      <c r="Q53" s="109">
        <f>M53+N53+O53+P53</f>
        <v>3605165760</v>
      </c>
      <c r="R53" s="3">
        <v>3088919040</v>
      </c>
      <c r="S53" s="3">
        <v>465246720</v>
      </c>
      <c r="T53" s="30">
        <v>15000000</v>
      </c>
      <c r="U53" s="3">
        <v>36000000</v>
      </c>
      <c r="V53" s="5"/>
      <c r="W53" s="28"/>
      <c r="X53" s="36">
        <f>N53-S53</f>
        <v>0</v>
      </c>
      <c r="Y53" s="28">
        <f>O53-T53</f>
        <v>0</v>
      </c>
      <c r="Z53" s="28">
        <f>P53-U53</f>
        <v>0</v>
      </c>
      <c r="AA53" s="40"/>
      <c r="AB53" s="40"/>
      <c r="AC53" s="61">
        <f>IF(AB53=G53,1,2)</f>
        <v>2</v>
      </c>
      <c r="AD53" s="61"/>
    </row>
    <row r="54" spans="1:30" ht="62.4" x14ac:dyDescent="0.3">
      <c r="A54" s="7" t="s">
        <v>18</v>
      </c>
      <c r="B54" s="6">
        <v>601</v>
      </c>
      <c r="C54" s="7" t="s">
        <v>2323</v>
      </c>
      <c r="D54" s="7" t="s">
        <v>2552</v>
      </c>
      <c r="E54" s="7" t="s">
        <v>2554</v>
      </c>
      <c r="F54" s="40" t="s">
        <v>2553</v>
      </c>
      <c r="G54" s="7" t="s">
        <v>2555</v>
      </c>
      <c r="H54" s="7"/>
      <c r="I54" s="7"/>
      <c r="J54" s="7" t="s">
        <v>2556</v>
      </c>
      <c r="K54" s="7" t="s">
        <v>24</v>
      </c>
      <c r="L54" s="7" t="s">
        <v>2557</v>
      </c>
      <c r="M54" s="114">
        <v>9937143048</v>
      </c>
      <c r="N54" s="114">
        <v>11165154312</v>
      </c>
      <c r="O54" s="114">
        <v>15000000</v>
      </c>
      <c r="P54" s="75">
        <v>216000000</v>
      </c>
      <c r="Q54" s="109">
        <f>M54+N54+O54+P54</f>
        <v>21333297360</v>
      </c>
      <c r="R54" s="14">
        <v>9937143048</v>
      </c>
      <c r="S54" s="14">
        <v>11165154312</v>
      </c>
      <c r="T54" s="30">
        <v>15000000</v>
      </c>
      <c r="U54" s="3">
        <v>72000000</v>
      </c>
      <c r="V54" s="5"/>
      <c r="W54" s="28"/>
      <c r="X54" s="28">
        <f>N54-S54</f>
        <v>0</v>
      </c>
      <c r="Y54" s="28">
        <f>O54-T54</f>
        <v>0</v>
      </c>
      <c r="Z54" s="36">
        <f>P54-U54</f>
        <v>144000000</v>
      </c>
      <c r="AA54" s="4"/>
      <c r="AB54" s="40"/>
      <c r="AC54" s="61">
        <f>IF(AB54=G54,1,2)</f>
        <v>2</v>
      </c>
    </row>
    <row r="55" spans="1:30" customFormat="1" ht="62.4" hidden="1" x14ac:dyDescent="0.3">
      <c r="A55" s="7" t="s">
        <v>1601</v>
      </c>
      <c r="B55" s="6">
        <v>485</v>
      </c>
      <c r="C55" s="7" t="s">
        <v>2020</v>
      </c>
      <c r="D55" s="7" t="s">
        <v>2041</v>
      </c>
      <c r="E55" s="5"/>
      <c r="F55" s="40" t="s">
        <v>3880</v>
      </c>
      <c r="G55" s="7" t="s">
        <v>2043</v>
      </c>
      <c r="H55" s="5"/>
      <c r="I55" s="5"/>
      <c r="J55" s="7" t="s">
        <v>2044</v>
      </c>
      <c r="K55" s="7" t="s">
        <v>24</v>
      </c>
      <c r="L55" s="7" t="s">
        <v>2045</v>
      </c>
      <c r="M55" s="109">
        <v>10000000</v>
      </c>
      <c r="N55" s="111"/>
      <c r="O55" s="109">
        <v>15000000</v>
      </c>
      <c r="P55" s="112">
        <v>72000000</v>
      </c>
      <c r="Q55" s="109">
        <f>M55+N55+O55+P55</f>
        <v>97000000</v>
      </c>
      <c r="R55" s="36">
        <v>10000000</v>
      </c>
      <c r="S55" s="5"/>
      <c r="T55" s="30">
        <v>15000000</v>
      </c>
      <c r="U55" s="3">
        <v>72000000</v>
      </c>
      <c r="V55" s="5"/>
      <c r="W55" s="28"/>
      <c r="X55" s="28">
        <f>N55-S55</f>
        <v>0</v>
      </c>
      <c r="Y55" s="28">
        <f>O55-T55</f>
        <v>0</v>
      </c>
      <c r="Z55" s="28">
        <f>P55-U55</f>
        <v>0</v>
      </c>
      <c r="AA55" s="4"/>
      <c r="AB55" s="4"/>
      <c r="AC55">
        <f>IF(AB55=G55,1,2)</f>
        <v>2</v>
      </c>
    </row>
    <row r="56" spans="1:30" customFormat="1" ht="31.2" hidden="1" x14ac:dyDescent="0.3">
      <c r="A56" s="7" t="s">
        <v>62</v>
      </c>
      <c r="B56" s="6">
        <v>225</v>
      </c>
      <c r="C56" s="7" t="s">
        <v>813</v>
      </c>
      <c r="D56" s="7" t="s">
        <v>886</v>
      </c>
      <c r="E56" s="5"/>
      <c r="F56" s="7" t="s">
        <v>887</v>
      </c>
      <c r="G56" s="7" t="s">
        <v>888</v>
      </c>
      <c r="H56" s="5"/>
      <c r="I56" s="5"/>
      <c r="J56" s="7" t="s">
        <v>889</v>
      </c>
      <c r="K56" s="7" t="s">
        <v>24</v>
      </c>
      <c r="L56" s="7" t="s">
        <v>890</v>
      </c>
      <c r="M56" s="109">
        <v>30585365520</v>
      </c>
      <c r="N56" s="111"/>
      <c r="O56" s="109">
        <v>15000000</v>
      </c>
      <c r="P56" s="112">
        <v>48000000</v>
      </c>
      <c r="Q56" s="109">
        <f>M56+N56+O56+P56</f>
        <v>30648365520</v>
      </c>
      <c r="R56" s="3">
        <v>30585365520</v>
      </c>
      <c r="S56" s="5"/>
      <c r="T56" s="30">
        <v>15000000</v>
      </c>
      <c r="U56" s="3">
        <v>48000000</v>
      </c>
      <c r="V56" s="5"/>
      <c r="W56" s="28"/>
      <c r="X56" s="28">
        <f>N56-S56</f>
        <v>0</v>
      </c>
      <c r="Y56" s="28">
        <f>O56-T56</f>
        <v>0</v>
      </c>
      <c r="Z56" s="28">
        <f>P56-U56</f>
        <v>0</v>
      </c>
      <c r="AA56" s="4"/>
      <c r="AB56" s="4"/>
      <c r="AC56">
        <f>IF(AB56=G56,1,2)</f>
        <v>2</v>
      </c>
    </row>
    <row r="57" spans="1:30" customFormat="1" ht="31.2" hidden="1" x14ac:dyDescent="0.3">
      <c r="A57" s="7" t="s">
        <v>18</v>
      </c>
      <c r="B57" s="6">
        <v>582</v>
      </c>
      <c r="C57" s="7" t="s">
        <v>2323</v>
      </c>
      <c r="D57" s="7" t="s">
        <v>2468</v>
      </c>
      <c r="E57" s="7" t="s">
        <v>2470</v>
      </c>
      <c r="F57" s="7" t="s">
        <v>2469</v>
      </c>
      <c r="G57" s="7" t="s">
        <v>2471</v>
      </c>
      <c r="H57" s="7"/>
      <c r="I57" s="7"/>
      <c r="J57" s="7" t="s">
        <v>2472</v>
      </c>
      <c r="K57" s="7" t="s">
        <v>24</v>
      </c>
      <c r="L57" s="7" t="s">
        <v>2473</v>
      </c>
      <c r="M57" s="114">
        <v>9159919264</v>
      </c>
      <c r="N57" s="116">
        <v>705698588</v>
      </c>
      <c r="O57" s="109">
        <v>15000000</v>
      </c>
      <c r="P57" s="112">
        <v>24000000</v>
      </c>
      <c r="Q57" s="109">
        <f>M57+N57+O57+P57</f>
        <v>9904617852</v>
      </c>
      <c r="R57" s="14">
        <v>9159919264</v>
      </c>
      <c r="S57" s="17">
        <v>705698588</v>
      </c>
      <c r="T57" s="72"/>
      <c r="U57" s="14">
        <v>24000000</v>
      </c>
      <c r="V57" s="5"/>
      <c r="W57" s="28"/>
      <c r="X57" s="28">
        <f>N57-S57</f>
        <v>0</v>
      </c>
      <c r="Y57" s="36">
        <f>O57-T57</f>
        <v>15000000</v>
      </c>
      <c r="Z57" s="28">
        <f>P57-U57</f>
        <v>0</v>
      </c>
      <c r="AA57" s="4"/>
      <c r="AB57" s="40"/>
      <c r="AC57" s="121">
        <f>IF(AB57=G57,1,2)</f>
        <v>2</v>
      </c>
      <c r="AD57" s="121"/>
    </row>
    <row r="58" spans="1:30" ht="31.2" x14ac:dyDescent="0.3">
      <c r="A58" s="7" t="s">
        <v>62</v>
      </c>
      <c r="B58" s="6">
        <v>146</v>
      </c>
      <c r="C58" s="7" t="s">
        <v>489</v>
      </c>
      <c r="D58" s="7" t="s">
        <v>528</v>
      </c>
      <c r="E58" s="7" t="s">
        <v>3887</v>
      </c>
      <c r="F58" s="7" t="s">
        <v>529</v>
      </c>
      <c r="G58" s="7" t="s">
        <v>530</v>
      </c>
      <c r="H58" s="7" t="s">
        <v>3899</v>
      </c>
      <c r="I58" s="7"/>
      <c r="J58" s="7" t="s">
        <v>531</v>
      </c>
      <c r="K58" s="7" t="s">
        <v>24</v>
      </c>
      <c r="L58" s="7" t="s">
        <v>532</v>
      </c>
      <c r="M58" s="109">
        <v>3395712926</v>
      </c>
      <c r="N58" s="74">
        <v>194860554</v>
      </c>
      <c r="O58" s="109">
        <v>15000000</v>
      </c>
      <c r="P58" s="75">
        <v>30000000</v>
      </c>
      <c r="Q58" s="109">
        <f>M58+N58+O58+P58</f>
        <v>3635573480</v>
      </c>
      <c r="R58" s="28">
        <v>3395712926</v>
      </c>
      <c r="S58" s="7"/>
      <c r="T58" s="30">
        <v>15000000</v>
      </c>
      <c r="U58" s="7"/>
      <c r="V58" s="5"/>
      <c r="W58" s="28"/>
      <c r="X58" s="36">
        <f>N58-S58</f>
        <v>194860554</v>
      </c>
      <c r="Y58" s="28">
        <f>O58-T58</f>
        <v>0</v>
      </c>
      <c r="Z58" s="36">
        <f>P58-U58</f>
        <v>30000000</v>
      </c>
      <c r="AA58" s="10"/>
      <c r="AB58" s="40"/>
      <c r="AC58" s="61">
        <f>IF(AB58=G58,1,2)</f>
        <v>2</v>
      </c>
    </row>
    <row r="59" spans="1:30" ht="46.8" x14ac:dyDescent="0.3">
      <c r="A59" s="7" t="s">
        <v>18</v>
      </c>
      <c r="B59" s="6">
        <v>764</v>
      </c>
      <c r="C59" s="7" t="s">
        <v>2877</v>
      </c>
      <c r="D59" s="7" t="s">
        <v>3286</v>
      </c>
      <c r="E59" s="7"/>
      <c r="F59" s="40" t="s">
        <v>529</v>
      </c>
      <c r="G59" s="7" t="s">
        <v>3287</v>
      </c>
      <c r="H59" s="7"/>
      <c r="I59" s="7"/>
      <c r="J59" s="7" t="s">
        <v>3288</v>
      </c>
      <c r="K59" s="7" t="s">
        <v>24</v>
      </c>
      <c r="L59" s="7" t="s">
        <v>3289</v>
      </c>
      <c r="M59" s="114">
        <v>5514125770</v>
      </c>
      <c r="N59" s="111"/>
      <c r="O59" s="109">
        <v>15000000</v>
      </c>
      <c r="P59" s="75">
        <v>24000000</v>
      </c>
      <c r="Q59" s="109">
        <f>M59+N59+O59+P59</f>
        <v>5553125770</v>
      </c>
      <c r="R59" s="5"/>
      <c r="S59" s="5"/>
      <c r="T59" s="72"/>
      <c r="U59" s="7"/>
      <c r="V59" s="5"/>
      <c r="W59" s="28">
        <v>5514125770</v>
      </c>
      <c r="X59" s="28">
        <f>N59-S59</f>
        <v>0</v>
      </c>
      <c r="Y59" s="36">
        <f>O59-T59</f>
        <v>15000000</v>
      </c>
      <c r="Z59" s="36">
        <f>P59-U59</f>
        <v>24000000</v>
      </c>
      <c r="AA59" s="8">
        <v>5514125770</v>
      </c>
      <c r="AB59" s="40"/>
      <c r="AC59" s="121">
        <f>IF(AB59=G59,1,2)</f>
        <v>2</v>
      </c>
      <c r="AD59" s="121"/>
    </row>
    <row r="60" spans="1:30" customFormat="1" ht="31.2" hidden="1" x14ac:dyDescent="0.3">
      <c r="A60" s="7" t="s">
        <v>46</v>
      </c>
      <c r="B60" s="6">
        <v>491</v>
      </c>
      <c r="C60" s="7" t="s">
        <v>2020</v>
      </c>
      <c r="D60" s="7" t="s">
        <v>2072</v>
      </c>
      <c r="E60" s="7" t="s">
        <v>2074</v>
      </c>
      <c r="F60" s="40" t="s">
        <v>2073</v>
      </c>
      <c r="G60" s="7" t="s">
        <v>2075</v>
      </c>
      <c r="H60" s="7" t="s">
        <v>2076</v>
      </c>
      <c r="I60" s="5"/>
      <c r="J60" s="7" t="s">
        <v>2077</v>
      </c>
      <c r="K60" s="7" t="s">
        <v>24</v>
      </c>
      <c r="L60" s="7" t="s">
        <v>2078</v>
      </c>
      <c r="M60" s="109">
        <v>1336260530</v>
      </c>
      <c r="N60" s="109">
        <v>1211633920</v>
      </c>
      <c r="O60" s="109">
        <v>15000000</v>
      </c>
      <c r="P60" s="112">
        <v>42000000</v>
      </c>
      <c r="Q60" s="109">
        <f>M60+N60+O60+P60</f>
        <v>2604894450</v>
      </c>
      <c r="R60" s="36">
        <v>1336260530</v>
      </c>
      <c r="S60" s="3">
        <v>1211633920</v>
      </c>
      <c r="T60" s="30">
        <v>15000000</v>
      </c>
      <c r="U60" s="3">
        <v>42000000</v>
      </c>
      <c r="V60" s="5"/>
      <c r="W60" s="28"/>
      <c r="X60" s="28">
        <f>N60-S60</f>
        <v>0</v>
      </c>
      <c r="Y60" s="28">
        <f>O60-T60</f>
        <v>0</v>
      </c>
      <c r="Z60" s="28">
        <f>P60-U60</f>
        <v>0</v>
      </c>
      <c r="AA60" s="4"/>
      <c r="AB60" s="4"/>
      <c r="AC60">
        <f>IF(AB60=G60,1,2)</f>
        <v>2</v>
      </c>
    </row>
    <row r="61" spans="1:30" customFormat="1" ht="46.8" hidden="1" x14ac:dyDescent="0.3">
      <c r="A61" s="7" t="s">
        <v>18</v>
      </c>
      <c r="B61" s="6">
        <v>495</v>
      </c>
      <c r="C61" s="7" t="s">
        <v>2020</v>
      </c>
      <c r="D61" s="7" t="s">
        <v>2093</v>
      </c>
      <c r="E61" s="43" t="s">
        <v>2052</v>
      </c>
      <c r="F61" s="40" t="s">
        <v>2094</v>
      </c>
      <c r="G61" s="7" t="s">
        <v>2095</v>
      </c>
      <c r="H61" s="7" t="s">
        <v>766</v>
      </c>
      <c r="I61" s="5"/>
      <c r="J61" s="7" t="s">
        <v>2096</v>
      </c>
      <c r="K61" s="7" t="s">
        <v>24</v>
      </c>
      <c r="L61" s="7" t="s">
        <v>2097</v>
      </c>
      <c r="M61" s="109">
        <v>6407680720</v>
      </c>
      <c r="N61" s="115">
        <v>2970696540</v>
      </c>
      <c r="O61" s="109">
        <v>15000000</v>
      </c>
      <c r="P61" s="112">
        <v>54000000</v>
      </c>
      <c r="Q61" s="109">
        <f>M61+N61+O61+P61</f>
        <v>9447377260</v>
      </c>
      <c r="R61" s="9">
        <v>6407680720</v>
      </c>
      <c r="S61" s="3">
        <v>2970696540</v>
      </c>
      <c r="T61" s="30">
        <v>15000000</v>
      </c>
      <c r="U61" s="3">
        <v>54000000</v>
      </c>
      <c r="V61" s="5"/>
      <c r="W61" s="28"/>
      <c r="X61" s="28">
        <f>N61-S61</f>
        <v>0</v>
      </c>
      <c r="Y61" s="28">
        <f>O61-T61</f>
        <v>0</v>
      </c>
      <c r="Z61" s="28">
        <f>P61-U61</f>
        <v>0</v>
      </c>
      <c r="AA61" s="4"/>
      <c r="AB61" s="4"/>
      <c r="AC61">
        <f>IF(AB61=G61,1,2)</f>
        <v>2</v>
      </c>
    </row>
    <row r="62" spans="1:30" customFormat="1" ht="42" hidden="1" x14ac:dyDescent="0.3">
      <c r="A62" s="7" t="s">
        <v>62</v>
      </c>
      <c r="B62" s="6">
        <v>795</v>
      </c>
      <c r="C62" s="7" t="s">
        <v>3313</v>
      </c>
      <c r="D62" s="7" t="s">
        <v>3426</v>
      </c>
      <c r="E62" s="7" t="s">
        <v>2343</v>
      </c>
      <c r="F62" s="7" t="s">
        <v>2094</v>
      </c>
      <c r="G62" s="7" t="s">
        <v>3427</v>
      </c>
      <c r="H62" s="7" t="s">
        <v>3428</v>
      </c>
      <c r="I62" s="5"/>
      <c r="J62" s="21" t="s">
        <v>3429</v>
      </c>
      <c r="K62" s="7" t="s">
        <v>24</v>
      </c>
      <c r="L62" s="7" t="s">
        <v>3430</v>
      </c>
      <c r="M62" s="114">
        <v>10000000</v>
      </c>
      <c r="N62" s="115">
        <v>2527001190</v>
      </c>
      <c r="O62" s="114">
        <v>15000000</v>
      </c>
      <c r="P62" s="112">
        <v>30000000</v>
      </c>
      <c r="Q62" s="109">
        <f>M62+N62+O62+P62</f>
        <v>2582001190</v>
      </c>
      <c r="R62" s="14">
        <v>10000000</v>
      </c>
      <c r="S62" s="14">
        <v>2527001190</v>
      </c>
      <c r="T62" s="30">
        <v>15000000</v>
      </c>
      <c r="U62" s="14">
        <v>30000000</v>
      </c>
      <c r="V62" s="5"/>
      <c r="W62" s="28"/>
      <c r="X62" s="28">
        <f>N62-S62</f>
        <v>0</v>
      </c>
      <c r="Y62" s="28">
        <f>O62-T62</f>
        <v>0</v>
      </c>
      <c r="Z62" s="28">
        <f>P62-U62</f>
        <v>0</v>
      </c>
      <c r="AA62" s="4"/>
      <c r="AB62" s="4"/>
      <c r="AC62">
        <f>IF(AB62=G62,1,2)</f>
        <v>2</v>
      </c>
    </row>
    <row r="63" spans="1:30" customFormat="1" ht="42" hidden="1" x14ac:dyDescent="0.3">
      <c r="A63" s="7" t="s">
        <v>1601</v>
      </c>
      <c r="B63" s="6">
        <v>823</v>
      </c>
      <c r="C63" s="7" t="s">
        <v>3506</v>
      </c>
      <c r="D63" s="7" t="s">
        <v>3554</v>
      </c>
      <c r="E63" s="7" t="s">
        <v>2343</v>
      </c>
      <c r="F63" s="40" t="s">
        <v>2094</v>
      </c>
      <c r="G63" s="7" t="s">
        <v>3555</v>
      </c>
      <c r="H63" s="7" t="s">
        <v>3556</v>
      </c>
      <c r="I63" s="5"/>
      <c r="J63" s="21" t="s">
        <v>3557</v>
      </c>
      <c r="K63" s="7" t="s">
        <v>24</v>
      </c>
      <c r="L63" s="7" t="s">
        <v>3558</v>
      </c>
      <c r="M63" s="114">
        <v>10000000</v>
      </c>
      <c r="N63" s="114">
        <v>417893364</v>
      </c>
      <c r="O63" s="114">
        <v>15000000</v>
      </c>
      <c r="P63" s="112">
        <v>24000000</v>
      </c>
      <c r="Q63" s="109">
        <f>M63+N63+O63+P63</f>
        <v>466893364</v>
      </c>
      <c r="R63" s="14">
        <v>10000000</v>
      </c>
      <c r="S63" s="14">
        <v>417893364</v>
      </c>
      <c r="T63" s="30">
        <v>15000000</v>
      </c>
      <c r="U63" s="14">
        <v>24000000</v>
      </c>
      <c r="V63" s="5"/>
      <c r="W63" s="28"/>
      <c r="X63" s="28">
        <f>N63-S63</f>
        <v>0</v>
      </c>
      <c r="Y63" s="28">
        <f>O63-T63</f>
        <v>0</v>
      </c>
      <c r="Z63" s="28">
        <f>P63-U63</f>
        <v>0</v>
      </c>
      <c r="AA63" s="4"/>
      <c r="AB63" s="4"/>
      <c r="AC63">
        <f>IF(AB63=G63,1,2)</f>
        <v>2</v>
      </c>
    </row>
    <row r="64" spans="1:30" customFormat="1" ht="46.8" hidden="1" x14ac:dyDescent="0.3">
      <c r="A64" s="7" t="s">
        <v>62</v>
      </c>
      <c r="B64" s="6">
        <v>733</v>
      </c>
      <c r="C64" s="7" t="s">
        <v>2877</v>
      </c>
      <c r="D64" s="7" t="s">
        <v>3150</v>
      </c>
      <c r="E64" s="7" t="s">
        <v>3152</v>
      </c>
      <c r="F64" s="40" t="s">
        <v>3151</v>
      </c>
      <c r="G64" s="7" t="s">
        <v>3153</v>
      </c>
      <c r="H64" s="7" t="s">
        <v>3154</v>
      </c>
      <c r="I64" s="5"/>
      <c r="J64" s="21" t="s">
        <v>3155</v>
      </c>
      <c r="K64" s="7" t="s">
        <v>24</v>
      </c>
      <c r="L64" s="7" t="s">
        <v>3156</v>
      </c>
      <c r="M64" s="114">
        <v>1706747626</v>
      </c>
      <c r="N64" s="114">
        <v>471972074</v>
      </c>
      <c r="O64" s="114">
        <v>15000000</v>
      </c>
      <c r="P64" s="112">
        <v>24000000</v>
      </c>
      <c r="Q64" s="109">
        <f>M64+N64+O64+P64</f>
        <v>2217719700</v>
      </c>
      <c r="R64" s="37">
        <v>1706747626</v>
      </c>
      <c r="S64" s="14">
        <v>471972074</v>
      </c>
      <c r="T64" s="30">
        <v>15000000</v>
      </c>
      <c r="U64" s="14">
        <v>24000000</v>
      </c>
      <c r="V64" s="5"/>
      <c r="W64" s="28"/>
      <c r="X64" s="28">
        <f>N64-S64</f>
        <v>0</v>
      </c>
      <c r="Y64" s="28">
        <f>O64-T64</f>
        <v>0</v>
      </c>
      <c r="Z64" s="28">
        <f>P64-U64</f>
        <v>0</v>
      </c>
      <c r="AA64" s="4"/>
      <c r="AB64" s="4"/>
      <c r="AC64">
        <f>IF(AB64=G64,1,2)</f>
        <v>2</v>
      </c>
    </row>
    <row r="65" spans="1:30" customFormat="1" ht="62.4" hidden="1" x14ac:dyDescent="0.3">
      <c r="A65" s="7" t="s">
        <v>46</v>
      </c>
      <c r="B65" s="6">
        <v>83</v>
      </c>
      <c r="C65" s="7" t="s">
        <v>297</v>
      </c>
      <c r="D65" s="7" t="s">
        <v>297</v>
      </c>
      <c r="E65" s="7" t="s">
        <v>309</v>
      </c>
      <c r="F65" s="40" t="s">
        <v>308</v>
      </c>
      <c r="G65" s="7" t="s">
        <v>310</v>
      </c>
      <c r="H65" s="7" t="s">
        <v>311</v>
      </c>
      <c r="I65" s="5"/>
      <c r="J65" s="7" t="s">
        <v>312</v>
      </c>
      <c r="K65" s="7" t="s">
        <v>24</v>
      </c>
      <c r="L65" s="7" t="s">
        <v>313</v>
      </c>
      <c r="M65" s="109">
        <v>2870247816</v>
      </c>
      <c r="N65" s="109">
        <v>123263617</v>
      </c>
      <c r="O65" s="109">
        <v>15000000</v>
      </c>
      <c r="P65" s="112">
        <v>94200000</v>
      </c>
      <c r="Q65" s="109">
        <f>M65+N65+O65+P65</f>
        <v>3102711433</v>
      </c>
      <c r="R65" s="3">
        <v>2870247816</v>
      </c>
      <c r="S65" s="3">
        <v>123263617</v>
      </c>
      <c r="T65" s="30">
        <v>15000000</v>
      </c>
      <c r="U65" s="28">
        <v>94200000</v>
      </c>
      <c r="V65" s="5"/>
      <c r="W65" s="28"/>
      <c r="X65" s="28">
        <f>N65-S65</f>
        <v>0</v>
      </c>
      <c r="Y65" s="28">
        <f>O65-T65</f>
        <v>0</v>
      </c>
      <c r="Z65" s="28">
        <f>P65-U65</f>
        <v>0</v>
      </c>
      <c r="AA65" s="4"/>
      <c r="AB65" s="4"/>
      <c r="AC65">
        <f>IF(AB65=G65,1,2)</f>
        <v>2</v>
      </c>
      <c r="AD65" t="s">
        <v>3888</v>
      </c>
    </row>
    <row r="66" spans="1:30" customFormat="1" ht="31.2" hidden="1" x14ac:dyDescent="0.3">
      <c r="A66" s="7" t="s">
        <v>18</v>
      </c>
      <c r="B66" s="6">
        <v>144</v>
      </c>
      <c r="C66" s="7" t="s">
        <v>489</v>
      </c>
      <c r="D66" s="7" t="s">
        <v>521</v>
      </c>
      <c r="E66" s="5"/>
      <c r="F66" s="40" t="s">
        <v>308</v>
      </c>
      <c r="G66" s="7" t="s">
        <v>522</v>
      </c>
      <c r="H66" s="7" t="s">
        <v>27</v>
      </c>
      <c r="I66" s="5"/>
      <c r="J66" s="7" t="s">
        <v>523</v>
      </c>
      <c r="K66" s="7" t="s">
        <v>24</v>
      </c>
      <c r="L66" s="7" t="s">
        <v>369</v>
      </c>
      <c r="M66" s="109">
        <v>9907256382</v>
      </c>
      <c r="N66" s="111"/>
      <c r="O66" s="109">
        <v>15000000</v>
      </c>
      <c r="P66" s="112">
        <v>5600000</v>
      </c>
      <c r="Q66" s="109">
        <f>M66+N66+O66+P66</f>
        <v>9927856382</v>
      </c>
      <c r="R66" s="3">
        <v>9907256382</v>
      </c>
      <c r="S66" s="5"/>
      <c r="T66" s="30">
        <v>15000000</v>
      </c>
      <c r="U66" s="28">
        <v>5600000</v>
      </c>
      <c r="V66" s="5"/>
      <c r="W66" s="28"/>
      <c r="X66" s="28">
        <f>N66-S66</f>
        <v>0</v>
      </c>
      <c r="Y66" s="28">
        <f>O66-T66</f>
        <v>0</v>
      </c>
      <c r="Z66" s="28">
        <f>P66-U66</f>
        <v>0</v>
      </c>
      <c r="AA66" s="4"/>
      <c r="AB66" s="4"/>
      <c r="AC66">
        <f>IF(AB66=G66,1,2)</f>
        <v>2</v>
      </c>
    </row>
    <row r="67" spans="1:30" customFormat="1" ht="46.8" hidden="1" x14ac:dyDescent="0.3">
      <c r="A67" s="7" t="s">
        <v>46</v>
      </c>
      <c r="B67" s="6">
        <v>862</v>
      </c>
      <c r="C67" s="7" t="s">
        <v>3506</v>
      </c>
      <c r="D67" s="7" t="s">
        <v>3719</v>
      </c>
      <c r="E67" s="5"/>
      <c r="F67" s="40" t="s">
        <v>308</v>
      </c>
      <c r="G67" s="7" t="s">
        <v>3720</v>
      </c>
      <c r="H67" s="5"/>
      <c r="I67" s="5"/>
      <c r="J67" s="21" t="s">
        <v>3721</v>
      </c>
      <c r="K67" s="7" t="s">
        <v>24</v>
      </c>
      <c r="L67" s="7" t="s">
        <v>3535</v>
      </c>
      <c r="M67" s="114">
        <v>2882807920</v>
      </c>
      <c r="N67" s="111"/>
      <c r="O67" s="114">
        <v>15000000</v>
      </c>
      <c r="P67" s="112">
        <v>16000000</v>
      </c>
      <c r="Q67" s="109">
        <f>M67+N67+O67+P67</f>
        <v>2913807920</v>
      </c>
      <c r="R67" s="14">
        <v>2882807920</v>
      </c>
      <c r="S67" s="5"/>
      <c r="T67" s="30">
        <v>15000000</v>
      </c>
      <c r="U67" s="14">
        <v>16000000</v>
      </c>
      <c r="V67" s="5"/>
      <c r="W67" s="28"/>
      <c r="X67" s="28">
        <f>N67-S67</f>
        <v>0</v>
      </c>
      <c r="Y67" s="28">
        <f>O67-T67</f>
        <v>0</v>
      </c>
      <c r="Z67" s="28">
        <f>P67-U67</f>
        <v>0</v>
      </c>
      <c r="AA67" s="4"/>
      <c r="AB67" s="4"/>
      <c r="AC67">
        <f>IF(AB67=G67,1,2)</f>
        <v>2</v>
      </c>
    </row>
    <row r="68" spans="1:30" customFormat="1" ht="62.4" hidden="1" x14ac:dyDescent="0.3">
      <c r="A68" s="7" t="s">
        <v>62</v>
      </c>
      <c r="B68" s="6">
        <v>711</v>
      </c>
      <c r="C68" s="7" t="s">
        <v>2877</v>
      </c>
      <c r="D68" s="7" t="s">
        <v>3046</v>
      </c>
      <c r="E68" s="5"/>
      <c r="F68" s="40" t="s">
        <v>3047</v>
      </c>
      <c r="G68" s="7" t="s">
        <v>3048</v>
      </c>
      <c r="H68" s="5"/>
      <c r="I68" s="5"/>
      <c r="J68" s="21" t="s">
        <v>3049</v>
      </c>
      <c r="K68" s="7" t="s">
        <v>24</v>
      </c>
      <c r="L68" s="7" t="s">
        <v>3050</v>
      </c>
      <c r="M68" s="114">
        <v>1080696928</v>
      </c>
      <c r="N68" s="111"/>
      <c r="O68" s="114">
        <v>15000000</v>
      </c>
      <c r="P68" s="112">
        <v>120000000</v>
      </c>
      <c r="Q68" s="109">
        <f>M68+N68+O68+P68</f>
        <v>1215696928</v>
      </c>
      <c r="R68" s="14">
        <v>1080696928</v>
      </c>
      <c r="S68" s="5"/>
      <c r="T68" s="33">
        <v>15000000</v>
      </c>
      <c r="U68" s="14">
        <v>120000000</v>
      </c>
      <c r="V68" s="5"/>
      <c r="W68" s="28"/>
      <c r="X68" s="28">
        <f>N68-S68</f>
        <v>0</v>
      </c>
      <c r="Y68" s="28">
        <f>O68-T68</f>
        <v>0</v>
      </c>
      <c r="Z68" s="28">
        <f>P68-U68</f>
        <v>0</v>
      </c>
      <c r="AA68" s="4"/>
      <c r="AB68" s="4"/>
      <c r="AC68">
        <f>IF(AB68=G68,1,2)</f>
        <v>2</v>
      </c>
    </row>
    <row r="69" spans="1:30" customFormat="1" ht="62.4" hidden="1" x14ac:dyDescent="0.3">
      <c r="A69" s="7" t="s">
        <v>1601</v>
      </c>
      <c r="B69" s="6">
        <v>744</v>
      </c>
      <c r="C69" s="7" t="s">
        <v>2877</v>
      </c>
      <c r="D69" s="7" t="s">
        <v>3199</v>
      </c>
      <c r="E69" s="5"/>
      <c r="F69" s="40" t="s">
        <v>3047</v>
      </c>
      <c r="G69" s="7" t="s">
        <v>3200</v>
      </c>
      <c r="H69" s="5"/>
      <c r="I69" s="5"/>
      <c r="J69" s="21" t="s">
        <v>605</v>
      </c>
      <c r="K69" s="7" t="s">
        <v>24</v>
      </c>
      <c r="L69" s="7" t="s">
        <v>3201</v>
      </c>
      <c r="M69" s="114">
        <v>416665504</v>
      </c>
      <c r="N69" s="111"/>
      <c r="O69" s="114">
        <v>15000000</v>
      </c>
      <c r="P69" s="112">
        <v>72000000</v>
      </c>
      <c r="Q69" s="109">
        <f>M69+N69+O69+P69</f>
        <v>503665504</v>
      </c>
      <c r="R69" s="14">
        <v>416665504</v>
      </c>
      <c r="S69" s="5"/>
      <c r="T69" s="30">
        <v>15000000</v>
      </c>
      <c r="U69" s="14">
        <v>72000000</v>
      </c>
      <c r="V69" s="5"/>
      <c r="W69" s="28"/>
      <c r="X69" s="28">
        <f>N69-S69</f>
        <v>0</v>
      </c>
      <c r="Y69" s="28">
        <f>O69-T69</f>
        <v>0</v>
      </c>
      <c r="Z69" s="28">
        <f>P69-U69</f>
        <v>0</v>
      </c>
      <c r="AA69" s="4"/>
      <c r="AB69" s="4"/>
      <c r="AC69">
        <f>IF(AB69=G69,1,2)</f>
        <v>2</v>
      </c>
    </row>
    <row r="70" spans="1:30" customFormat="1" ht="63" hidden="1" x14ac:dyDescent="0.3">
      <c r="A70" s="7" t="s">
        <v>1601</v>
      </c>
      <c r="B70" s="6">
        <v>864</v>
      </c>
      <c r="C70" s="7" t="s">
        <v>3725</v>
      </c>
      <c r="D70" s="7" t="s">
        <v>3726</v>
      </c>
      <c r="E70" s="7" t="s">
        <v>3728</v>
      </c>
      <c r="F70" s="40" t="s">
        <v>3727</v>
      </c>
      <c r="G70" s="7" t="s">
        <v>3729</v>
      </c>
      <c r="H70" s="7" t="s">
        <v>3730</v>
      </c>
      <c r="I70" s="5"/>
      <c r="J70" s="21" t="s">
        <v>3731</v>
      </c>
      <c r="K70" s="7" t="s">
        <v>24</v>
      </c>
      <c r="L70" s="7" t="s">
        <v>1666</v>
      </c>
      <c r="M70" s="114">
        <v>163511848</v>
      </c>
      <c r="N70" s="114">
        <v>1198719060</v>
      </c>
      <c r="O70" s="114">
        <v>15000000</v>
      </c>
      <c r="P70" s="112">
        <v>24000000</v>
      </c>
      <c r="Q70" s="109">
        <f>M70+N70+O70+P70</f>
        <v>1401230908</v>
      </c>
      <c r="R70" s="14">
        <v>163511848</v>
      </c>
      <c r="S70" s="14">
        <v>1198719060</v>
      </c>
      <c r="T70" s="30">
        <v>15000000</v>
      </c>
      <c r="U70" s="14">
        <v>24000000</v>
      </c>
      <c r="V70" s="5"/>
      <c r="W70" s="28"/>
      <c r="X70" s="28">
        <f>N70-S70</f>
        <v>0</v>
      </c>
      <c r="Y70" s="28">
        <f>O70-T70</f>
        <v>0</v>
      </c>
      <c r="Z70" s="28">
        <f>P70-U70</f>
        <v>0</v>
      </c>
      <c r="AA70" s="4"/>
      <c r="AB70" s="4"/>
      <c r="AC70">
        <f>IF(AB70=G70,1,2)</f>
        <v>2</v>
      </c>
    </row>
    <row r="71" spans="1:30" customFormat="1" ht="46.8" hidden="1" x14ac:dyDescent="0.3">
      <c r="A71" s="7" t="s">
        <v>53</v>
      </c>
      <c r="B71" s="6">
        <v>344</v>
      </c>
      <c r="C71" s="7" t="s">
        <v>1077</v>
      </c>
      <c r="D71" s="7" t="s">
        <v>1424</v>
      </c>
      <c r="E71" s="5"/>
      <c r="F71" s="40" t="s">
        <v>1425</v>
      </c>
      <c r="G71" s="7" t="s">
        <v>1426</v>
      </c>
      <c r="H71" s="5"/>
      <c r="I71" s="5"/>
      <c r="J71" s="7" t="s">
        <v>1427</v>
      </c>
      <c r="K71" s="7" t="s">
        <v>24</v>
      </c>
      <c r="L71" s="7" t="s">
        <v>1428</v>
      </c>
      <c r="M71" s="109">
        <v>1585255168</v>
      </c>
      <c r="N71" s="111"/>
      <c r="O71" s="109">
        <v>15000000</v>
      </c>
      <c r="P71" s="112">
        <v>48000000</v>
      </c>
      <c r="Q71" s="109">
        <f>M71+N71+O71+P71</f>
        <v>1648255168</v>
      </c>
      <c r="R71" s="3">
        <v>1585255168</v>
      </c>
      <c r="S71" s="5"/>
      <c r="T71" s="30">
        <v>15000000</v>
      </c>
      <c r="U71" s="28">
        <v>48000000</v>
      </c>
      <c r="V71" s="5"/>
      <c r="W71" s="28"/>
      <c r="X71" s="28">
        <f>N71-S71</f>
        <v>0</v>
      </c>
      <c r="Y71" s="28">
        <f>O71-T71</f>
        <v>0</v>
      </c>
      <c r="Z71" s="28">
        <f>P71-U71</f>
        <v>0</v>
      </c>
      <c r="AA71" s="4"/>
      <c r="AB71" s="4"/>
      <c r="AC71">
        <f>IF(AB71=G71,1,2)</f>
        <v>2</v>
      </c>
    </row>
    <row r="72" spans="1:30" customFormat="1" ht="31.2" hidden="1" x14ac:dyDescent="0.3">
      <c r="A72" s="7" t="s">
        <v>18</v>
      </c>
      <c r="B72" s="6">
        <v>152</v>
      </c>
      <c r="C72" s="7" t="s">
        <v>555</v>
      </c>
      <c r="D72" s="7" t="s">
        <v>556</v>
      </c>
      <c r="E72" s="7" t="s">
        <v>389</v>
      </c>
      <c r="F72" s="40" t="s">
        <v>557</v>
      </c>
      <c r="G72" s="7" t="s">
        <v>558</v>
      </c>
      <c r="H72" s="7" t="s">
        <v>400</v>
      </c>
      <c r="I72" s="5"/>
      <c r="J72" s="7" t="s">
        <v>559</v>
      </c>
      <c r="K72" s="7" t="s">
        <v>24</v>
      </c>
      <c r="L72" s="7" t="s">
        <v>560</v>
      </c>
      <c r="M72" s="109">
        <v>2958066419</v>
      </c>
      <c r="N72" s="109">
        <v>403742592</v>
      </c>
      <c r="O72" s="109">
        <v>15000000</v>
      </c>
      <c r="P72" s="112">
        <v>45066673</v>
      </c>
      <c r="Q72" s="109">
        <f>M72+N72+O72+P72</f>
        <v>3421875684</v>
      </c>
      <c r="R72" s="3">
        <v>2958066419</v>
      </c>
      <c r="S72" s="3">
        <v>403742592</v>
      </c>
      <c r="T72" s="30">
        <v>15000000</v>
      </c>
      <c r="U72" s="28">
        <v>45066673</v>
      </c>
      <c r="V72" s="5"/>
      <c r="W72" s="28"/>
      <c r="X72" s="28">
        <f>N72-S72</f>
        <v>0</v>
      </c>
      <c r="Y72" s="28">
        <f>O72-T72</f>
        <v>0</v>
      </c>
      <c r="Z72" s="28">
        <f>P72-U72</f>
        <v>0</v>
      </c>
      <c r="AA72" s="4"/>
      <c r="AB72" s="4"/>
      <c r="AC72">
        <f>IF(AB72=G72,1,2)</f>
        <v>2</v>
      </c>
    </row>
    <row r="73" spans="1:30" customFormat="1" ht="78" hidden="1" x14ac:dyDescent="0.3">
      <c r="A73" s="7" t="s">
        <v>18</v>
      </c>
      <c r="B73" s="6">
        <v>660</v>
      </c>
      <c r="C73" s="7" t="s">
        <v>2800</v>
      </c>
      <c r="D73" s="7" t="s">
        <v>2822</v>
      </c>
      <c r="E73" s="5"/>
      <c r="F73" s="7" t="s">
        <v>2823</v>
      </c>
      <c r="G73" s="7" t="s">
        <v>2824</v>
      </c>
      <c r="H73" s="5"/>
      <c r="I73" s="5"/>
      <c r="J73" s="21" t="s">
        <v>2825</v>
      </c>
      <c r="K73" s="7" t="s">
        <v>24</v>
      </c>
      <c r="L73" s="7" t="s">
        <v>2826</v>
      </c>
      <c r="M73" s="114">
        <v>10000000</v>
      </c>
      <c r="N73" s="111"/>
      <c r="O73" s="114">
        <v>15000000</v>
      </c>
      <c r="P73" s="112">
        <v>72000000</v>
      </c>
      <c r="Q73" s="109">
        <f>M73+N73+O73+P73</f>
        <v>97000000</v>
      </c>
      <c r="R73" s="3">
        <v>10000000</v>
      </c>
      <c r="S73" s="5"/>
      <c r="T73" s="30">
        <v>15000000</v>
      </c>
      <c r="U73" s="28">
        <v>72000000</v>
      </c>
      <c r="V73" s="5"/>
      <c r="W73" s="28"/>
      <c r="X73" s="28">
        <f>N73-S73</f>
        <v>0</v>
      </c>
      <c r="Y73" s="28">
        <f>O73-T73</f>
        <v>0</v>
      </c>
      <c r="Z73" s="28">
        <f>P73-U73</f>
        <v>0</v>
      </c>
      <c r="AA73" s="4"/>
      <c r="AB73" s="4"/>
      <c r="AC73">
        <f>IF(AB73=G73,1,2)</f>
        <v>2</v>
      </c>
    </row>
    <row r="74" spans="1:30" customFormat="1" ht="62.4" hidden="1" x14ac:dyDescent="0.3">
      <c r="A74" s="7" t="s">
        <v>1601</v>
      </c>
      <c r="B74" s="6">
        <v>592</v>
      </c>
      <c r="C74" s="7" t="s">
        <v>2323</v>
      </c>
      <c r="D74" s="7" t="s">
        <v>2511</v>
      </c>
      <c r="E74" s="7" t="s">
        <v>3875</v>
      </c>
      <c r="F74" s="40" t="s">
        <v>2512</v>
      </c>
      <c r="G74" s="7" t="s">
        <v>2514</v>
      </c>
      <c r="H74" s="7" t="s">
        <v>3903</v>
      </c>
      <c r="I74" s="5"/>
      <c r="J74" s="7" t="s">
        <v>2516</v>
      </c>
      <c r="K74" s="7" t="s">
        <v>24</v>
      </c>
      <c r="L74" s="7" t="s">
        <v>2517</v>
      </c>
      <c r="M74" s="109">
        <v>9029596830</v>
      </c>
      <c r="N74" s="109">
        <v>1121289520</v>
      </c>
      <c r="O74" s="114">
        <v>15000000</v>
      </c>
      <c r="P74" s="112">
        <v>48000000</v>
      </c>
      <c r="Q74" s="109">
        <f>M74+N74+O74+P74</f>
        <v>10213886350</v>
      </c>
      <c r="R74" s="36">
        <v>9029596830</v>
      </c>
      <c r="S74" s="3">
        <v>1121289520</v>
      </c>
      <c r="T74" s="31">
        <v>15000000</v>
      </c>
      <c r="U74" s="3">
        <v>48000000</v>
      </c>
      <c r="V74" s="5"/>
      <c r="W74" s="28"/>
      <c r="X74" s="36">
        <f>N74-S74</f>
        <v>0</v>
      </c>
      <c r="Y74" s="28">
        <f>O74-T74</f>
        <v>0</v>
      </c>
      <c r="Z74" s="28">
        <f>P74-U74</f>
        <v>0</v>
      </c>
      <c r="AA74" s="40"/>
      <c r="AB74" s="40"/>
      <c r="AC74" s="61">
        <f>IF(AB74=G74,1,2)</f>
        <v>2</v>
      </c>
      <c r="AD74" s="61"/>
    </row>
    <row r="75" spans="1:30" customFormat="1" ht="31.2" hidden="1" x14ac:dyDescent="0.3">
      <c r="A75" s="7" t="s">
        <v>62</v>
      </c>
      <c r="B75" s="6">
        <v>777</v>
      </c>
      <c r="C75" s="7" t="s">
        <v>3313</v>
      </c>
      <c r="D75" s="7" t="s">
        <v>3345</v>
      </c>
      <c r="E75" s="5"/>
      <c r="F75" s="40" t="s">
        <v>3346</v>
      </c>
      <c r="G75" s="7" t="s">
        <v>3347</v>
      </c>
      <c r="H75" s="5"/>
      <c r="I75" s="5"/>
      <c r="J75" s="21" t="s">
        <v>3348</v>
      </c>
      <c r="K75" s="7" t="s">
        <v>24</v>
      </c>
      <c r="L75" s="7" t="s">
        <v>2856</v>
      </c>
      <c r="M75" s="114">
        <v>885586096</v>
      </c>
      <c r="N75" s="111"/>
      <c r="O75" s="114">
        <v>15000000</v>
      </c>
      <c r="P75" s="112">
        <v>40000000</v>
      </c>
      <c r="Q75" s="109">
        <f>M75+N75+O75+P75</f>
        <v>940586096</v>
      </c>
      <c r="R75" s="14">
        <v>885586096</v>
      </c>
      <c r="S75" s="5"/>
      <c r="T75" s="33">
        <v>15000000</v>
      </c>
      <c r="U75" s="28">
        <v>40000000</v>
      </c>
      <c r="V75" s="5"/>
      <c r="W75" s="28"/>
      <c r="X75" s="28">
        <f>N75-S75</f>
        <v>0</v>
      </c>
      <c r="Y75" s="28">
        <f>O75-T75</f>
        <v>0</v>
      </c>
      <c r="Z75" s="28">
        <f>P75-U75</f>
        <v>0</v>
      </c>
      <c r="AA75" s="4"/>
      <c r="AB75" s="4"/>
      <c r="AC75">
        <f>IF(AB75=G75,1,2)</f>
        <v>2</v>
      </c>
    </row>
    <row r="76" spans="1:30" customFormat="1" ht="46.8" hidden="1" x14ac:dyDescent="0.3">
      <c r="A76" s="7" t="s">
        <v>46</v>
      </c>
      <c r="B76" s="6">
        <v>286</v>
      </c>
      <c r="C76" s="7" t="s">
        <v>1077</v>
      </c>
      <c r="D76" s="7" t="s">
        <v>1161</v>
      </c>
      <c r="E76" s="7" t="s">
        <v>1163</v>
      </c>
      <c r="F76" s="40" t="s">
        <v>1162</v>
      </c>
      <c r="G76" s="7" t="s">
        <v>1164</v>
      </c>
      <c r="H76" s="7" t="s">
        <v>1165</v>
      </c>
      <c r="I76" s="5"/>
      <c r="J76" s="7" t="s">
        <v>1166</v>
      </c>
      <c r="K76" s="7" t="s">
        <v>24</v>
      </c>
      <c r="L76" s="7" t="s">
        <v>1167</v>
      </c>
      <c r="M76" s="109">
        <v>2353030170</v>
      </c>
      <c r="N76" s="109">
        <v>56355840</v>
      </c>
      <c r="O76" s="109">
        <v>15000000</v>
      </c>
      <c r="P76" s="112">
        <v>48000000</v>
      </c>
      <c r="Q76" s="109">
        <f>M76+N76+O76+P76</f>
        <v>2472386010</v>
      </c>
      <c r="R76" s="3">
        <v>2353030170</v>
      </c>
      <c r="S76" s="3">
        <v>56355840</v>
      </c>
      <c r="T76" s="30">
        <v>15000000</v>
      </c>
      <c r="U76" s="28">
        <v>48000000</v>
      </c>
      <c r="V76" s="5"/>
      <c r="W76" s="28"/>
      <c r="X76" s="28">
        <f>N76-S76</f>
        <v>0</v>
      </c>
      <c r="Y76" s="28">
        <f>O76-T76</f>
        <v>0</v>
      </c>
      <c r="Z76" s="28">
        <f>P76-U76</f>
        <v>0</v>
      </c>
      <c r="AA76" s="4"/>
      <c r="AB76" s="4"/>
      <c r="AC76">
        <f>IF(AB76=G76,1,2)</f>
        <v>2</v>
      </c>
    </row>
    <row r="77" spans="1:30" ht="31.2" x14ac:dyDescent="0.3">
      <c r="A77" s="7" t="s">
        <v>46</v>
      </c>
      <c r="B77" s="6">
        <v>503</v>
      </c>
      <c r="C77" s="7" t="s">
        <v>2020</v>
      </c>
      <c r="D77" s="7" t="s">
        <v>2126</v>
      </c>
      <c r="E77" s="7" t="s">
        <v>3873</v>
      </c>
      <c r="F77" s="40" t="s">
        <v>1162</v>
      </c>
      <c r="G77" s="7" t="s">
        <v>2127</v>
      </c>
      <c r="H77" s="7" t="s">
        <v>3901</v>
      </c>
      <c r="I77" s="7"/>
      <c r="J77" s="7" t="s">
        <v>2128</v>
      </c>
      <c r="K77" s="7" t="s">
        <v>24</v>
      </c>
      <c r="L77" s="7" t="s">
        <v>2129</v>
      </c>
      <c r="M77" s="109">
        <v>6096414328</v>
      </c>
      <c r="N77" s="74">
        <v>570602880</v>
      </c>
      <c r="O77" s="109">
        <v>15000000</v>
      </c>
      <c r="P77" s="75">
        <v>48000000</v>
      </c>
      <c r="Q77" s="109">
        <f>M77+N77+O77+P77</f>
        <v>6730017208</v>
      </c>
      <c r="R77" s="5"/>
      <c r="S77" s="7"/>
      <c r="T77" s="72"/>
      <c r="U77" s="7"/>
      <c r="V77" s="5"/>
      <c r="W77" s="28">
        <v>6096414328</v>
      </c>
      <c r="X77" s="36">
        <f>N77-S77</f>
        <v>570602880</v>
      </c>
      <c r="Y77" s="36">
        <f>O77-T77</f>
        <v>15000000</v>
      </c>
      <c r="Z77" s="36">
        <f>P77-U77</f>
        <v>48000000</v>
      </c>
      <c r="AA77" s="10">
        <v>6096414328</v>
      </c>
      <c r="AB77" s="40"/>
      <c r="AC77" s="121">
        <f>IF(AB77=G77,1,2)</f>
        <v>2</v>
      </c>
      <c r="AD77" s="121"/>
    </row>
    <row r="78" spans="1:30" customFormat="1" ht="46.8" hidden="1" x14ac:dyDescent="0.3">
      <c r="A78" s="7" t="s">
        <v>62</v>
      </c>
      <c r="B78" s="6">
        <v>780</v>
      </c>
      <c r="C78" s="7" t="s">
        <v>3313</v>
      </c>
      <c r="D78" s="7" t="s">
        <v>3357</v>
      </c>
      <c r="E78" s="7" t="s">
        <v>2442</v>
      </c>
      <c r="F78" s="40" t="s">
        <v>1162</v>
      </c>
      <c r="G78" s="7" t="s">
        <v>3358</v>
      </c>
      <c r="H78" s="7" t="s">
        <v>3359</v>
      </c>
      <c r="I78" s="7" t="s">
        <v>3324</v>
      </c>
      <c r="J78" s="21" t="s">
        <v>3360</v>
      </c>
      <c r="K78" s="7" t="s">
        <v>24</v>
      </c>
      <c r="L78" s="7" t="s">
        <v>3361</v>
      </c>
      <c r="M78" s="114">
        <v>10000000</v>
      </c>
      <c r="N78" s="114">
        <v>619479840</v>
      </c>
      <c r="O78" s="114">
        <v>15000000</v>
      </c>
      <c r="P78" s="112">
        <v>48000000</v>
      </c>
      <c r="Q78" s="109">
        <f>M78+N78+O78+P78</f>
        <v>692479840</v>
      </c>
      <c r="R78" s="14">
        <v>10000000</v>
      </c>
      <c r="S78" s="14">
        <v>619479840</v>
      </c>
      <c r="T78" s="30">
        <v>15000000</v>
      </c>
      <c r="U78" s="28">
        <v>48000000</v>
      </c>
      <c r="V78" s="5"/>
      <c r="W78" s="28"/>
      <c r="X78" s="28">
        <f>N78-S78</f>
        <v>0</v>
      </c>
      <c r="Y78" s="28">
        <f>O78-T78</f>
        <v>0</v>
      </c>
      <c r="Z78" s="28">
        <f>P78-U78</f>
        <v>0</v>
      </c>
      <c r="AA78" s="4"/>
      <c r="AB78" s="4"/>
      <c r="AC78">
        <f>IF(AB78=G78,1,2)</f>
        <v>2</v>
      </c>
    </row>
    <row r="79" spans="1:30" customFormat="1" ht="46.8" hidden="1" x14ac:dyDescent="0.3">
      <c r="A79" s="7" t="s">
        <v>46</v>
      </c>
      <c r="B79" s="6">
        <v>850</v>
      </c>
      <c r="C79" s="7" t="s">
        <v>3506</v>
      </c>
      <c r="D79" s="7" t="s">
        <v>3667</v>
      </c>
      <c r="E79" s="7" t="s">
        <v>3668</v>
      </c>
      <c r="F79" s="40" t="s">
        <v>1162</v>
      </c>
      <c r="G79" s="7" t="s">
        <v>3669</v>
      </c>
      <c r="H79" s="7" t="s">
        <v>3670</v>
      </c>
      <c r="I79" s="5"/>
      <c r="J79" s="21" t="s">
        <v>3671</v>
      </c>
      <c r="K79" s="7" t="s">
        <v>24</v>
      </c>
      <c r="L79" s="7" t="s">
        <v>3672</v>
      </c>
      <c r="M79" s="114">
        <v>412442880</v>
      </c>
      <c r="N79" s="114">
        <v>623213760</v>
      </c>
      <c r="O79" s="114">
        <v>15000000</v>
      </c>
      <c r="P79" s="112">
        <v>48000000</v>
      </c>
      <c r="Q79" s="109">
        <f>M79+N79+O79+P79</f>
        <v>1098656640</v>
      </c>
      <c r="R79" s="14">
        <v>412442880</v>
      </c>
      <c r="S79" s="14">
        <v>623213760</v>
      </c>
      <c r="T79" s="30">
        <v>15000000</v>
      </c>
      <c r="U79" s="28">
        <v>48000000</v>
      </c>
      <c r="V79" s="5"/>
      <c r="W79" s="28"/>
      <c r="X79" s="28">
        <f>N79-S79</f>
        <v>0</v>
      </c>
      <c r="Y79" s="28">
        <f>O79-T79</f>
        <v>0</v>
      </c>
      <c r="Z79" s="28">
        <f>P79-U79</f>
        <v>0</v>
      </c>
      <c r="AA79" s="4"/>
      <c r="AB79" s="4"/>
      <c r="AC79">
        <f>IF(AB79=G79,1,2)</f>
        <v>2</v>
      </c>
    </row>
    <row r="80" spans="1:30" customFormat="1" ht="46.8" hidden="1" x14ac:dyDescent="0.3">
      <c r="A80" s="7" t="s">
        <v>46</v>
      </c>
      <c r="B80" s="6">
        <v>400</v>
      </c>
      <c r="C80" s="7" t="s">
        <v>1591</v>
      </c>
      <c r="D80" s="7" t="s">
        <v>1667</v>
      </c>
      <c r="E80" s="7" t="s">
        <v>1669</v>
      </c>
      <c r="F80" s="40" t="s">
        <v>1668</v>
      </c>
      <c r="G80" s="7" t="s">
        <v>1670</v>
      </c>
      <c r="H80" s="7" t="s">
        <v>1671</v>
      </c>
      <c r="I80" s="5"/>
      <c r="J80" s="7" t="s">
        <v>1672</v>
      </c>
      <c r="K80" s="7" t="s">
        <v>24</v>
      </c>
      <c r="L80" s="7" t="s">
        <v>1673</v>
      </c>
      <c r="M80" s="109">
        <v>10872345664</v>
      </c>
      <c r="N80" s="109">
        <v>425645424</v>
      </c>
      <c r="O80" s="109">
        <v>15000000</v>
      </c>
      <c r="P80" s="112">
        <v>48000000</v>
      </c>
      <c r="Q80" s="109">
        <f>M80+N80+O80+P80</f>
        <v>11360991088</v>
      </c>
      <c r="R80" s="3">
        <v>10872345664</v>
      </c>
      <c r="S80" s="3">
        <v>425645424</v>
      </c>
      <c r="T80" s="30">
        <v>15000000</v>
      </c>
      <c r="U80" s="28">
        <v>48000000</v>
      </c>
      <c r="V80" s="5"/>
      <c r="W80" s="28"/>
      <c r="X80" s="28">
        <f>N80-S80</f>
        <v>0</v>
      </c>
      <c r="Y80" s="28">
        <f>O80-T80</f>
        <v>0</v>
      </c>
      <c r="Z80" s="28">
        <f>P80-U80</f>
        <v>0</v>
      </c>
      <c r="AA80" s="4"/>
      <c r="AB80" s="4"/>
      <c r="AC80">
        <f>IF(AB80=G80,1,2)</f>
        <v>2</v>
      </c>
    </row>
    <row r="81" spans="1:30" customFormat="1" ht="62.4" hidden="1" x14ac:dyDescent="0.3">
      <c r="A81" s="7" t="s">
        <v>18</v>
      </c>
      <c r="B81" s="6">
        <v>338</v>
      </c>
      <c r="C81" s="7" t="s">
        <v>1077</v>
      </c>
      <c r="D81" s="7" t="s">
        <v>1396</v>
      </c>
      <c r="E81" s="7" t="s">
        <v>1398</v>
      </c>
      <c r="F81" s="40" t="s">
        <v>1397</v>
      </c>
      <c r="G81" s="7" t="s">
        <v>1399</v>
      </c>
      <c r="H81" s="7" t="s">
        <v>1400</v>
      </c>
      <c r="I81" s="7"/>
      <c r="J81" s="7" t="s">
        <v>1401</v>
      </c>
      <c r="K81" s="7" t="s">
        <v>24</v>
      </c>
      <c r="L81" s="7" t="s">
        <v>1402</v>
      </c>
      <c r="M81" s="109">
        <v>6891800904</v>
      </c>
      <c r="N81" s="109">
        <v>390746990</v>
      </c>
      <c r="O81" s="109">
        <v>15000000</v>
      </c>
      <c r="P81" s="112">
        <v>48000000</v>
      </c>
      <c r="Q81" s="109">
        <f>M81+N81+O81+P81</f>
        <v>7345547894</v>
      </c>
      <c r="R81" s="3">
        <v>6891800904</v>
      </c>
      <c r="S81" s="3">
        <v>390746990</v>
      </c>
      <c r="T81" s="72"/>
      <c r="U81" s="28">
        <v>48000000</v>
      </c>
      <c r="V81" s="5"/>
      <c r="W81" s="28"/>
      <c r="X81" s="28">
        <f>N81-S81</f>
        <v>0</v>
      </c>
      <c r="Y81" s="36">
        <f>O81-T81</f>
        <v>15000000</v>
      </c>
      <c r="Z81" s="28">
        <f>P81-U81</f>
        <v>0</v>
      </c>
      <c r="AA81" s="4"/>
      <c r="AB81" s="40"/>
      <c r="AC81" s="121">
        <f>IF(AB81=G81,1,2)</f>
        <v>2</v>
      </c>
      <c r="AD81" s="121"/>
    </row>
    <row r="82" spans="1:30" customFormat="1" ht="42" hidden="1" x14ac:dyDescent="0.3">
      <c r="A82" s="7" t="s">
        <v>1601</v>
      </c>
      <c r="B82" s="6">
        <v>752</v>
      </c>
      <c r="C82" s="7" t="s">
        <v>2877</v>
      </c>
      <c r="D82" s="7" t="s">
        <v>3236</v>
      </c>
      <c r="E82" s="7" t="s">
        <v>2343</v>
      </c>
      <c r="F82" s="40" t="s">
        <v>1397</v>
      </c>
      <c r="G82" s="7" t="s">
        <v>3237</v>
      </c>
      <c r="H82" s="5"/>
      <c r="I82" s="5"/>
      <c r="J82" s="21" t="s">
        <v>3238</v>
      </c>
      <c r="K82" s="7" t="s">
        <v>24</v>
      </c>
      <c r="L82" s="7" t="s">
        <v>3239</v>
      </c>
      <c r="M82" s="114">
        <v>10000000</v>
      </c>
      <c r="N82" s="116">
        <v>1047274020</v>
      </c>
      <c r="O82" s="114">
        <v>15000000</v>
      </c>
      <c r="P82" s="112">
        <v>60000000</v>
      </c>
      <c r="Q82" s="109">
        <f>M82+N82+O82+P82</f>
        <v>1132274020</v>
      </c>
      <c r="R82" s="14">
        <v>10000000</v>
      </c>
      <c r="S82" s="14">
        <v>1047274020</v>
      </c>
      <c r="T82" s="30">
        <v>15000000</v>
      </c>
      <c r="U82" s="28">
        <v>60000000</v>
      </c>
      <c r="V82" s="5"/>
      <c r="W82" s="28"/>
      <c r="X82" s="28">
        <f>N82-S82</f>
        <v>0</v>
      </c>
      <c r="Y82" s="28">
        <f>O82-T82</f>
        <v>0</v>
      </c>
      <c r="Z82" s="28">
        <f>P82-U82</f>
        <v>0</v>
      </c>
      <c r="AA82" s="4"/>
      <c r="AB82" s="4"/>
      <c r="AC82">
        <f>IF(AB82=G82,1,2)</f>
        <v>2</v>
      </c>
    </row>
    <row r="83" spans="1:30" customFormat="1" ht="31.2" hidden="1" x14ac:dyDescent="0.3">
      <c r="A83" s="7" t="s">
        <v>1601</v>
      </c>
      <c r="B83" s="6">
        <v>767</v>
      </c>
      <c r="C83" s="7" t="s">
        <v>2877</v>
      </c>
      <c r="D83" s="7" t="s">
        <v>3297</v>
      </c>
      <c r="E83" s="7" t="s">
        <v>2343</v>
      </c>
      <c r="F83" s="40" t="s">
        <v>1397</v>
      </c>
      <c r="G83" s="7" t="s">
        <v>3298</v>
      </c>
      <c r="H83" s="5"/>
      <c r="I83" s="5"/>
      <c r="J83" s="21" t="s">
        <v>3299</v>
      </c>
      <c r="K83" s="7" t="s">
        <v>24</v>
      </c>
      <c r="L83" s="7" t="s">
        <v>3300</v>
      </c>
      <c r="M83" s="114">
        <v>10000000</v>
      </c>
      <c r="N83" s="116">
        <v>3051023772</v>
      </c>
      <c r="O83" s="114">
        <v>15000000</v>
      </c>
      <c r="P83" s="112">
        <v>48000000</v>
      </c>
      <c r="Q83" s="109">
        <f>M83+N83+O83+P83</f>
        <v>3124023772</v>
      </c>
      <c r="R83" s="38">
        <v>10000000</v>
      </c>
      <c r="S83" s="14">
        <v>3051023772</v>
      </c>
      <c r="T83" s="30">
        <v>15000000</v>
      </c>
      <c r="U83" s="28">
        <v>48000000</v>
      </c>
      <c r="V83" s="5"/>
      <c r="W83" s="28"/>
      <c r="X83" s="28">
        <f>N83-S83</f>
        <v>0</v>
      </c>
      <c r="Y83" s="28">
        <f>O83-T83</f>
        <v>0</v>
      </c>
      <c r="Z83" s="28">
        <f>P83-U83</f>
        <v>0</v>
      </c>
      <c r="AA83" s="4"/>
      <c r="AB83" s="4"/>
      <c r="AC83">
        <f>IF(AB83=G83,1,2)</f>
        <v>2</v>
      </c>
    </row>
    <row r="84" spans="1:30" ht="46.8" x14ac:dyDescent="0.3">
      <c r="A84" s="7" t="s">
        <v>18</v>
      </c>
      <c r="B84" s="6">
        <v>373</v>
      </c>
      <c r="C84" s="7" t="s">
        <v>1077</v>
      </c>
      <c r="D84" s="7" t="s">
        <v>1545</v>
      </c>
      <c r="E84" s="7"/>
      <c r="F84" s="40" t="s">
        <v>1546</v>
      </c>
      <c r="G84" s="7" t="s">
        <v>1547</v>
      </c>
      <c r="H84" s="7"/>
      <c r="I84" s="7"/>
      <c r="J84" s="7" t="s">
        <v>1548</v>
      </c>
      <c r="K84" s="7" t="s">
        <v>24</v>
      </c>
      <c r="L84" s="7" t="s">
        <v>1549</v>
      </c>
      <c r="M84" s="109">
        <v>3862052810</v>
      </c>
      <c r="N84" s="111"/>
      <c r="O84" s="109">
        <v>15000000</v>
      </c>
      <c r="P84" s="75">
        <v>56000000</v>
      </c>
      <c r="Q84" s="109">
        <f>M84+N84+O84+P84</f>
        <v>3933052810</v>
      </c>
      <c r="R84" s="3">
        <v>3862052810</v>
      </c>
      <c r="S84" s="5"/>
      <c r="T84" s="30">
        <v>15000000</v>
      </c>
      <c r="U84" s="7"/>
      <c r="V84" s="5"/>
      <c r="W84" s="28"/>
      <c r="X84" s="28">
        <f>N84-S84</f>
        <v>0</v>
      </c>
      <c r="Y84" s="28">
        <f>O84-T84</f>
        <v>0</v>
      </c>
      <c r="Z84" s="36">
        <f>P84-U84</f>
        <v>56000000</v>
      </c>
      <c r="AA84" s="4"/>
      <c r="AB84" s="40"/>
      <c r="AC84" s="61">
        <f>IF(AB84=G84,1,2)</f>
        <v>2</v>
      </c>
    </row>
    <row r="85" spans="1:30" ht="62.4" x14ac:dyDescent="0.3">
      <c r="A85" s="7" t="s">
        <v>18</v>
      </c>
      <c r="B85" s="6">
        <v>664</v>
      </c>
      <c r="C85" s="7" t="s">
        <v>2838</v>
      </c>
      <c r="D85" s="7" t="s">
        <v>2839</v>
      </c>
      <c r="E85" s="7" t="s">
        <v>2841</v>
      </c>
      <c r="F85" s="40" t="s">
        <v>2840</v>
      </c>
      <c r="G85" s="7" t="s">
        <v>2842</v>
      </c>
      <c r="H85" s="7" t="s">
        <v>2843</v>
      </c>
      <c r="I85" s="7"/>
      <c r="J85" s="7" t="s">
        <v>2844</v>
      </c>
      <c r="K85" s="7" t="s">
        <v>24</v>
      </c>
      <c r="L85" s="7" t="s">
        <v>2845</v>
      </c>
      <c r="M85" s="109">
        <v>10000000</v>
      </c>
      <c r="N85" s="109">
        <v>1529015488</v>
      </c>
      <c r="O85" s="109">
        <v>15000000</v>
      </c>
      <c r="P85" s="75">
        <v>48000000</v>
      </c>
      <c r="Q85" s="109">
        <f>M85+N85+O85+P85</f>
        <v>1602015488</v>
      </c>
      <c r="R85" s="14">
        <v>10000000</v>
      </c>
      <c r="S85" s="14">
        <v>1529015488</v>
      </c>
      <c r="T85" s="72"/>
      <c r="U85" s="7"/>
      <c r="V85" s="5"/>
      <c r="W85" s="28"/>
      <c r="X85" s="28">
        <f>N85-S85</f>
        <v>0</v>
      </c>
      <c r="Y85" s="36">
        <f>O85-T85</f>
        <v>15000000</v>
      </c>
      <c r="Z85" s="36">
        <f>P85-U85</f>
        <v>48000000</v>
      </c>
      <c r="AA85" s="4"/>
      <c r="AB85" s="40"/>
      <c r="AC85" s="121">
        <f>IF(AB85=G85,1,2)</f>
        <v>2</v>
      </c>
      <c r="AD85" s="121"/>
    </row>
    <row r="86" spans="1:30" customFormat="1" ht="63" hidden="1" x14ac:dyDescent="0.3">
      <c r="A86" s="7" t="s">
        <v>62</v>
      </c>
      <c r="B86" s="6">
        <v>562</v>
      </c>
      <c r="C86" s="7" t="s">
        <v>2323</v>
      </c>
      <c r="D86" s="7" t="s">
        <v>2381</v>
      </c>
      <c r="E86" s="5"/>
      <c r="F86" s="40" t="s">
        <v>2382</v>
      </c>
      <c r="G86" s="7" t="s">
        <v>2383</v>
      </c>
      <c r="H86" s="5"/>
      <c r="I86" s="5"/>
      <c r="J86" s="21" t="s">
        <v>3859</v>
      </c>
      <c r="K86" s="7" t="s">
        <v>24</v>
      </c>
      <c r="L86" s="7" t="s">
        <v>2384</v>
      </c>
      <c r="M86" s="114">
        <v>1118352476</v>
      </c>
      <c r="N86" s="111"/>
      <c r="O86" s="114">
        <v>15000000</v>
      </c>
      <c r="P86" s="112">
        <v>108000000</v>
      </c>
      <c r="Q86" s="109">
        <f>M86+N86+O86+P86</f>
        <v>1241352476</v>
      </c>
      <c r="R86" s="14">
        <v>1118352476</v>
      </c>
      <c r="S86" s="5"/>
      <c r="T86" s="30">
        <v>15000000</v>
      </c>
      <c r="U86" s="28">
        <v>108000000</v>
      </c>
      <c r="V86" s="5"/>
      <c r="W86" s="28"/>
      <c r="X86" s="28">
        <f>N86-S86</f>
        <v>0</v>
      </c>
      <c r="Y86" s="28">
        <f>O86-T86</f>
        <v>0</v>
      </c>
      <c r="Z86" s="28">
        <f>P86-U86</f>
        <v>0</v>
      </c>
      <c r="AA86" s="4"/>
      <c r="AB86" s="4"/>
      <c r="AC86">
        <f>IF(AB86=G86,1,2)</f>
        <v>2</v>
      </c>
    </row>
    <row r="87" spans="1:30" customFormat="1" ht="46.8" hidden="1" x14ac:dyDescent="0.3">
      <c r="A87" s="7" t="s">
        <v>62</v>
      </c>
      <c r="B87" s="6">
        <v>688</v>
      </c>
      <c r="C87" s="7" t="s">
        <v>2877</v>
      </c>
      <c r="D87" s="7" t="s">
        <v>2946</v>
      </c>
      <c r="E87" s="7" t="s">
        <v>764</v>
      </c>
      <c r="F87" s="4" t="s">
        <v>3885</v>
      </c>
      <c r="G87" s="7" t="s">
        <v>2947</v>
      </c>
      <c r="H87" s="7" t="s">
        <v>2948</v>
      </c>
      <c r="I87" s="5"/>
      <c r="J87" s="21" t="s">
        <v>2949</v>
      </c>
      <c r="K87" s="7" t="s">
        <v>24</v>
      </c>
      <c r="L87" s="7" t="s">
        <v>2950</v>
      </c>
      <c r="M87" s="114">
        <v>1016998986</v>
      </c>
      <c r="N87" s="114">
        <v>86605610</v>
      </c>
      <c r="O87" s="114">
        <v>15000000</v>
      </c>
      <c r="P87" s="110">
        <v>48000000</v>
      </c>
      <c r="Q87" s="109">
        <f>M87+N87+O87+P87</f>
        <v>1166604596</v>
      </c>
      <c r="R87" s="14">
        <v>1016998986</v>
      </c>
      <c r="S87" s="14">
        <v>86605610</v>
      </c>
      <c r="T87" s="33">
        <v>15000000</v>
      </c>
      <c r="U87" s="28">
        <v>48000000</v>
      </c>
      <c r="V87" s="5"/>
      <c r="W87" s="28"/>
      <c r="X87" s="28">
        <f>N87-S87</f>
        <v>0</v>
      </c>
      <c r="Y87" s="28">
        <f>O87-T87</f>
        <v>0</v>
      </c>
      <c r="Z87" s="28">
        <f>P87-U87</f>
        <v>0</v>
      </c>
      <c r="AA87" s="4"/>
      <c r="AB87" s="4"/>
      <c r="AC87">
        <f>IF(AB87=G87,1,2)</f>
        <v>2</v>
      </c>
    </row>
    <row r="88" spans="1:30" ht="31.2" x14ac:dyDescent="0.3">
      <c r="A88" s="7" t="s">
        <v>62</v>
      </c>
      <c r="B88" s="6">
        <v>702</v>
      </c>
      <c r="C88" s="7" t="s">
        <v>2877</v>
      </c>
      <c r="D88" s="7" t="s">
        <v>3007</v>
      </c>
      <c r="E88" s="7" t="s">
        <v>3008</v>
      </c>
      <c r="F88" s="40" t="s">
        <v>3885</v>
      </c>
      <c r="G88" s="7" t="s">
        <v>3009</v>
      </c>
      <c r="H88" s="7" t="s">
        <v>3010</v>
      </c>
      <c r="I88" s="7"/>
      <c r="J88" s="7" t="s">
        <v>3011</v>
      </c>
      <c r="K88" s="7" t="s">
        <v>24</v>
      </c>
      <c r="L88" s="7" t="s">
        <v>3012</v>
      </c>
      <c r="M88" s="114">
        <v>1540321022</v>
      </c>
      <c r="N88" s="114">
        <v>659051076</v>
      </c>
      <c r="O88" s="114">
        <v>15000000</v>
      </c>
      <c r="P88" s="73">
        <v>48000000</v>
      </c>
      <c r="Q88" s="109">
        <f>M88+N88+O88+P88</f>
        <v>2262372098</v>
      </c>
      <c r="R88" s="14">
        <v>1540321022</v>
      </c>
      <c r="S88" s="28">
        <v>659051076</v>
      </c>
      <c r="T88" s="30">
        <v>15000000</v>
      </c>
      <c r="U88" s="7"/>
      <c r="V88" s="5"/>
      <c r="W88" s="28"/>
      <c r="X88" s="28">
        <f>N88-S88</f>
        <v>0</v>
      </c>
      <c r="Y88" s="28">
        <f>O88-T88</f>
        <v>0</v>
      </c>
      <c r="Z88" s="36">
        <f>P88-U88</f>
        <v>48000000</v>
      </c>
      <c r="AA88" s="4"/>
      <c r="AB88" s="40"/>
      <c r="AC88" s="61">
        <f>IF(AB88=G88,1,2)</f>
        <v>2</v>
      </c>
    </row>
    <row r="89" spans="1:30" ht="46.8" x14ac:dyDescent="0.3">
      <c r="A89" s="7" t="s">
        <v>46</v>
      </c>
      <c r="B89" s="6">
        <v>668</v>
      </c>
      <c r="C89" s="7" t="s">
        <v>2838</v>
      </c>
      <c r="D89" s="7" t="s">
        <v>2863</v>
      </c>
      <c r="E89" s="7" t="s">
        <v>2864</v>
      </c>
      <c r="F89" s="40" t="s">
        <v>3884</v>
      </c>
      <c r="G89" s="7" t="s">
        <v>552</v>
      </c>
      <c r="H89" s="7" t="s">
        <v>2865</v>
      </c>
      <c r="I89" s="7"/>
      <c r="J89" s="7" t="s">
        <v>2866</v>
      </c>
      <c r="K89" s="7" t="s">
        <v>24</v>
      </c>
      <c r="L89" s="7" t="s">
        <v>2867</v>
      </c>
      <c r="M89" s="114">
        <v>10000000</v>
      </c>
      <c r="N89" s="114">
        <v>429264612</v>
      </c>
      <c r="O89" s="114">
        <v>15000000</v>
      </c>
      <c r="P89" s="73">
        <v>48000000</v>
      </c>
      <c r="Q89" s="109">
        <f>M89+N89+O89+P89</f>
        <v>502264612</v>
      </c>
      <c r="R89" s="3">
        <v>10000000</v>
      </c>
      <c r="S89" s="14">
        <v>429264612</v>
      </c>
      <c r="T89" s="30">
        <v>15000000</v>
      </c>
      <c r="U89" s="7"/>
      <c r="V89" s="5"/>
      <c r="W89" s="28"/>
      <c r="X89" s="28">
        <f>N89-S89</f>
        <v>0</v>
      </c>
      <c r="Y89" s="28">
        <f>O89-T89</f>
        <v>0</v>
      </c>
      <c r="Z89" s="36">
        <f>P89-U89</f>
        <v>48000000</v>
      </c>
      <c r="AA89" s="4"/>
      <c r="AB89" s="40"/>
      <c r="AC89" s="61">
        <f>IF(AB89=G89,1,2)</f>
        <v>2</v>
      </c>
    </row>
    <row r="90" spans="1:30" ht="46.8" x14ac:dyDescent="0.3">
      <c r="A90" s="7" t="s">
        <v>2290</v>
      </c>
      <c r="B90" s="6">
        <v>831</v>
      </c>
      <c r="C90" s="7" t="s">
        <v>3506</v>
      </c>
      <c r="D90" s="7" t="s">
        <v>3588</v>
      </c>
      <c r="E90" s="7" t="s">
        <v>3589</v>
      </c>
      <c r="F90" s="40" t="s">
        <v>3884</v>
      </c>
      <c r="G90" s="7" t="s">
        <v>3590</v>
      </c>
      <c r="H90" s="7"/>
      <c r="I90" s="7"/>
      <c r="J90" s="7" t="s">
        <v>3591</v>
      </c>
      <c r="K90" s="7" t="s">
        <v>24</v>
      </c>
      <c r="L90" s="7" t="s">
        <v>3592</v>
      </c>
      <c r="M90" s="114">
        <v>10000000</v>
      </c>
      <c r="N90" s="114">
        <v>549610320</v>
      </c>
      <c r="O90" s="114">
        <v>15000000</v>
      </c>
      <c r="P90" s="73">
        <v>48000000</v>
      </c>
      <c r="Q90" s="109">
        <f>M90+N90+O90+P90</f>
        <v>622610320</v>
      </c>
      <c r="R90" s="14">
        <v>10000000</v>
      </c>
      <c r="S90" s="14">
        <v>549610320</v>
      </c>
      <c r="T90" s="30">
        <v>15000000</v>
      </c>
      <c r="U90" s="7"/>
      <c r="V90" s="5"/>
      <c r="W90" s="28"/>
      <c r="X90" s="28">
        <f>N90-S90</f>
        <v>0</v>
      </c>
      <c r="Y90" s="28">
        <f>O90-T90</f>
        <v>0</v>
      </c>
      <c r="Z90" s="36">
        <f>P90-U90</f>
        <v>48000000</v>
      </c>
      <c r="AA90" s="4"/>
      <c r="AB90" s="40"/>
      <c r="AC90" s="61">
        <f>IF(AB90=G90,1,2)</f>
        <v>2</v>
      </c>
    </row>
    <row r="91" spans="1:30" ht="31.2" x14ac:dyDescent="0.3">
      <c r="A91" s="7" t="s">
        <v>53</v>
      </c>
      <c r="B91" s="6">
        <v>466</v>
      </c>
      <c r="C91" s="7" t="s">
        <v>1785</v>
      </c>
      <c r="D91" s="7" t="s">
        <v>1951</v>
      </c>
      <c r="E91" s="7"/>
      <c r="F91" s="40" t="s">
        <v>3890</v>
      </c>
      <c r="G91" s="7" t="s">
        <v>1952</v>
      </c>
      <c r="H91" s="7"/>
      <c r="I91" s="7"/>
      <c r="J91" s="7" t="s">
        <v>1953</v>
      </c>
      <c r="K91" s="7" t="s">
        <v>24</v>
      </c>
      <c r="L91" s="7" t="s">
        <v>1954</v>
      </c>
      <c r="M91" s="109">
        <v>9079262352</v>
      </c>
      <c r="N91" s="111"/>
      <c r="O91" s="109">
        <v>15000000</v>
      </c>
      <c r="P91" s="73">
        <v>72000000</v>
      </c>
      <c r="Q91" s="109">
        <f>M91+N91+O91+P91</f>
        <v>9166262352</v>
      </c>
      <c r="R91" s="3">
        <v>9079262352</v>
      </c>
      <c r="S91" s="5"/>
      <c r="T91" s="30">
        <v>15000000</v>
      </c>
      <c r="U91" s="7"/>
      <c r="V91" s="5"/>
      <c r="W91" s="28"/>
      <c r="X91" s="28">
        <f>N91-S91</f>
        <v>0</v>
      </c>
      <c r="Y91" s="28">
        <f>O91-T91</f>
        <v>0</v>
      </c>
      <c r="Z91" s="36">
        <f>P91-U91</f>
        <v>72000000</v>
      </c>
      <c r="AA91" s="4"/>
      <c r="AB91" s="40"/>
      <c r="AC91" s="61">
        <f>IF(AB91=G91,1,2)</f>
        <v>2</v>
      </c>
    </row>
    <row r="92" spans="1:30" ht="31.2" x14ac:dyDescent="0.3">
      <c r="A92" s="7" t="s">
        <v>62</v>
      </c>
      <c r="B92" s="6">
        <v>575</v>
      </c>
      <c r="C92" s="7" t="s">
        <v>2323</v>
      </c>
      <c r="D92" s="7" t="s">
        <v>2435</v>
      </c>
      <c r="E92" s="7" t="s">
        <v>2436</v>
      </c>
      <c r="F92" s="40" t="s">
        <v>3890</v>
      </c>
      <c r="G92" s="7" t="s">
        <v>2437</v>
      </c>
      <c r="H92" s="7" t="s">
        <v>2438</v>
      </c>
      <c r="I92" s="7"/>
      <c r="J92" s="7" t="s">
        <v>2439</v>
      </c>
      <c r="K92" s="7" t="s">
        <v>24</v>
      </c>
      <c r="L92" s="7" t="s">
        <v>2440</v>
      </c>
      <c r="M92" s="114">
        <v>2862700618</v>
      </c>
      <c r="N92" s="114">
        <v>122707142</v>
      </c>
      <c r="O92" s="114">
        <v>15000000</v>
      </c>
      <c r="P92" s="73">
        <v>60000000</v>
      </c>
      <c r="Q92" s="109">
        <f>M92+N92+O92+P92</f>
        <v>3060407760</v>
      </c>
      <c r="R92" s="14">
        <v>2862700618</v>
      </c>
      <c r="S92" s="14">
        <v>122707142</v>
      </c>
      <c r="T92" s="30">
        <v>15000000</v>
      </c>
      <c r="U92" s="7"/>
      <c r="V92" s="5"/>
      <c r="W92" s="28"/>
      <c r="X92" s="28">
        <f>N92-S92</f>
        <v>0</v>
      </c>
      <c r="Y92" s="28">
        <f>O92-T92</f>
        <v>0</v>
      </c>
      <c r="Z92" s="36">
        <f>P92-U92</f>
        <v>60000000</v>
      </c>
      <c r="AA92" s="4"/>
      <c r="AB92" s="40"/>
      <c r="AC92" s="61">
        <f>IF(AB92=G92,1,2)</f>
        <v>2</v>
      </c>
    </row>
    <row r="93" spans="1:30" ht="46.8" x14ac:dyDescent="0.3">
      <c r="A93" s="7" t="s">
        <v>2290</v>
      </c>
      <c r="B93" s="6">
        <v>843</v>
      </c>
      <c r="C93" s="7" t="s">
        <v>3506</v>
      </c>
      <c r="D93" s="7" t="s">
        <v>3637</v>
      </c>
      <c r="E93" s="7"/>
      <c r="F93" s="40" t="s">
        <v>3890</v>
      </c>
      <c r="G93" s="7" t="s">
        <v>3638</v>
      </c>
      <c r="H93" s="7"/>
      <c r="I93" s="7"/>
      <c r="J93" s="7" t="s">
        <v>3639</v>
      </c>
      <c r="K93" s="7" t="s">
        <v>24</v>
      </c>
      <c r="L93" s="7" t="s">
        <v>3640</v>
      </c>
      <c r="M93" s="114">
        <v>2090430751</v>
      </c>
      <c r="N93" s="111"/>
      <c r="O93" s="114">
        <v>15000000</v>
      </c>
      <c r="P93" s="73">
        <v>132000000</v>
      </c>
      <c r="Q93" s="109">
        <f>M93+N93+O93+P93</f>
        <v>2237430751</v>
      </c>
      <c r="R93" s="14">
        <v>2090430751</v>
      </c>
      <c r="S93" s="5"/>
      <c r="T93" s="30">
        <v>15000000</v>
      </c>
      <c r="U93" s="7"/>
      <c r="V93" s="5"/>
      <c r="W93" s="28"/>
      <c r="X93" s="28">
        <f>N93-S93</f>
        <v>0</v>
      </c>
      <c r="Y93" s="28">
        <f>O93-T93</f>
        <v>0</v>
      </c>
      <c r="Z93" s="36">
        <f>P93-U93</f>
        <v>132000000</v>
      </c>
      <c r="AA93" s="4"/>
      <c r="AB93" s="40"/>
      <c r="AC93" s="61">
        <f>IF(AB93=G93,1,2)</f>
        <v>2</v>
      </c>
    </row>
    <row r="94" spans="1:30" customFormat="1" ht="31.2" hidden="1" x14ac:dyDescent="0.3">
      <c r="A94" s="7" t="s">
        <v>46</v>
      </c>
      <c r="B94" s="6">
        <v>104</v>
      </c>
      <c r="C94" s="7" t="s">
        <v>357</v>
      </c>
      <c r="D94" s="7" t="s">
        <v>357</v>
      </c>
      <c r="E94" s="5"/>
      <c r="F94" s="40" t="s">
        <v>378</v>
      </c>
      <c r="G94" s="7" t="s">
        <v>379</v>
      </c>
      <c r="H94" s="5"/>
      <c r="I94" s="5"/>
      <c r="J94" s="7" t="s">
        <v>380</v>
      </c>
      <c r="K94" s="7" t="s">
        <v>24</v>
      </c>
      <c r="L94" s="7" t="s">
        <v>381</v>
      </c>
      <c r="M94" s="109">
        <v>2113955500</v>
      </c>
      <c r="N94" s="111"/>
      <c r="O94" s="109">
        <v>15000000</v>
      </c>
      <c r="P94" s="112">
        <v>40000000</v>
      </c>
      <c r="Q94" s="109">
        <f>M94+N94+O94+P94</f>
        <v>2168955500</v>
      </c>
      <c r="R94" s="36">
        <v>2113955500</v>
      </c>
      <c r="S94" s="5"/>
      <c r="T94" s="30">
        <v>15000000</v>
      </c>
      <c r="U94" s="3">
        <v>40000000</v>
      </c>
      <c r="V94" s="5"/>
      <c r="W94" s="28"/>
      <c r="X94" s="28">
        <f>N94-S94</f>
        <v>0</v>
      </c>
      <c r="Y94" s="28">
        <f>O94-T94</f>
        <v>0</v>
      </c>
      <c r="Z94" s="28">
        <f>P94-U94</f>
        <v>0</v>
      </c>
      <c r="AA94" s="4"/>
      <c r="AB94" s="4"/>
      <c r="AC94">
        <f>IF(AB94=G94,1,2)</f>
        <v>2</v>
      </c>
    </row>
    <row r="95" spans="1:30" customFormat="1" ht="31.2" hidden="1" x14ac:dyDescent="0.3">
      <c r="A95" s="7" t="s">
        <v>46</v>
      </c>
      <c r="B95" s="6">
        <v>528</v>
      </c>
      <c r="C95" s="7" t="s">
        <v>2020</v>
      </c>
      <c r="D95" s="7" t="s">
        <v>2234</v>
      </c>
      <c r="E95" s="4"/>
      <c r="F95" s="40" t="s">
        <v>378</v>
      </c>
      <c r="G95" s="7" t="s">
        <v>2235</v>
      </c>
      <c r="H95" s="5"/>
      <c r="I95" s="5"/>
      <c r="J95" s="7" t="s">
        <v>2236</v>
      </c>
      <c r="K95" s="7" t="s">
        <v>24</v>
      </c>
      <c r="L95" s="7" t="s">
        <v>2237</v>
      </c>
      <c r="M95" s="109">
        <v>4199771950</v>
      </c>
      <c r="N95" s="111"/>
      <c r="O95" s="109">
        <v>15000000</v>
      </c>
      <c r="P95" s="112">
        <v>144000000</v>
      </c>
      <c r="Q95" s="109">
        <f>M95+N95+O95+P95</f>
        <v>4358771950</v>
      </c>
      <c r="R95" s="3">
        <v>4199771950</v>
      </c>
      <c r="S95" s="5"/>
      <c r="T95" s="30">
        <v>15000000</v>
      </c>
      <c r="U95" s="3">
        <v>144000000</v>
      </c>
      <c r="V95" s="5"/>
      <c r="W95" s="28"/>
      <c r="X95" s="28">
        <f>N95-S95</f>
        <v>0</v>
      </c>
      <c r="Y95" s="28">
        <f>O95-T95</f>
        <v>0</v>
      </c>
      <c r="Z95" s="28">
        <f>P95-U95</f>
        <v>0</v>
      </c>
      <c r="AA95" s="4"/>
      <c r="AB95" s="4"/>
      <c r="AC95">
        <f>IF(AB95=G95,1,2)</f>
        <v>2</v>
      </c>
    </row>
    <row r="96" spans="1:30" customFormat="1" ht="31.2" hidden="1" x14ac:dyDescent="0.3">
      <c r="A96" s="7" t="s">
        <v>46</v>
      </c>
      <c r="B96" s="6">
        <v>530</v>
      </c>
      <c r="C96" s="7" t="s">
        <v>2020</v>
      </c>
      <c r="D96" s="7" t="s">
        <v>2242</v>
      </c>
      <c r="E96" s="4"/>
      <c r="F96" s="40" t="s">
        <v>378</v>
      </c>
      <c r="G96" s="7" t="s">
        <v>2243</v>
      </c>
      <c r="H96" s="5"/>
      <c r="I96" s="5"/>
      <c r="J96" s="7" t="s">
        <v>2244</v>
      </c>
      <c r="K96" s="7" t="s">
        <v>24</v>
      </c>
      <c r="L96" s="7" t="s">
        <v>2245</v>
      </c>
      <c r="M96" s="109">
        <v>4879415244</v>
      </c>
      <c r="N96" s="111"/>
      <c r="O96" s="109">
        <v>15000000</v>
      </c>
      <c r="P96" s="112">
        <v>72000000</v>
      </c>
      <c r="Q96" s="109">
        <f>M96+N96+O96+P96</f>
        <v>4966415244</v>
      </c>
      <c r="R96" s="3">
        <v>4879415244</v>
      </c>
      <c r="S96" s="5"/>
      <c r="T96" s="30">
        <v>15000000</v>
      </c>
      <c r="U96" s="3">
        <v>72000000</v>
      </c>
      <c r="V96" s="5"/>
      <c r="W96" s="28"/>
      <c r="X96" s="28">
        <f>N96-S96</f>
        <v>0</v>
      </c>
      <c r="Y96" s="28">
        <f>O96-T96</f>
        <v>0</v>
      </c>
      <c r="Z96" s="28">
        <f>P96-U96</f>
        <v>0</v>
      </c>
      <c r="AA96" s="4"/>
      <c r="AB96" s="4"/>
      <c r="AC96">
        <f>IF(AB96=G96,1,2)</f>
        <v>2</v>
      </c>
    </row>
    <row r="97" spans="1:30" ht="31.2" x14ac:dyDescent="0.3">
      <c r="A97" s="7" t="s">
        <v>62</v>
      </c>
      <c r="B97" s="6">
        <v>546</v>
      </c>
      <c r="C97" s="7" t="s">
        <v>2250</v>
      </c>
      <c r="D97" s="7" t="s">
        <v>2310</v>
      </c>
      <c r="E97" s="7"/>
      <c r="F97" s="40" t="s">
        <v>378</v>
      </c>
      <c r="G97" s="7" t="s">
        <v>2311</v>
      </c>
      <c r="H97" s="7"/>
      <c r="I97" s="7" t="s">
        <v>1707</v>
      </c>
      <c r="J97" s="7" t="s">
        <v>2312</v>
      </c>
      <c r="K97" s="7" t="s">
        <v>24</v>
      </c>
      <c r="L97" s="7" t="s">
        <v>2313</v>
      </c>
      <c r="M97" s="114">
        <v>5670213620</v>
      </c>
      <c r="N97" s="111"/>
      <c r="O97" s="109">
        <v>15000000</v>
      </c>
      <c r="P97" s="75">
        <v>42000000</v>
      </c>
      <c r="Q97" s="109">
        <f>M97+N97+O97+P97</f>
        <v>5727213620</v>
      </c>
      <c r="R97" s="14">
        <v>5670213620</v>
      </c>
      <c r="S97" s="5"/>
      <c r="T97" s="72"/>
      <c r="U97" s="7"/>
      <c r="V97" s="5"/>
      <c r="W97" s="28"/>
      <c r="X97" s="28">
        <f>N97-S97</f>
        <v>0</v>
      </c>
      <c r="Y97" s="36">
        <f>O97-T97</f>
        <v>15000000</v>
      </c>
      <c r="Z97" s="36">
        <f>P97-U97</f>
        <v>42000000</v>
      </c>
      <c r="AA97" s="4"/>
      <c r="AB97" s="40"/>
      <c r="AC97" s="121">
        <f>IF(AB97=G97,1,2)</f>
        <v>2</v>
      </c>
      <c r="AD97" s="121"/>
    </row>
    <row r="98" spans="1:30" customFormat="1" ht="63" hidden="1" x14ac:dyDescent="0.3">
      <c r="A98" s="7" t="s">
        <v>2290</v>
      </c>
      <c r="B98" s="6">
        <v>652</v>
      </c>
      <c r="C98" s="7" t="s">
        <v>2562</v>
      </c>
      <c r="D98" s="7" t="s">
        <v>2788</v>
      </c>
      <c r="E98" s="5"/>
      <c r="F98" s="40" t="s">
        <v>378</v>
      </c>
      <c r="G98" s="7" t="s">
        <v>2789</v>
      </c>
      <c r="H98" s="5"/>
      <c r="I98" s="7" t="s">
        <v>2685</v>
      </c>
      <c r="J98" s="21" t="s">
        <v>2790</v>
      </c>
      <c r="K98" s="7" t="s">
        <v>24</v>
      </c>
      <c r="L98" s="7" t="s">
        <v>2791</v>
      </c>
      <c r="M98" s="114">
        <v>16382742639</v>
      </c>
      <c r="N98" s="111"/>
      <c r="O98" s="114">
        <v>15000000</v>
      </c>
      <c r="P98" s="112">
        <v>144000000</v>
      </c>
      <c r="Q98" s="109">
        <f>M98+N98+O98+P98</f>
        <v>16541742639</v>
      </c>
      <c r="R98" s="14">
        <v>16382742639</v>
      </c>
      <c r="S98" s="5"/>
      <c r="T98" s="33">
        <v>15000000</v>
      </c>
      <c r="U98" s="14">
        <v>144000000</v>
      </c>
      <c r="V98" s="5"/>
      <c r="W98" s="28"/>
      <c r="X98" s="28">
        <f>N98-S98</f>
        <v>0</v>
      </c>
      <c r="Y98" s="28">
        <f>O98-T98</f>
        <v>0</v>
      </c>
      <c r="Z98" s="28">
        <f>P98-U98</f>
        <v>0</v>
      </c>
      <c r="AA98" s="4"/>
      <c r="AB98" s="4"/>
      <c r="AC98">
        <f>IF(AB98=G98,1,2)</f>
        <v>2</v>
      </c>
    </row>
    <row r="99" spans="1:30" customFormat="1" ht="31.2" hidden="1" x14ac:dyDescent="0.3">
      <c r="A99" s="7" t="s">
        <v>18</v>
      </c>
      <c r="B99" s="6">
        <v>656</v>
      </c>
      <c r="C99" s="7" t="s">
        <v>2800</v>
      </c>
      <c r="D99" s="7" t="s">
        <v>2804</v>
      </c>
      <c r="E99" s="7" t="s">
        <v>2805</v>
      </c>
      <c r="F99" s="40" t="s">
        <v>378</v>
      </c>
      <c r="G99" s="7" t="s">
        <v>2806</v>
      </c>
      <c r="H99" s="7" t="s">
        <v>2807</v>
      </c>
      <c r="I99" s="5"/>
      <c r="J99" s="7" t="s">
        <v>2808</v>
      </c>
      <c r="K99" s="7" t="s">
        <v>24</v>
      </c>
      <c r="L99" s="7" t="s">
        <v>2809</v>
      </c>
      <c r="M99" s="109">
        <v>2036054500</v>
      </c>
      <c r="N99" s="109">
        <v>165171840</v>
      </c>
      <c r="O99" s="114">
        <v>15000000</v>
      </c>
      <c r="P99" s="112">
        <v>24000000</v>
      </c>
      <c r="Q99" s="109">
        <f>M99+N99+O99+P99</f>
        <v>2240226340</v>
      </c>
      <c r="R99" s="14">
        <v>2036054500</v>
      </c>
      <c r="S99" s="36">
        <v>165171840</v>
      </c>
      <c r="T99" s="30">
        <v>15000000</v>
      </c>
      <c r="U99" s="14">
        <v>24000000</v>
      </c>
      <c r="V99" s="5"/>
      <c r="W99" s="28"/>
      <c r="X99" s="36">
        <f>N99-S99</f>
        <v>0</v>
      </c>
      <c r="Y99" s="28">
        <f>O99-T99</f>
        <v>0</v>
      </c>
      <c r="Z99" s="28">
        <f>P99-U99</f>
        <v>0</v>
      </c>
      <c r="AA99" s="40"/>
      <c r="AB99" s="40"/>
      <c r="AC99" s="61">
        <f>IF(AB99=G99,1,2)</f>
        <v>2</v>
      </c>
      <c r="AD99" s="61"/>
    </row>
    <row r="100" spans="1:30" customFormat="1" ht="62.4" hidden="1" x14ac:dyDescent="0.3">
      <c r="A100" s="7" t="s">
        <v>46</v>
      </c>
      <c r="B100" s="6">
        <v>673</v>
      </c>
      <c r="C100" s="7" t="s">
        <v>2877</v>
      </c>
      <c r="D100" s="7" t="s">
        <v>2888</v>
      </c>
      <c r="E100" s="7"/>
      <c r="F100" s="40" t="s">
        <v>378</v>
      </c>
      <c r="G100" s="7" t="s">
        <v>2889</v>
      </c>
      <c r="H100" s="7" t="s">
        <v>2890</v>
      </c>
      <c r="I100" s="7"/>
      <c r="J100" s="7" t="s">
        <v>2891</v>
      </c>
      <c r="K100" s="7" t="s">
        <v>24</v>
      </c>
      <c r="L100" s="7" t="s">
        <v>2892</v>
      </c>
      <c r="M100" s="114">
        <v>235340708770</v>
      </c>
      <c r="N100" s="111"/>
      <c r="O100" s="109">
        <v>15000000</v>
      </c>
      <c r="P100" s="112">
        <v>144000000</v>
      </c>
      <c r="Q100" s="109">
        <f>M100+N100+O100+P100</f>
        <v>235499708770</v>
      </c>
      <c r="R100" s="14">
        <v>235340708770</v>
      </c>
      <c r="S100" s="5"/>
      <c r="T100" s="72"/>
      <c r="U100" s="14">
        <v>144000000</v>
      </c>
      <c r="V100" s="5"/>
      <c r="W100" s="28"/>
      <c r="X100" s="28">
        <f>N100-S100</f>
        <v>0</v>
      </c>
      <c r="Y100" s="36">
        <f>O100-T100</f>
        <v>15000000</v>
      </c>
      <c r="Z100" s="28">
        <f>P100-U100</f>
        <v>0</v>
      </c>
      <c r="AA100" s="4"/>
      <c r="AB100" s="40"/>
      <c r="AC100" s="121">
        <f>IF(AB100=G100,1,2)</f>
        <v>2</v>
      </c>
      <c r="AD100" s="121"/>
    </row>
    <row r="101" spans="1:30" ht="62.4" x14ac:dyDescent="0.3">
      <c r="A101" s="7" t="s">
        <v>2290</v>
      </c>
      <c r="B101" s="6">
        <v>756</v>
      </c>
      <c r="C101" s="7" t="s">
        <v>2877</v>
      </c>
      <c r="D101" s="7" t="s">
        <v>3253</v>
      </c>
      <c r="E101" s="7" t="s">
        <v>3255</v>
      </c>
      <c r="F101" s="40" t="s">
        <v>3254</v>
      </c>
      <c r="G101" s="7" t="s">
        <v>3256</v>
      </c>
      <c r="H101" s="7" t="s">
        <v>3257</v>
      </c>
      <c r="I101" s="7"/>
      <c r="J101" s="7" t="s">
        <v>3258</v>
      </c>
      <c r="K101" s="7" t="s">
        <v>24</v>
      </c>
      <c r="L101" s="7" t="s">
        <v>3259</v>
      </c>
      <c r="M101" s="114">
        <v>1842294840</v>
      </c>
      <c r="N101" s="114">
        <v>866576480</v>
      </c>
      <c r="O101" s="114">
        <v>15000000</v>
      </c>
      <c r="P101" s="75">
        <v>72000000</v>
      </c>
      <c r="Q101" s="109">
        <f>M101+N101+O101+P101</f>
        <v>2795871320</v>
      </c>
      <c r="R101" s="14">
        <v>1842294840</v>
      </c>
      <c r="S101" s="14">
        <v>866576480</v>
      </c>
      <c r="T101" s="33">
        <v>15000000</v>
      </c>
      <c r="U101" s="3">
        <v>24000000</v>
      </c>
      <c r="V101" s="5"/>
      <c r="W101" s="28"/>
      <c r="X101" s="28">
        <f>N101-S101</f>
        <v>0</v>
      </c>
      <c r="Y101" s="28">
        <f>O101-T101</f>
        <v>0</v>
      </c>
      <c r="Z101" s="36">
        <f>P101-U101</f>
        <v>48000000</v>
      </c>
      <c r="AA101" s="4"/>
      <c r="AB101" s="40"/>
      <c r="AC101" s="61">
        <f>IF(AB101=G101,1,2)</f>
        <v>2</v>
      </c>
    </row>
    <row r="102" spans="1:30" customFormat="1" ht="31.2" hidden="1" x14ac:dyDescent="0.3">
      <c r="A102" s="7" t="s">
        <v>18</v>
      </c>
      <c r="B102" s="6">
        <v>169</v>
      </c>
      <c r="C102" s="7" t="s">
        <v>625</v>
      </c>
      <c r="D102" s="7" t="s">
        <v>636</v>
      </c>
      <c r="E102" s="7" t="s">
        <v>638</v>
      </c>
      <c r="F102" s="40" t="s">
        <v>637</v>
      </c>
      <c r="G102" s="7" t="s">
        <v>639</v>
      </c>
      <c r="H102" s="7" t="s">
        <v>640</v>
      </c>
      <c r="I102" s="5"/>
      <c r="J102" s="7" t="s">
        <v>641</v>
      </c>
      <c r="K102" s="7" t="s">
        <v>24</v>
      </c>
      <c r="L102" s="7" t="s">
        <v>642</v>
      </c>
      <c r="M102" s="109">
        <v>5988544304</v>
      </c>
      <c r="N102" s="109">
        <v>118968048</v>
      </c>
      <c r="O102" s="109">
        <v>15000000</v>
      </c>
      <c r="P102" s="112">
        <v>36000000</v>
      </c>
      <c r="Q102" s="109">
        <f>M102+N102+O102+P102</f>
        <v>6158512352</v>
      </c>
      <c r="R102" s="3">
        <v>5988544304</v>
      </c>
      <c r="S102" s="3">
        <v>118968048</v>
      </c>
      <c r="T102" s="30">
        <v>15000000</v>
      </c>
      <c r="U102" s="3">
        <v>36000000</v>
      </c>
      <c r="V102" s="5"/>
      <c r="W102" s="28"/>
      <c r="X102" s="28">
        <f>N102-S102</f>
        <v>0</v>
      </c>
      <c r="Y102" s="28">
        <f>O102-T102</f>
        <v>0</v>
      </c>
      <c r="Z102" s="28">
        <f>P102-U102</f>
        <v>0</v>
      </c>
      <c r="AA102" s="4"/>
      <c r="AB102" s="4"/>
      <c r="AC102">
        <f>IF(AB102=G102,1,2)</f>
        <v>2</v>
      </c>
    </row>
    <row r="103" spans="1:30" customFormat="1" ht="31.2" hidden="1" x14ac:dyDescent="0.3">
      <c r="A103" s="7" t="s">
        <v>18</v>
      </c>
      <c r="B103" s="6">
        <v>189</v>
      </c>
      <c r="C103" s="7" t="s">
        <v>696</v>
      </c>
      <c r="D103" s="7" t="s">
        <v>727</v>
      </c>
      <c r="E103" s="5"/>
      <c r="F103" s="40" t="s">
        <v>637</v>
      </c>
      <c r="G103" s="7" t="s">
        <v>728</v>
      </c>
      <c r="H103" s="5"/>
      <c r="I103" s="5"/>
      <c r="J103" s="7" t="s">
        <v>729</v>
      </c>
      <c r="K103" s="7" t="s">
        <v>24</v>
      </c>
      <c r="L103" s="7" t="s">
        <v>730</v>
      </c>
      <c r="M103" s="109">
        <v>3789029120</v>
      </c>
      <c r="N103" s="111"/>
      <c r="O103" s="109">
        <v>15000000</v>
      </c>
      <c r="P103" s="112">
        <v>24000000</v>
      </c>
      <c r="Q103" s="109">
        <f>M103+N103+O103+P103</f>
        <v>3828029120</v>
      </c>
      <c r="R103" s="3">
        <v>3789029120</v>
      </c>
      <c r="S103" s="5"/>
      <c r="T103" s="30">
        <v>15000000</v>
      </c>
      <c r="U103" s="3">
        <v>24000000</v>
      </c>
      <c r="V103" s="5"/>
      <c r="W103" s="28"/>
      <c r="X103" s="28">
        <f>N103-S103</f>
        <v>0</v>
      </c>
      <c r="Y103" s="28">
        <f>O103-T103</f>
        <v>0</v>
      </c>
      <c r="Z103" s="28">
        <f>P103-U103</f>
        <v>0</v>
      </c>
      <c r="AA103" s="4"/>
      <c r="AB103" s="4"/>
      <c r="AC103">
        <f>IF(AB103=G103,1,2)</f>
        <v>2</v>
      </c>
    </row>
    <row r="104" spans="1:30" customFormat="1" ht="46.8" hidden="1" x14ac:dyDescent="0.3">
      <c r="A104" s="7" t="s">
        <v>53</v>
      </c>
      <c r="B104" s="6">
        <v>282</v>
      </c>
      <c r="C104" s="7" t="s">
        <v>1077</v>
      </c>
      <c r="D104" s="7" t="s">
        <v>1137</v>
      </c>
      <c r="E104" s="7" t="s">
        <v>1138</v>
      </c>
      <c r="F104" s="40" t="s">
        <v>637</v>
      </c>
      <c r="G104" s="7" t="s">
        <v>1139</v>
      </c>
      <c r="H104" s="7" t="s">
        <v>1140</v>
      </c>
      <c r="I104" s="5"/>
      <c r="J104" s="7" t="s">
        <v>1141</v>
      </c>
      <c r="K104" s="7" t="s">
        <v>24</v>
      </c>
      <c r="L104" s="7" t="s">
        <v>1142</v>
      </c>
      <c r="M104" s="109">
        <v>1650170289</v>
      </c>
      <c r="N104" s="109">
        <v>191680384</v>
      </c>
      <c r="O104" s="109">
        <v>15000000</v>
      </c>
      <c r="P104" s="112">
        <v>24000000</v>
      </c>
      <c r="Q104" s="109">
        <f>M104+N104+O104+P104</f>
        <v>1880850673</v>
      </c>
      <c r="R104" s="3">
        <v>1650170289</v>
      </c>
      <c r="S104" s="3">
        <v>191680384</v>
      </c>
      <c r="T104" s="30">
        <v>15000000</v>
      </c>
      <c r="U104" s="3">
        <v>24000000</v>
      </c>
      <c r="V104" s="5"/>
      <c r="W104" s="28"/>
      <c r="X104" s="28">
        <f>N104-S104</f>
        <v>0</v>
      </c>
      <c r="Y104" s="28">
        <f>O104-T104</f>
        <v>0</v>
      </c>
      <c r="Z104" s="28">
        <f>P104-U104</f>
        <v>0</v>
      </c>
      <c r="AA104" s="4"/>
      <c r="AB104" s="4"/>
      <c r="AC104">
        <f>IF(AB104=G104,1,2)</f>
        <v>2</v>
      </c>
    </row>
    <row r="105" spans="1:30" customFormat="1" ht="46.8" hidden="1" x14ac:dyDescent="0.3">
      <c r="A105" s="7" t="s">
        <v>18</v>
      </c>
      <c r="B105" s="6">
        <v>325</v>
      </c>
      <c r="C105" s="7" t="s">
        <v>1077</v>
      </c>
      <c r="D105" s="7" t="s">
        <v>1340</v>
      </c>
      <c r="E105" s="5"/>
      <c r="F105" s="40" t="s">
        <v>637</v>
      </c>
      <c r="G105" s="7" t="s">
        <v>1341</v>
      </c>
      <c r="H105" s="5"/>
      <c r="I105" s="5"/>
      <c r="J105" s="7" t="s">
        <v>1342</v>
      </c>
      <c r="K105" s="7" t="s">
        <v>24</v>
      </c>
      <c r="L105" s="7" t="s">
        <v>1343</v>
      </c>
      <c r="M105" s="109">
        <v>5365012540</v>
      </c>
      <c r="N105" s="111"/>
      <c r="O105" s="109">
        <v>15000000</v>
      </c>
      <c r="P105" s="112">
        <v>24000000</v>
      </c>
      <c r="Q105" s="109">
        <f>M105+N105+O105+P105</f>
        <v>5404012540</v>
      </c>
      <c r="R105" s="3">
        <v>5365012540</v>
      </c>
      <c r="S105" s="5"/>
      <c r="T105" s="30">
        <v>15000000</v>
      </c>
      <c r="U105" s="3">
        <v>24000000</v>
      </c>
      <c r="V105" s="5"/>
      <c r="W105" s="28"/>
      <c r="X105" s="28">
        <f>N105-S105</f>
        <v>0</v>
      </c>
      <c r="Y105" s="28">
        <f>O105-T105</f>
        <v>0</v>
      </c>
      <c r="Z105" s="28">
        <f>P105-U105</f>
        <v>0</v>
      </c>
      <c r="AA105" s="4"/>
      <c r="AB105" s="4"/>
      <c r="AC105">
        <f>IF(AB105=G105,1,2)</f>
        <v>2</v>
      </c>
    </row>
    <row r="106" spans="1:30" customFormat="1" ht="46.8" hidden="1" x14ac:dyDescent="0.3">
      <c r="A106" s="7" t="s">
        <v>46</v>
      </c>
      <c r="B106" s="6">
        <v>410</v>
      </c>
      <c r="C106" s="7" t="s">
        <v>1591</v>
      </c>
      <c r="D106" s="7" t="s">
        <v>1710</v>
      </c>
      <c r="E106" s="7" t="s">
        <v>828</v>
      </c>
      <c r="F106" s="40" t="s">
        <v>637</v>
      </c>
      <c r="G106" s="7" t="s">
        <v>1711</v>
      </c>
      <c r="H106" s="7" t="s">
        <v>1712</v>
      </c>
      <c r="I106" s="5"/>
      <c r="J106" s="7" t="s">
        <v>1713</v>
      </c>
      <c r="K106" s="7" t="s">
        <v>24</v>
      </c>
      <c r="L106" s="7" t="s">
        <v>1714</v>
      </c>
      <c r="M106" s="109">
        <v>4152104400</v>
      </c>
      <c r="N106" s="109">
        <v>332999424</v>
      </c>
      <c r="O106" s="109">
        <v>15000000</v>
      </c>
      <c r="P106" s="112">
        <v>48000000</v>
      </c>
      <c r="Q106" s="109">
        <f>M106+N106+O106+P106</f>
        <v>4548103824</v>
      </c>
      <c r="R106" s="3">
        <v>4152104400</v>
      </c>
      <c r="S106" s="28">
        <v>332999424</v>
      </c>
      <c r="T106" s="30">
        <v>15000000</v>
      </c>
      <c r="U106" s="3">
        <v>48000000</v>
      </c>
      <c r="V106" s="5"/>
      <c r="W106" s="28"/>
      <c r="X106" s="28">
        <f>N106-S106</f>
        <v>0</v>
      </c>
      <c r="Y106" s="28">
        <f>O106-T106</f>
        <v>0</v>
      </c>
      <c r="Z106" s="28">
        <f>P106-U106</f>
        <v>0</v>
      </c>
      <c r="AA106" s="4"/>
      <c r="AB106" s="4"/>
      <c r="AC106">
        <f>IF(AB106=G106,1,2)</f>
        <v>2</v>
      </c>
    </row>
    <row r="107" spans="1:30" customFormat="1" ht="31.2" hidden="1" x14ac:dyDescent="0.3">
      <c r="A107" s="7" t="s">
        <v>62</v>
      </c>
      <c r="B107" s="6">
        <v>493</v>
      </c>
      <c r="C107" s="7" t="s">
        <v>2020</v>
      </c>
      <c r="D107" s="7" t="s">
        <v>2085</v>
      </c>
      <c r="E107" s="7"/>
      <c r="F107" s="40" t="s">
        <v>637</v>
      </c>
      <c r="G107" s="7" t="s">
        <v>2086</v>
      </c>
      <c r="H107" s="7"/>
      <c r="I107" s="7"/>
      <c r="J107" s="7" t="s">
        <v>2087</v>
      </c>
      <c r="K107" s="7" t="s">
        <v>24</v>
      </c>
      <c r="L107" s="7" t="s">
        <v>2088</v>
      </c>
      <c r="M107" s="109">
        <v>3570553528</v>
      </c>
      <c r="N107" s="111"/>
      <c r="O107" s="109">
        <v>15000000</v>
      </c>
      <c r="P107" s="112">
        <v>30000000</v>
      </c>
      <c r="Q107" s="109">
        <f>M107+N107+O107+P107</f>
        <v>3615553528</v>
      </c>
      <c r="R107" s="5"/>
      <c r="S107" s="5"/>
      <c r="T107" s="72"/>
      <c r="U107" s="28">
        <v>30000000</v>
      </c>
      <c r="V107" s="5"/>
      <c r="W107" s="28">
        <v>3570553528</v>
      </c>
      <c r="X107" s="28">
        <f>N107-S107</f>
        <v>0</v>
      </c>
      <c r="Y107" s="36">
        <f>O107-T107</f>
        <v>15000000</v>
      </c>
      <c r="Z107" s="28">
        <f>P107-U107</f>
        <v>0</v>
      </c>
      <c r="AA107" s="10">
        <v>3570553528</v>
      </c>
      <c r="AB107" s="40"/>
      <c r="AC107" s="121">
        <f>IF(AB107=G107,1,2)</f>
        <v>2</v>
      </c>
      <c r="AD107" s="121"/>
    </row>
    <row r="108" spans="1:30" customFormat="1" ht="42" hidden="1" x14ac:dyDescent="0.3">
      <c r="A108" s="7" t="s">
        <v>53</v>
      </c>
      <c r="B108" s="6">
        <v>626</v>
      </c>
      <c r="C108" s="7" t="s">
        <v>2562</v>
      </c>
      <c r="D108" s="7" t="s">
        <v>2674</v>
      </c>
      <c r="E108" s="5"/>
      <c r="F108" s="40" t="s">
        <v>637</v>
      </c>
      <c r="G108" s="7" t="s">
        <v>2675</v>
      </c>
      <c r="H108" s="5"/>
      <c r="I108" s="5"/>
      <c r="J108" s="21" t="s">
        <v>2676</v>
      </c>
      <c r="K108" s="7" t="s">
        <v>24</v>
      </c>
      <c r="L108" s="7" t="s">
        <v>2677</v>
      </c>
      <c r="M108" s="114">
        <v>13885095762</v>
      </c>
      <c r="N108" s="111"/>
      <c r="O108" s="114">
        <v>15000000</v>
      </c>
      <c r="P108" s="112">
        <v>72000000</v>
      </c>
      <c r="Q108" s="109">
        <f>M108+N108+O108+P108</f>
        <v>13972095762</v>
      </c>
      <c r="R108" s="14">
        <v>13885095762</v>
      </c>
      <c r="S108" s="5"/>
      <c r="T108" s="30">
        <v>15000000</v>
      </c>
      <c r="U108" s="3">
        <v>72000000</v>
      </c>
      <c r="V108" s="5"/>
      <c r="W108" s="28"/>
      <c r="X108" s="28">
        <f>N108-S108</f>
        <v>0</v>
      </c>
      <c r="Y108" s="28">
        <f>O108-T108</f>
        <v>0</v>
      </c>
      <c r="Z108" s="28">
        <f>P108-U108</f>
        <v>0</v>
      </c>
      <c r="AA108" s="4"/>
      <c r="AB108" s="4"/>
      <c r="AC108">
        <f>IF(AB108=G108,1,2)</f>
        <v>2</v>
      </c>
    </row>
    <row r="109" spans="1:30" customFormat="1" ht="42" hidden="1" x14ac:dyDescent="0.3">
      <c r="A109" s="7" t="s">
        <v>46</v>
      </c>
      <c r="B109" s="6">
        <v>676</v>
      </c>
      <c r="C109" s="7" t="s">
        <v>2877</v>
      </c>
      <c r="D109" s="7" t="s">
        <v>2901</v>
      </c>
      <c r="E109" s="5"/>
      <c r="F109" s="40" t="s">
        <v>637</v>
      </c>
      <c r="G109" s="7" t="s">
        <v>2902</v>
      </c>
      <c r="H109" s="5"/>
      <c r="I109" s="5"/>
      <c r="J109" s="21" t="s">
        <v>1536</v>
      </c>
      <c r="K109" s="7" t="s">
        <v>24</v>
      </c>
      <c r="L109" s="7" t="s">
        <v>2903</v>
      </c>
      <c r="M109" s="114">
        <v>1133587600</v>
      </c>
      <c r="N109" s="111"/>
      <c r="O109" s="114">
        <v>15000000</v>
      </c>
      <c r="P109" s="112">
        <v>36000000</v>
      </c>
      <c r="Q109" s="109">
        <f>M109+N109+O109+P109</f>
        <v>1184587600</v>
      </c>
      <c r="R109" s="14">
        <v>1133587600</v>
      </c>
      <c r="S109" s="5"/>
      <c r="T109" s="33">
        <v>15000000</v>
      </c>
      <c r="U109" s="14">
        <v>36000000</v>
      </c>
      <c r="V109" s="5"/>
      <c r="W109" s="28"/>
      <c r="X109" s="28">
        <f>N109-S109</f>
        <v>0</v>
      </c>
      <c r="Y109" s="28">
        <f>O109-T109</f>
        <v>0</v>
      </c>
      <c r="Z109" s="28">
        <f>P109-U109</f>
        <v>0</v>
      </c>
      <c r="AA109" s="4"/>
      <c r="AB109" s="4"/>
      <c r="AC109">
        <f>IF(AB109=G109,1,2)</f>
        <v>2</v>
      </c>
    </row>
    <row r="110" spans="1:30" customFormat="1" ht="42" hidden="1" x14ac:dyDescent="0.3">
      <c r="A110" s="7" t="s">
        <v>46</v>
      </c>
      <c r="B110" s="6">
        <v>677</v>
      </c>
      <c r="C110" s="7" t="s">
        <v>2877</v>
      </c>
      <c r="D110" s="7" t="s">
        <v>2904</v>
      </c>
      <c r="E110" s="5"/>
      <c r="F110" s="40" t="s">
        <v>637</v>
      </c>
      <c r="G110" s="7" t="s">
        <v>2905</v>
      </c>
      <c r="H110" s="5"/>
      <c r="I110" s="5"/>
      <c r="J110" s="21" t="s">
        <v>2906</v>
      </c>
      <c r="K110" s="7" t="s">
        <v>24</v>
      </c>
      <c r="L110" s="7" t="s">
        <v>2907</v>
      </c>
      <c r="M110" s="114">
        <v>13988110203</v>
      </c>
      <c r="N110" s="111"/>
      <c r="O110" s="114">
        <v>15000000</v>
      </c>
      <c r="P110" s="112">
        <v>36000000</v>
      </c>
      <c r="Q110" s="109">
        <f>M110+N110+O110+P110</f>
        <v>14039110203</v>
      </c>
      <c r="R110" s="14">
        <v>13988110203</v>
      </c>
      <c r="S110" s="5"/>
      <c r="T110" s="30">
        <v>15000000</v>
      </c>
      <c r="U110" s="14">
        <v>36000000</v>
      </c>
      <c r="V110" s="5"/>
      <c r="W110" s="28"/>
      <c r="X110" s="28">
        <f>N110-S110</f>
        <v>0</v>
      </c>
      <c r="Y110" s="28">
        <f>O110-T110</f>
        <v>0</v>
      </c>
      <c r="Z110" s="28">
        <f>P110-U110</f>
        <v>0</v>
      </c>
      <c r="AA110" s="4"/>
      <c r="AB110" s="4"/>
      <c r="AC110">
        <f>IF(AB110=G110,1,2)</f>
        <v>2</v>
      </c>
    </row>
    <row r="111" spans="1:30" customFormat="1" ht="31.2" hidden="1" x14ac:dyDescent="0.3">
      <c r="A111" s="7" t="s">
        <v>46</v>
      </c>
      <c r="B111" s="6">
        <v>679</v>
      </c>
      <c r="C111" s="7" t="s">
        <v>2877</v>
      </c>
      <c r="D111" s="7" t="s">
        <v>2912</v>
      </c>
      <c r="E111" s="7"/>
      <c r="F111" s="40" t="s">
        <v>637</v>
      </c>
      <c r="G111" s="7" t="s">
        <v>2913</v>
      </c>
      <c r="H111" s="7"/>
      <c r="I111" s="7"/>
      <c r="J111" s="7" t="s">
        <v>2914</v>
      </c>
      <c r="K111" s="7" t="s">
        <v>24</v>
      </c>
      <c r="L111" s="7" t="s">
        <v>2915</v>
      </c>
      <c r="M111" s="114">
        <v>4656135712</v>
      </c>
      <c r="N111" s="111"/>
      <c r="O111" s="109">
        <v>15000000</v>
      </c>
      <c r="P111" s="112">
        <v>72000000</v>
      </c>
      <c r="Q111" s="109">
        <f>M111+N111+O111+P111</f>
        <v>4743135712</v>
      </c>
      <c r="R111" s="14">
        <v>4656135712</v>
      </c>
      <c r="S111" s="5"/>
      <c r="T111" s="72"/>
      <c r="U111" s="14">
        <v>72000000</v>
      </c>
      <c r="V111" s="5"/>
      <c r="W111" s="28"/>
      <c r="X111" s="28">
        <f>N111-S111</f>
        <v>0</v>
      </c>
      <c r="Y111" s="36">
        <f>O111-T111</f>
        <v>15000000</v>
      </c>
      <c r="Z111" s="28">
        <f>P111-U111</f>
        <v>0</v>
      </c>
      <c r="AA111" s="4"/>
      <c r="AB111" s="40"/>
      <c r="AC111" s="121">
        <f>IF(AB111=G111,1,2)</f>
        <v>2</v>
      </c>
      <c r="AD111" s="121"/>
    </row>
    <row r="112" spans="1:30" customFormat="1" ht="42" hidden="1" x14ac:dyDescent="0.3">
      <c r="A112" s="7" t="s">
        <v>62</v>
      </c>
      <c r="B112" s="6">
        <v>685</v>
      </c>
      <c r="C112" s="7" t="s">
        <v>2877</v>
      </c>
      <c r="D112" s="7" t="s">
        <v>2935</v>
      </c>
      <c r="E112" s="5"/>
      <c r="F112" s="40" t="s">
        <v>637</v>
      </c>
      <c r="G112" s="7" t="s">
        <v>2936</v>
      </c>
      <c r="H112" s="5"/>
      <c r="I112" s="5"/>
      <c r="J112" s="21" t="s">
        <v>2937</v>
      </c>
      <c r="K112" s="7" t="s">
        <v>24</v>
      </c>
      <c r="L112" s="7" t="s">
        <v>2938</v>
      </c>
      <c r="M112" s="114">
        <v>9840789310</v>
      </c>
      <c r="N112" s="111"/>
      <c r="O112" s="114">
        <v>15000000</v>
      </c>
      <c r="P112" s="112">
        <v>120000000</v>
      </c>
      <c r="Q112" s="109">
        <f>M112+N112+O112+P112</f>
        <v>9975789310</v>
      </c>
      <c r="R112" s="14">
        <v>9840789310</v>
      </c>
      <c r="S112" s="5"/>
      <c r="T112" s="33">
        <v>15000000</v>
      </c>
      <c r="U112" s="14">
        <v>120000000</v>
      </c>
      <c r="V112" s="5"/>
      <c r="W112" s="28"/>
      <c r="X112" s="28">
        <f>N112-S112</f>
        <v>0</v>
      </c>
      <c r="Y112" s="28">
        <f>O112-T112</f>
        <v>0</v>
      </c>
      <c r="Z112" s="28">
        <f>P112-U112</f>
        <v>0</v>
      </c>
      <c r="AA112" s="4"/>
      <c r="AB112" s="4"/>
      <c r="AC112">
        <f>IF(AB112=G112,1,2)</f>
        <v>2</v>
      </c>
    </row>
    <row r="113" spans="1:30" customFormat="1" ht="105" hidden="1" x14ac:dyDescent="0.3">
      <c r="A113" s="7" t="s">
        <v>1601</v>
      </c>
      <c r="B113" s="6">
        <v>816</v>
      </c>
      <c r="C113" s="7" t="s">
        <v>3506</v>
      </c>
      <c r="D113" s="7" t="s">
        <v>3524</v>
      </c>
      <c r="E113" s="5"/>
      <c r="F113" s="40" t="s">
        <v>637</v>
      </c>
      <c r="G113" s="7" t="s">
        <v>3525</v>
      </c>
      <c r="H113" s="5"/>
      <c r="I113" s="5"/>
      <c r="J113" s="21" t="s">
        <v>3526</v>
      </c>
      <c r="K113" s="7" t="s">
        <v>24</v>
      </c>
      <c r="L113" s="7" t="s">
        <v>3527</v>
      </c>
      <c r="M113" s="114">
        <v>5929074343</v>
      </c>
      <c r="N113" s="111"/>
      <c r="O113" s="114">
        <v>15000000</v>
      </c>
      <c r="P113" s="112">
        <v>24000000</v>
      </c>
      <c r="Q113" s="109">
        <f>M113+N113+O113+P113</f>
        <v>5968074343</v>
      </c>
      <c r="R113" s="14">
        <v>5929074343</v>
      </c>
      <c r="S113" s="5"/>
      <c r="T113" s="30">
        <v>15000000</v>
      </c>
      <c r="U113" s="3">
        <v>24000000</v>
      </c>
      <c r="V113" s="5"/>
      <c r="W113" s="28"/>
      <c r="X113" s="28">
        <f>N113-S113</f>
        <v>0</v>
      </c>
      <c r="Y113" s="28">
        <f>O113-T113</f>
        <v>0</v>
      </c>
      <c r="Z113" s="28">
        <f>P113-U113</f>
        <v>0</v>
      </c>
      <c r="AA113" s="4"/>
      <c r="AB113" s="4"/>
      <c r="AC113">
        <f>IF(AB113=G113,1,2)</f>
        <v>2</v>
      </c>
    </row>
    <row r="114" spans="1:30" customFormat="1" ht="46.8" hidden="1" x14ac:dyDescent="0.3">
      <c r="A114" s="7" t="s">
        <v>1601</v>
      </c>
      <c r="B114" s="6">
        <v>824</v>
      </c>
      <c r="C114" s="7" t="s">
        <v>3506</v>
      </c>
      <c r="D114" s="7" t="s">
        <v>3559</v>
      </c>
      <c r="E114" s="7" t="s">
        <v>3560</v>
      </c>
      <c r="F114" s="40" t="s">
        <v>637</v>
      </c>
      <c r="G114" s="7" t="s">
        <v>3561</v>
      </c>
      <c r="H114" s="7"/>
      <c r="I114" s="7"/>
      <c r="J114" s="7" t="s">
        <v>3562</v>
      </c>
      <c r="K114" s="7" t="s">
        <v>24</v>
      </c>
      <c r="L114" s="7" t="s">
        <v>3563</v>
      </c>
      <c r="M114" s="114">
        <v>1278949840</v>
      </c>
      <c r="N114" s="114">
        <v>451639776</v>
      </c>
      <c r="O114" s="109">
        <v>15000000</v>
      </c>
      <c r="P114" s="112">
        <v>24000000</v>
      </c>
      <c r="Q114" s="109">
        <f>M114+N114+O114+P114</f>
        <v>1769589616</v>
      </c>
      <c r="R114" s="14">
        <v>1278949840</v>
      </c>
      <c r="S114" s="14">
        <v>451639776</v>
      </c>
      <c r="T114" s="72"/>
      <c r="U114" s="14">
        <v>24000000</v>
      </c>
      <c r="V114" s="5"/>
      <c r="W114" s="28"/>
      <c r="X114" s="28">
        <f>N114-S114</f>
        <v>0</v>
      </c>
      <c r="Y114" s="36">
        <f>O114-T114</f>
        <v>15000000</v>
      </c>
      <c r="Z114" s="28">
        <f>P114-U114</f>
        <v>0</v>
      </c>
      <c r="AA114" s="4"/>
      <c r="AB114" s="40"/>
      <c r="AC114" s="121">
        <f>IF(AB114=G114,1,2)</f>
        <v>2</v>
      </c>
      <c r="AD114" s="121"/>
    </row>
    <row r="115" spans="1:30" ht="46.8" x14ac:dyDescent="0.3">
      <c r="A115" s="7" t="s">
        <v>18</v>
      </c>
      <c r="B115" s="6">
        <v>868</v>
      </c>
      <c r="C115" s="7" t="s">
        <v>3725</v>
      </c>
      <c r="D115" s="7" t="s">
        <v>3748</v>
      </c>
      <c r="E115" s="7" t="s">
        <v>3749</v>
      </c>
      <c r="F115" s="40" t="s">
        <v>637</v>
      </c>
      <c r="G115" s="7" t="s">
        <v>3750</v>
      </c>
      <c r="H115" s="7" t="s">
        <v>3751</v>
      </c>
      <c r="I115" s="7"/>
      <c r="J115" s="7" t="s">
        <v>3752</v>
      </c>
      <c r="K115" s="7" t="s">
        <v>24</v>
      </c>
      <c r="L115" s="7" t="s">
        <v>3563</v>
      </c>
      <c r="M115" s="114">
        <v>8361271432</v>
      </c>
      <c r="N115" s="114">
        <v>1995580618</v>
      </c>
      <c r="O115" s="109">
        <v>15000000</v>
      </c>
      <c r="P115" s="75">
        <v>24000000</v>
      </c>
      <c r="Q115" s="109">
        <f>M115+N115+O115+P115</f>
        <v>10395852050</v>
      </c>
      <c r="R115" s="14">
        <v>8361271432</v>
      </c>
      <c r="S115" s="14">
        <v>1995580618</v>
      </c>
      <c r="T115" s="72"/>
      <c r="U115" s="7"/>
      <c r="V115" s="5"/>
      <c r="W115" s="28"/>
      <c r="X115" s="28">
        <f>N115-S115</f>
        <v>0</v>
      </c>
      <c r="Y115" s="36">
        <f>O115-T115</f>
        <v>15000000</v>
      </c>
      <c r="Z115" s="36">
        <f>P115-U115</f>
        <v>24000000</v>
      </c>
      <c r="AA115" s="4"/>
      <c r="AB115" s="40"/>
      <c r="AC115" s="121">
        <f>IF(AB115=G115,1,2)</f>
        <v>2</v>
      </c>
      <c r="AD115" s="121"/>
    </row>
    <row r="116" spans="1:30" customFormat="1" ht="62.4" hidden="1" x14ac:dyDescent="0.3">
      <c r="A116" s="7" t="s">
        <v>62</v>
      </c>
      <c r="B116" s="6">
        <v>411</v>
      </c>
      <c r="C116" s="7" t="s">
        <v>1591</v>
      </c>
      <c r="D116" s="7" t="s">
        <v>1715</v>
      </c>
      <c r="E116" s="5"/>
      <c r="F116" s="40" t="s">
        <v>1716</v>
      </c>
      <c r="G116" s="7" t="s">
        <v>1717</v>
      </c>
      <c r="H116" s="5"/>
      <c r="I116" s="5"/>
      <c r="J116" s="7" t="s">
        <v>1718</v>
      </c>
      <c r="K116" s="7" t="s">
        <v>24</v>
      </c>
      <c r="L116" s="7" t="s">
        <v>1719</v>
      </c>
      <c r="M116" s="109">
        <v>1375587700</v>
      </c>
      <c r="N116" s="111"/>
      <c r="O116" s="109">
        <v>15000000</v>
      </c>
      <c r="P116" s="112">
        <v>88000000</v>
      </c>
      <c r="Q116" s="109">
        <f>M116+N116+O116+P116</f>
        <v>1478587700</v>
      </c>
      <c r="R116" s="3">
        <v>1375587700</v>
      </c>
      <c r="S116" s="5"/>
      <c r="T116" s="30">
        <v>15000000</v>
      </c>
      <c r="U116" s="3">
        <v>88000000</v>
      </c>
      <c r="V116" s="5"/>
      <c r="W116" s="28"/>
      <c r="X116" s="28">
        <f>N116-S116</f>
        <v>0</v>
      </c>
      <c r="Y116" s="28">
        <f>O116-T116</f>
        <v>0</v>
      </c>
      <c r="Z116" s="28">
        <f>P116-U116</f>
        <v>0</v>
      </c>
      <c r="AA116" s="4"/>
      <c r="AB116" s="4"/>
      <c r="AC116">
        <f>IF(AB116=G116,1,2)</f>
        <v>2</v>
      </c>
    </row>
    <row r="117" spans="1:30" customFormat="1" ht="62.4" hidden="1" x14ac:dyDescent="0.3">
      <c r="A117" s="7" t="s">
        <v>18</v>
      </c>
      <c r="B117" s="6">
        <v>544</v>
      </c>
      <c r="C117" s="7" t="s">
        <v>2250</v>
      </c>
      <c r="D117" s="7" t="s">
        <v>2303</v>
      </c>
      <c r="E117" s="7" t="s">
        <v>1349</v>
      </c>
      <c r="F117" s="40" t="s">
        <v>1716</v>
      </c>
      <c r="G117" s="7" t="s">
        <v>2304</v>
      </c>
      <c r="H117" s="5"/>
      <c r="I117" s="5"/>
      <c r="J117" s="21" t="s">
        <v>2305</v>
      </c>
      <c r="K117" s="7" t="s">
        <v>24</v>
      </c>
      <c r="L117" s="7" t="s">
        <v>2306</v>
      </c>
      <c r="M117" s="114">
        <v>4492043428</v>
      </c>
      <c r="N117" s="115">
        <v>1612138368</v>
      </c>
      <c r="O117" s="114">
        <v>15000000</v>
      </c>
      <c r="P117" s="112">
        <v>72000000</v>
      </c>
      <c r="Q117" s="109">
        <f>M117+N117+O117+P117</f>
        <v>6191181796</v>
      </c>
      <c r="R117" s="14">
        <v>4492043428</v>
      </c>
      <c r="S117" s="3">
        <v>1612138368</v>
      </c>
      <c r="T117" s="30">
        <v>15000000</v>
      </c>
      <c r="U117" s="3">
        <v>72000000</v>
      </c>
      <c r="V117" s="5"/>
      <c r="W117" s="28"/>
      <c r="X117" s="28">
        <f>N117-S117</f>
        <v>0</v>
      </c>
      <c r="Y117" s="28">
        <f>O117-T117</f>
        <v>0</v>
      </c>
      <c r="Z117" s="28">
        <f>P117-U117</f>
        <v>0</v>
      </c>
      <c r="AA117" s="4"/>
      <c r="AB117" s="4"/>
      <c r="AC117">
        <f>IF(AB117=G117,1,2)</f>
        <v>2</v>
      </c>
    </row>
    <row r="118" spans="1:30" customFormat="1" ht="62.4" hidden="1" x14ac:dyDescent="0.3">
      <c r="A118" s="40" t="s">
        <v>62</v>
      </c>
      <c r="B118" s="6">
        <v>249</v>
      </c>
      <c r="C118" s="40" t="s">
        <v>895</v>
      </c>
      <c r="D118" s="40" t="s">
        <v>989</v>
      </c>
      <c r="E118" s="40" t="s">
        <v>158</v>
      </c>
      <c r="F118" s="40" t="s">
        <v>990</v>
      </c>
      <c r="G118" s="40" t="s">
        <v>991</v>
      </c>
      <c r="H118" s="40" t="s">
        <v>83</v>
      </c>
      <c r="I118" s="4"/>
      <c r="J118" s="40" t="s">
        <v>992</v>
      </c>
      <c r="K118" s="40" t="s">
        <v>24</v>
      </c>
      <c r="L118" s="40" t="s">
        <v>993</v>
      </c>
      <c r="M118" s="75">
        <v>11542084576</v>
      </c>
      <c r="N118" s="75">
        <v>195952446</v>
      </c>
      <c r="O118" s="75">
        <v>15000000</v>
      </c>
      <c r="P118" s="112">
        <v>108000000</v>
      </c>
      <c r="Q118" s="109">
        <f>M118+N118+O118+P118</f>
        <v>11861037022</v>
      </c>
      <c r="R118" s="3">
        <v>11542084576</v>
      </c>
      <c r="S118" s="3">
        <v>195952446</v>
      </c>
      <c r="T118" s="30">
        <v>15000000</v>
      </c>
      <c r="U118" s="10">
        <v>108000000</v>
      </c>
      <c r="V118" s="5"/>
      <c r="W118" s="28"/>
      <c r="X118" s="28">
        <f>N118-S118</f>
        <v>0</v>
      </c>
      <c r="Y118" s="28">
        <f>O118-T118</f>
        <v>0</v>
      </c>
      <c r="Z118" s="28">
        <f>P118-U118</f>
        <v>0</v>
      </c>
      <c r="AA118" s="4"/>
      <c r="AB118" s="4"/>
      <c r="AC118">
        <f>IF(AB118=G118,1,2)</f>
        <v>2</v>
      </c>
    </row>
    <row r="119" spans="1:30" customFormat="1" ht="62.4" hidden="1" x14ac:dyDescent="0.3">
      <c r="A119" s="7" t="s">
        <v>46</v>
      </c>
      <c r="B119" s="6">
        <v>483</v>
      </c>
      <c r="C119" s="7" t="s">
        <v>2020</v>
      </c>
      <c r="D119" s="7" t="s">
        <v>2027</v>
      </c>
      <c r="E119" s="7" t="s">
        <v>2029</v>
      </c>
      <c r="F119" s="40" t="s">
        <v>2028</v>
      </c>
      <c r="G119" s="7" t="s">
        <v>2030</v>
      </c>
      <c r="H119" s="7" t="s">
        <v>2031</v>
      </c>
      <c r="I119" s="5"/>
      <c r="J119" s="7" t="s">
        <v>2032</v>
      </c>
      <c r="K119" s="7" t="s">
        <v>24</v>
      </c>
      <c r="L119" s="7" t="s">
        <v>2033</v>
      </c>
      <c r="M119" s="109">
        <v>2978570608</v>
      </c>
      <c r="N119" s="109">
        <v>191495014</v>
      </c>
      <c r="O119" s="109">
        <v>15000000</v>
      </c>
      <c r="P119" s="112">
        <v>144000000</v>
      </c>
      <c r="Q119" s="109">
        <f>M119+N119+O119+P119</f>
        <v>3329065622</v>
      </c>
      <c r="R119" s="3">
        <v>2978570608</v>
      </c>
      <c r="S119" s="3">
        <v>191495014</v>
      </c>
      <c r="T119" s="30">
        <v>15000000</v>
      </c>
      <c r="U119" s="3">
        <v>144000000</v>
      </c>
      <c r="V119" s="5"/>
      <c r="W119" s="28"/>
      <c r="X119" s="28">
        <f>N119-S119</f>
        <v>0</v>
      </c>
      <c r="Y119" s="28">
        <f>O119-T119</f>
        <v>0</v>
      </c>
      <c r="Z119" s="28">
        <f>P119-U119</f>
        <v>0</v>
      </c>
      <c r="AA119" s="4"/>
      <c r="AB119" s="4"/>
      <c r="AC119">
        <f>IF(AB119=G119,1,2)</f>
        <v>2</v>
      </c>
    </row>
    <row r="120" spans="1:30" customFormat="1" ht="62.4" hidden="1" x14ac:dyDescent="0.3">
      <c r="A120" s="7" t="s">
        <v>46</v>
      </c>
      <c r="B120" s="6">
        <v>854</v>
      </c>
      <c r="C120" s="7" t="s">
        <v>3506</v>
      </c>
      <c r="D120" s="7" t="s">
        <v>3686</v>
      </c>
      <c r="E120" s="5"/>
      <c r="F120" s="40" t="s">
        <v>3687</v>
      </c>
      <c r="G120" s="7" t="s">
        <v>3688</v>
      </c>
      <c r="H120" s="5"/>
      <c r="I120" s="5"/>
      <c r="J120" s="21" t="s">
        <v>3689</v>
      </c>
      <c r="K120" s="7" t="s">
        <v>24</v>
      </c>
      <c r="L120" s="7" t="s">
        <v>1908</v>
      </c>
      <c r="M120" s="114">
        <v>2066275000</v>
      </c>
      <c r="N120" s="111"/>
      <c r="O120" s="114">
        <v>15000000</v>
      </c>
      <c r="P120" s="112">
        <v>48000000</v>
      </c>
      <c r="Q120" s="109">
        <f>M120+N120+O120+P120</f>
        <v>2129275000</v>
      </c>
      <c r="R120" s="14">
        <v>2066275000</v>
      </c>
      <c r="S120" s="5"/>
      <c r="T120" s="33">
        <v>15000000</v>
      </c>
      <c r="U120" s="14">
        <v>48000000</v>
      </c>
      <c r="V120" s="5"/>
      <c r="W120" s="28"/>
      <c r="X120" s="28">
        <f>N120-S120</f>
        <v>0</v>
      </c>
      <c r="Y120" s="28">
        <f>O120-T120</f>
        <v>0</v>
      </c>
      <c r="Z120" s="28">
        <f>P120-U120</f>
        <v>0</v>
      </c>
      <c r="AA120" s="4"/>
      <c r="AB120" s="4"/>
      <c r="AC120">
        <f>IF(AB120=G120,1,2)</f>
        <v>2</v>
      </c>
    </row>
    <row r="121" spans="1:30" customFormat="1" ht="46.8" hidden="1" x14ac:dyDescent="0.3">
      <c r="A121" s="7" t="s">
        <v>53</v>
      </c>
      <c r="B121" s="6">
        <v>639</v>
      </c>
      <c r="C121" s="7" t="s">
        <v>2562</v>
      </c>
      <c r="D121" s="7" t="s">
        <v>2729</v>
      </c>
      <c r="E121" s="7" t="s">
        <v>2470</v>
      </c>
      <c r="F121" s="40" t="s">
        <v>2730</v>
      </c>
      <c r="G121" s="7" t="s">
        <v>2731</v>
      </c>
      <c r="H121" s="7"/>
      <c r="I121" s="7" t="s">
        <v>2565</v>
      </c>
      <c r="J121" s="7" t="s">
        <v>2732</v>
      </c>
      <c r="K121" s="7" t="s">
        <v>24</v>
      </c>
      <c r="L121" s="7" t="s">
        <v>2733</v>
      </c>
      <c r="M121" s="114">
        <v>6012667866</v>
      </c>
      <c r="N121" s="115">
        <v>3504088820</v>
      </c>
      <c r="O121" s="109">
        <v>15000000</v>
      </c>
      <c r="P121" s="112">
        <v>24000000</v>
      </c>
      <c r="Q121" s="109">
        <f>M121+N121+O121+P121</f>
        <v>9555756686</v>
      </c>
      <c r="R121" s="14">
        <v>6012667866</v>
      </c>
      <c r="S121" s="14">
        <v>3504088820</v>
      </c>
      <c r="T121" s="72"/>
      <c r="U121" s="14">
        <v>24000000</v>
      </c>
      <c r="V121" s="5"/>
      <c r="W121" s="28"/>
      <c r="X121" s="28">
        <f>N121-S121</f>
        <v>0</v>
      </c>
      <c r="Y121" s="36">
        <f>O121-T121</f>
        <v>15000000</v>
      </c>
      <c r="Z121" s="28">
        <f>P121-U121</f>
        <v>0</v>
      </c>
      <c r="AA121" s="4"/>
      <c r="AB121" s="40"/>
      <c r="AC121" s="121">
        <f>IF(AB121=G121,1,2)</f>
        <v>2</v>
      </c>
      <c r="AD121" s="121"/>
    </row>
    <row r="122" spans="1:30" ht="109.2" x14ac:dyDescent="0.3">
      <c r="A122" s="7" t="s">
        <v>62</v>
      </c>
      <c r="B122" s="6">
        <v>277</v>
      </c>
      <c r="C122" s="7" t="s">
        <v>1077</v>
      </c>
      <c r="D122" s="7" t="s">
        <v>1115</v>
      </c>
      <c r="E122" s="7"/>
      <c r="F122" s="40" t="s">
        <v>3878</v>
      </c>
      <c r="G122" s="7" t="s">
        <v>1117</v>
      </c>
      <c r="H122" s="7"/>
      <c r="I122" s="7"/>
      <c r="J122" s="7" t="s">
        <v>1118</v>
      </c>
      <c r="K122" s="7" t="s">
        <v>24</v>
      </c>
      <c r="L122" s="7" t="s">
        <v>1119</v>
      </c>
      <c r="M122" s="109">
        <v>4066100280</v>
      </c>
      <c r="N122" s="111"/>
      <c r="O122" s="109">
        <v>15000000</v>
      </c>
      <c r="P122" s="75">
        <v>144000000</v>
      </c>
      <c r="Q122" s="109">
        <f>M122+N122+O122+P122</f>
        <v>4225100280</v>
      </c>
      <c r="R122" s="3">
        <v>4066100280</v>
      </c>
      <c r="S122" s="5"/>
      <c r="T122" s="30">
        <v>15000000</v>
      </c>
      <c r="U122" s="10">
        <v>48000000</v>
      </c>
      <c r="V122" s="5"/>
      <c r="W122" s="28"/>
      <c r="X122" s="28">
        <f>N122-S122</f>
        <v>0</v>
      </c>
      <c r="Y122" s="28">
        <f>O122-T122</f>
        <v>0</v>
      </c>
      <c r="Z122" s="36">
        <f>P122-U122</f>
        <v>96000000</v>
      </c>
      <c r="AA122" s="4"/>
      <c r="AB122" s="40"/>
      <c r="AC122" s="61">
        <f>IF(AB122=G122,1,2)</f>
        <v>2</v>
      </c>
    </row>
    <row r="123" spans="1:30" customFormat="1" ht="62.4" hidden="1" x14ac:dyDescent="0.3">
      <c r="A123" s="7" t="s">
        <v>62</v>
      </c>
      <c r="B123" s="6">
        <v>270</v>
      </c>
      <c r="C123" s="7" t="s">
        <v>1077</v>
      </c>
      <c r="D123" s="7" t="s">
        <v>1082</v>
      </c>
      <c r="E123" s="7" t="s">
        <v>1084</v>
      </c>
      <c r="F123" s="40" t="s">
        <v>1083</v>
      </c>
      <c r="G123" s="7" t="s">
        <v>1085</v>
      </c>
      <c r="H123" s="7" t="s">
        <v>1086</v>
      </c>
      <c r="I123" s="5"/>
      <c r="J123" s="7" t="s">
        <v>1087</v>
      </c>
      <c r="K123" s="7" t="s">
        <v>24</v>
      </c>
      <c r="L123" s="7" t="s">
        <v>1088</v>
      </c>
      <c r="M123" s="109">
        <v>1418361365</v>
      </c>
      <c r="N123" s="109">
        <v>168075878</v>
      </c>
      <c r="O123" s="109">
        <v>15000000</v>
      </c>
      <c r="P123" s="112">
        <v>96000000</v>
      </c>
      <c r="Q123" s="109">
        <f>M123+N123+O123+P123</f>
        <v>1697437243</v>
      </c>
      <c r="R123" s="3">
        <v>1418361365</v>
      </c>
      <c r="S123" s="3">
        <v>168075878</v>
      </c>
      <c r="T123" s="30">
        <v>15000000</v>
      </c>
      <c r="U123" s="3">
        <v>96000000</v>
      </c>
      <c r="V123" s="5"/>
      <c r="W123" s="28"/>
      <c r="X123" s="28">
        <f>N123-S123</f>
        <v>0</v>
      </c>
      <c r="Y123" s="28">
        <f>O123-T123</f>
        <v>0</v>
      </c>
      <c r="Z123" s="28">
        <f>P123-U123</f>
        <v>0</v>
      </c>
      <c r="AA123" s="4"/>
      <c r="AB123" s="4"/>
      <c r="AC123">
        <f>IF(AB123=G123,1,2)</f>
        <v>2</v>
      </c>
    </row>
    <row r="124" spans="1:30" ht="46.8" x14ac:dyDescent="0.3">
      <c r="A124" s="7" t="s">
        <v>18</v>
      </c>
      <c r="B124" s="6">
        <v>289</v>
      </c>
      <c r="C124" s="7" t="s">
        <v>1077</v>
      </c>
      <c r="D124" s="7" t="s">
        <v>1176</v>
      </c>
      <c r="E124" s="7"/>
      <c r="F124" s="40" t="s">
        <v>1177</v>
      </c>
      <c r="G124" s="7" t="s">
        <v>1178</v>
      </c>
      <c r="H124" s="7"/>
      <c r="I124" s="7"/>
      <c r="J124" s="7" t="s">
        <v>1179</v>
      </c>
      <c r="K124" s="7" t="s">
        <v>24</v>
      </c>
      <c r="L124" s="7" t="s">
        <v>1180</v>
      </c>
      <c r="M124" s="109">
        <v>20692684800</v>
      </c>
      <c r="N124" s="111"/>
      <c r="O124" s="109">
        <v>15000000</v>
      </c>
      <c r="P124" s="75">
        <v>24000000</v>
      </c>
      <c r="Q124" s="109">
        <f>M124+N124+O124+P124</f>
        <v>20731684800</v>
      </c>
      <c r="R124" s="3">
        <v>20692684800</v>
      </c>
      <c r="S124" s="5"/>
      <c r="T124" s="72"/>
      <c r="U124" s="7"/>
      <c r="V124" s="5"/>
      <c r="W124" s="28"/>
      <c r="X124" s="28">
        <f>N124-S124</f>
        <v>0</v>
      </c>
      <c r="Y124" s="36">
        <f>O124-T124</f>
        <v>15000000</v>
      </c>
      <c r="Z124" s="36">
        <f>P124-U124</f>
        <v>24000000</v>
      </c>
      <c r="AA124" s="4"/>
      <c r="AB124" s="40"/>
      <c r="AC124" s="121">
        <f>IF(AB124=G124,1,2)</f>
        <v>2</v>
      </c>
      <c r="AD124" s="121"/>
    </row>
    <row r="125" spans="1:30" ht="31.2" x14ac:dyDescent="0.3">
      <c r="A125" s="7" t="s">
        <v>53</v>
      </c>
      <c r="B125" s="6">
        <v>456</v>
      </c>
      <c r="C125" s="7" t="s">
        <v>1785</v>
      </c>
      <c r="D125" s="7" t="s">
        <v>1909</v>
      </c>
      <c r="E125" s="7"/>
      <c r="F125" s="40" t="s">
        <v>1177</v>
      </c>
      <c r="G125" s="7" t="s">
        <v>1910</v>
      </c>
      <c r="H125" s="7"/>
      <c r="I125" s="7"/>
      <c r="J125" s="7" t="s">
        <v>1911</v>
      </c>
      <c r="K125" s="7" t="s">
        <v>24</v>
      </c>
      <c r="L125" s="7" t="s">
        <v>1912</v>
      </c>
      <c r="M125" s="109">
        <v>5179078192</v>
      </c>
      <c r="N125" s="111"/>
      <c r="O125" s="109">
        <v>15000000</v>
      </c>
      <c r="P125" s="75">
        <v>54000000</v>
      </c>
      <c r="Q125" s="109">
        <f>M125+N125+O125+P125</f>
        <v>5248078192</v>
      </c>
      <c r="R125" s="3">
        <v>5179078192</v>
      </c>
      <c r="S125" s="5"/>
      <c r="T125" s="72"/>
      <c r="U125" s="7"/>
      <c r="V125" s="5"/>
      <c r="W125" s="28"/>
      <c r="X125" s="28">
        <f>N125-S125</f>
        <v>0</v>
      </c>
      <c r="Y125" s="36">
        <f>O125-T125</f>
        <v>15000000</v>
      </c>
      <c r="Z125" s="36">
        <f>P125-U125</f>
        <v>54000000</v>
      </c>
      <c r="AA125" s="4"/>
      <c r="AB125" s="40"/>
      <c r="AC125" s="121">
        <f>IF(AB125=G125,1,2)</f>
        <v>2</v>
      </c>
      <c r="AD125" s="121"/>
    </row>
    <row r="126" spans="1:30" customFormat="1" ht="62.4" hidden="1" x14ac:dyDescent="0.3">
      <c r="A126" s="7" t="s">
        <v>2290</v>
      </c>
      <c r="B126" s="6">
        <v>749</v>
      </c>
      <c r="C126" s="7" t="s">
        <v>2877</v>
      </c>
      <c r="D126" s="7" t="s">
        <v>3220</v>
      </c>
      <c r="E126" s="7" t="s">
        <v>3222</v>
      </c>
      <c r="F126" s="40" t="s">
        <v>3221</v>
      </c>
      <c r="G126" s="7" t="s">
        <v>3223</v>
      </c>
      <c r="H126" s="7" t="s">
        <v>3224</v>
      </c>
      <c r="I126" s="5"/>
      <c r="J126" s="21" t="s">
        <v>3225</v>
      </c>
      <c r="K126" s="7" t="s">
        <v>24</v>
      </c>
      <c r="L126" s="7" t="s">
        <v>3226</v>
      </c>
      <c r="M126" s="114">
        <v>1467836032</v>
      </c>
      <c r="N126" s="116">
        <v>1187425264</v>
      </c>
      <c r="O126" s="114">
        <v>15000000</v>
      </c>
      <c r="P126" s="112">
        <v>72000000</v>
      </c>
      <c r="Q126" s="109">
        <f>M126+N126+O126+P126</f>
        <v>2742261296</v>
      </c>
      <c r="R126" s="14">
        <v>1467836032</v>
      </c>
      <c r="S126" s="14">
        <v>1187425264</v>
      </c>
      <c r="T126" s="30">
        <v>15000000</v>
      </c>
      <c r="U126" s="14">
        <v>72000000</v>
      </c>
      <c r="V126" s="5"/>
      <c r="W126" s="28"/>
      <c r="X126" s="28">
        <f>N126-S126</f>
        <v>0</v>
      </c>
      <c r="Y126" s="28">
        <f>O126-T126</f>
        <v>0</v>
      </c>
      <c r="Z126" s="28">
        <f>P126-U126</f>
        <v>0</v>
      </c>
      <c r="AA126" s="4"/>
      <c r="AB126" s="4"/>
      <c r="AC126">
        <f>IF(AB126=G126,1,2)</f>
        <v>2</v>
      </c>
    </row>
    <row r="127" spans="1:30" customFormat="1" ht="31.2" hidden="1" x14ac:dyDescent="0.3">
      <c r="A127" s="7" t="s">
        <v>62</v>
      </c>
      <c r="B127" s="6">
        <v>218</v>
      </c>
      <c r="C127" s="7" t="s">
        <v>813</v>
      </c>
      <c r="D127" s="7" t="s">
        <v>857</v>
      </c>
      <c r="E127" s="7" t="s">
        <v>859</v>
      </c>
      <c r="F127" s="40" t="s">
        <v>858</v>
      </c>
      <c r="G127" s="7" t="s">
        <v>860</v>
      </c>
      <c r="H127" s="5"/>
      <c r="I127" s="5"/>
      <c r="J127" s="7" t="s">
        <v>861</v>
      </c>
      <c r="K127" s="7" t="s">
        <v>24</v>
      </c>
      <c r="L127" s="7" t="s">
        <v>862</v>
      </c>
      <c r="M127" s="109">
        <v>1212272880</v>
      </c>
      <c r="N127" s="109">
        <v>231967520</v>
      </c>
      <c r="O127" s="109">
        <v>15000000</v>
      </c>
      <c r="P127" s="112">
        <v>42000000</v>
      </c>
      <c r="Q127" s="109">
        <f>M127+N127+O127+P127</f>
        <v>1501240400</v>
      </c>
      <c r="R127" s="3">
        <v>1212272880</v>
      </c>
      <c r="S127" s="3">
        <v>231967520</v>
      </c>
      <c r="T127" s="30">
        <v>15000000</v>
      </c>
      <c r="U127" s="3">
        <v>42000000</v>
      </c>
      <c r="V127" s="5"/>
      <c r="W127" s="28"/>
      <c r="X127" s="28">
        <f>N127-S127</f>
        <v>0</v>
      </c>
      <c r="Y127" s="28">
        <f>O127-T127</f>
        <v>0</v>
      </c>
      <c r="Z127" s="28">
        <f>P127-U127</f>
        <v>0</v>
      </c>
      <c r="AA127" s="4"/>
      <c r="AB127" s="4"/>
      <c r="AC127">
        <f>IF(AB127=G127,1,2)</f>
        <v>2</v>
      </c>
    </row>
    <row r="128" spans="1:30" customFormat="1" ht="46.8" hidden="1" x14ac:dyDescent="0.3">
      <c r="A128" s="7" t="s">
        <v>62</v>
      </c>
      <c r="B128" s="6">
        <v>268</v>
      </c>
      <c r="C128" s="7" t="s">
        <v>1072</v>
      </c>
      <c r="D128" s="7" t="s">
        <v>1073</v>
      </c>
      <c r="E128" s="5"/>
      <c r="F128" s="40" t="s">
        <v>858</v>
      </c>
      <c r="G128" s="7" t="s">
        <v>1074</v>
      </c>
      <c r="H128" s="5"/>
      <c r="I128" s="5"/>
      <c r="J128" s="7" t="s">
        <v>1075</v>
      </c>
      <c r="K128" s="7" t="s">
        <v>24</v>
      </c>
      <c r="L128" s="7" t="s">
        <v>1076</v>
      </c>
      <c r="M128" s="109">
        <v>7086142428</v>
      </c>
      <c r="N128" s="111"/>
      <c r="O128" s="109">
        <v>7500000</v>
      </c>
      <c r="P128" s="112">
        <v>72000000</v>
      </c>
      <c r="Q128" s="109">
        <f>M128+N128+O128+P128</f>
        <v>7165642428</v>
      </c>
      <c r="R128" s="3">
        <v>7086142428</v>
      </c>
      <c r="S128" s="5"/>
      <c r="T128" s="30">
        <v>7500000</v>
      </c>
      <c r="U128" s="3">
        <v>72000000</v>
      </c>
      <c r="V128" s="5"/>
      <c r="W128" s="28"/>
      <c r="X128" s="28">
        <f>N128-S128</f>
        <v>0</v>
      </c>
      <c r="Y128" s="28">
        <f>O128-T128</f>
        <v>0</v>
      </c>
      <c r="Z128" s="28">
        <f>P128-U128</f>
        <v>0</v>
      </c>
      <c r="AA128" s="4"/>
      <c r="AB128" s="4"/>
      <c r="AC128">
        <f>IF(AB128=G128,1,2)</f>
        <v>2</v>
      </c>
    </row>
    <row r="129" spans="1:30" customFormat="1" ht="46.8" hidden="1" x14ac:dyDescent="0.3">
      <c r="A129" s="7" t="s">
        <v>46</v>
      </c>
      <c r="B129" s="6">
        <v>317</v>
      </c>
      <c r="C129" s="7" t="s">
        <v>1077</v>
      </c>
      <c r="D129" s="7" t="s">
        <v>1305</v>
      </c>
      <c r="E129" s="7" t="s">
        <v>158</v>
      </c>
      <c r="F129" s="40" t="s">
        <v>858</v>
      </c>
      <c r="G129" s="7" t="s">
        <v>1306</v>
      </c>
      <c r="H129" s="7" t="s">
        <v>1307</v>
      </c>
      <c r="I129" s="5"/>
      <c r="J129" s="7" t="s">
        <v>1308</v>
      </c>
      <c r="K129" s="7" t="s">
        <v>24</v>
      </c>
      <c r="L129" s="7" t="s">
        <v>1309</v>
      </c>
      <c r="M129" s="109">
        <v>2002133194</v>
      </c>
      <c r="N129" s="109">
        <v>247965696</v>
      </c>
      <c r="O129" s="109">
        <v>15000000</v>
      </c>
      <c r="P129" s="112">
        <v>30000000</v>
      </c>
      <c r="Q129" s="109">
        <f>M129+N129+O129+P129</f>
        <v>2295098890</v>
      </c>
      <c r="R129" s="3">
        <v>2002133194</v>
      </c>
      <c r="S129" s="7"/>
      <c r="T129" s="30">
        <v>15000000</v>
      </c>
      <c r="U129" s="3">
        <v>30000000</v>
      </c>
      <c r="V129" s="5"/>
      <c r="W129" s="28"/>
      <c r="X129" s="36">
        <f>N129-S129</f>
        <v>247965696</v>
      </c>
      <c r="Y129" s="28">
        <f>O129-T129</f>
        <v>0</v>
      </c>
      <c r="Z129" s="28">
        <f>P129-U129</f>
        <v>0</v>
      </c>
      <c r="AA129" s="40"/>
      <c r="AB129" s="40"/>
      <c r="AC129" s="61">
        <f>IF(AB129=G129,1,2)</f>
        <v>2</v>
      </c>
      <c r="AD129" s="61"/>
    </row>
    <row r="130" spans="1:30" customFormat="1" ht="31.2" hidden="1" x14ac:dyDescent="0.3">
      <c r="A130" s="7" t="s">
        <v>1601</v>
      </c>
      <c r="B130" s="6">
        <v>434</v>
      </c>
      <c r="C130" s="7" t="s">
        <v>1785</v>
      </c>
      <c r="D130" s="7" t="s">
        <v>1813</v>
      </c>
      <c r="E130" s="5"/>
      <c r="F130" s="40" t="s">
        <v>858</v>
      </c>
      <c r="G130" s="7" t="s">
        <v>1814</v>
      </c>
      <c r="H130" s="5"/>
      <c r="I130" s="5"/>
      <c r="J130" s="7" t="s">
        <v>1815</v>
      </c>
      <c r="K130" s="7" t="s">
        <v>24</v>
      </c>
      <c r="L130" s="7" t="s">
        <v>1816</v>
      </c>
      <c r="M130" s="109">
        <v>4110860698</v>
      </c>
      <c r="N130" s="111"/>
      <c r="O130" s="109">
        <v>15000000</v>
      </c>
      <c r="P130" s="112">
        <v>72000000</v>
      </c>
      <c r="Q130" s="109">
        <f>M130+N130+O130+P130</f>
        <v>4197860698</v>
      </c>
      <c r="R130" s="3">
        <v>4110860698</v>
      </c>
      <c r="S130" s="5"/>
      <c r="T130" s="30">
        <v>15000000</v>
      </c>
      <c r="U130" s="3">
        <v>72000000</v>
      </c>
      <c r="V130" s="5"/>
      <c r="W130" s="28"/>
      <c r="X130" s="28">
        <f>N130-S130</f>
        <v>0</v>
      </c>
      <c r="Y130" s="28">
        <f>O130-T130</f>
        <v>0</v>
      </c>
      <c r="Z130" s="28">
        <f>P130-U130</f>
        <v>0</v>
      </c>
      <c r="AA130" s="4"/>
      <c r="AB130" s="4"/>
      <c r="AC130">
        <f>IF(AB130=G130,1,2)</f>
        <v>2</v>
      </c>
    </row>
    <row r="131" spans="1:30" customFormat="1" ht="31.2" hidden="1" x14ac:dyDescent="0.3">
      <c r="A131" s="7" t="s">
        <v>46</v>
      </c>
      <c r="B131" s="6">
        <v>565</v>
      </c>
      <c r="C131" s="7" t="s">
        <v>2323</v>
      </c>
      <c r="D131" s="7" t="s">
        <v>2393</v>
      </c>
      <c r="E131" s="5"/>
      <c r="F131" s="40" t="s">
        <v>858</v>
      </c>
      <c r="G131" s="7" t="s">
        <v>2394</v>
      </c>
      <c r="H131" s="5"/>
      <c r="I131" s="5"/>
      <c r="J131" s="21" t="s">
        <v>2395</v>
      </c>
      <c r="K131" s="7" t="s">
        <v>24</v>
      </c>
      <c r="L131" s="7" t="s">
        <v>2396</v>
      </c>
      <c r="M131" s="114">
        <v>1871632320</v>
      </c>
      <c r="N131" s="111"/>
      <c r="O131" s="114">
        <v>15000000</v>
      </c>
      <c r="P131" s="112">
        <v>24000000</v>
      </c>
      <c r="Q131" s="109">
        <f>M131+N131+O131+P131</f>
        <v>1910632320</v>
      </c>
      <c r="R131" s="14">
        <v>1871632320</v>
      </c>
      <c r="S131" s="5"/>
      <c r="T131" s="30">
        <v>15000000</v>
      </c>
      <c r="U131" s="14">
        <v>24000000</v>
      </c>
      <c r="V131" s="5"/>
      <c r="W131" s="28"/>
      <c r="X131" s="28">
        <f>N131-S131</f>
        <v>0</v>
      </c>
      <c r="Y131" s="28">
        <f>O131-T131</f>
        <v>0</v>
      </c>
      <c r="Z131" s="28">
        <f>P131-U131</f>
        <v>0</v>
      </c>
      <c r="AA131" s="4"/>
      <c r="AB131" s="4"/>
      <c r="AC131">
        <f>IF(AB131=G131,1,2)</f>
        <v>2</v>
      </c>
    </row>
    <row r="132" spans="1:30" customFormat="1" ht="42" hidden="1" x14ac:dyDescent="0.3">
      <c r="A132" s="7" t="s">
        <v>1601</v>
      </c>
      <c r="B132" s="6">
        <v>589</v>
      </c>
      <c r="C132" s="7" t="s">
        <v>2323</v>
      </c>
      <c r="D132" s="7" t="s">
        <v>2498</v>
      </c>
      <c r="E132" s="5"/>
      <c r="F132" s="40" t="s">
        <v>858</v>
      </c>
      <c r="G132" s="7" t="s">
        <v>2499</v>
      </c>
      <c r="H132" s="5"/>
      <c r="I132" s="5"/>
      <c r="J132" s="21" t="s">
        <v>2500</v>
      </c>
      <c r="K132" s="7" t="s">
        <v>24</v>
      </c>
      <c r="L132" s="7" t="s">
        <v>2501</v>
      </c>
      <c r="M132" s="114">
        <v>1143797868</v>
      </c>
      <c r="N132" s="111"/>
      <c r="O132" s="114">
        <v>15000000</v>
      </c>
      <c r="P132" s="112">
        <v>24000000</v>
      </c>
      <c r="Q132" s="109">
        <f>M132+N132+O132+P132</f>
        <v>1182797868</v>
      </c>
      <c r="R132" s="36">
        <v>1143797868</v>
      </c>
      <c r="S132" s="5"/>
      <c r="T132" s="30">
        <v>15000000</v>
      </c>
      <c r="U132" s="3">
        <v>24000000</v>
      </c>
      <c r="V132" s="5"/>
      <c r="W132" s="28"/>
      <c r="X132" s="28">
        <f>N132-S132</f>
        <v>0</v>
      </c>
      <c r="Y132" s="28">
        <f>O132-T132</f>
        <v>0</v>
      </c>
      <c r="Z132" s="28">
        <f>P132-U132</f>
        <v>0</v>
      </c>
      <c r="AA132" s="4"/>
      <c r="AB132" s="4"/>
      <c r="AC132">
        <f>IF(AB132=G132,1,2)</f>
        <v>2</v>
      </c>
    </row>
    <row r="133" spans="1:30" ht="62.4" x14ac:dyDescent="0.3">
      <c r="A133" s="7" t="s">
        <v>18</v>
      </c>
      <c r="B133" s="6">
        <v>577</v>
      </c>
      <c r="C133" s="7" t="s">
        <v>2323</v>
      </c>
      <c r="D133" s="7" t="s">
        <v>2446</v>
      </c>
      <c r="E133" s="7" t="s">
        <v>1922</v>
      </c>
      <c r="F133" s="40" t="s">
        <v>3871</v>
      </c>
      <c r="G133" s="7" t="s">
        <v>2447</v>
      </c>
      <c r="H133" s="7" t="s">
        <v>2448</v>
      </c>
      <c r="I133" s="7"/>
      <c r="J133" s="7" t="s">
        <v>2449</v>
      </c>
      <c r="K133" s="7" t="s">
        <v>24</v>
      </c>
      <c r="L133" s="7" t="s">
        <v>2450</v>
      </c>
      <c r="M133" s="114">
        <v>3664901998</v>
      </c>
      <c r="N133" s="114">
        <v>306209442</v>
      </c>
      <c r="O133" s="114">
        <v>15000000</v>
      </c>
      <c r="P133" s="75">
        <v>162000000</v>
      </c>
      <c r="Q133" s="109">
        <f>M133+N133+O133+P133</f>
        <v>4148111440</v>
      </c>
      <c r="R133" s="14">
        <v>3664901998</v>
      </c>
      <c r="S133" s="14">
        <v>306209442</v>
      </c>
      <c r="T133" s="30">
        <v>15000000</v>
      </c>
      <c r="U133" s="3">
        <v>54000000</v>
      </c>
      <c r="V133" s="5"/>
      <c r="W133" s="28"/>
      <c r="X133" s="28">
        <f>N133-S133</f>
        <v>0</v>
      </c>
      <c r="Y133" s="28">
        <f>O133-T133</f>
        <v>0</v>
      </c>
      <c r="Z133" s="36">
        <f>P133-U133</f>
        <v>108000000</v>
      </c>
      <c r="AA133" s="4"/>
      <c r="AB133" s="40"/>
      <c r="AC133" s="61">
        <f>IF(AB133=G133,1,2)</f>
        <v>2</v>
      </c>
    </row>
    <row r="134" spans="1:30" ht="31.2" x14ac:dyDescent="0.3">
      <c r="A134" s="7" t="s">
        <v>46</v>
      </c>
      <c r="B134" s="6">
        <v>47</v>
      </c>
      <c r="C134" s="7" t="s">
        <v>144</v>
      </c>
      <c r="D134" s="7" t="s">
        <v>144</v>
      </c>
      <c r="E134" s="7"/>
      <c r="F134" s="40" t="s">
        <v>182</v>
      </c>
      <c r="G134" s="7" t="s">
        <v>183</v>
      </c>
      <c r="H134" s="7"/>
      <c r="I134" s="7" t="s">
        <v>184</v>
      </c>
      <c r="J134" s="7" t="s">
        <v>185</v>
      </c>
      <c r="K134" s="7" t="s">
        <v>24</v>
      </c>
      <c r="L134" s="7" t="s">
        <v>186</v>
      </c>
      <c r="M134" s="109">
        <v>11046885900</v>
      </c>
      <c r="N134" s="111"/>
      <c r="O134" s="109">
        <v>15000000</v>
      </c>
      <c r="P134" s="75">
        <v>84000000</v>
      </c>
      <c r="Q134" s="109">
        <f>M134+N134+O134+P134</f>
        <v>11145885900</v>
      </c>
      <c r="R134" s="36">
        <v>11046885900</v>
      </c>
      <c r="S134" s="5"/>
      <c r="T134" s="30">
        <v>15000000</v>
      </c>
      <c r="U134" s="7"/>
      <c r="V134" s="5"/>
      <c r="W134" s="28"/>
      <c r="X134" s="28">
        <f>N134-S134</f>
        <v>0</v>
      </c>
      <c r="Y134" s="28">
        <f>O134-T134</f>
        <v>0</v>
      </c>
      <c r="Z134" s="36">
        <f>P134-U134</f>
        <v>84000000</v>
      </c>
      <c r="AA134" s="4"/>
      <c r="AB134" s="40"/>
      <c r="AC134" s="61">
        <f>IF(AB134=G134,1,2)</f>
        <v>2</v>
      </c>
    </row>
    <row r="135" spans="1:30" ht="31.2" x14ac:dyDescent="0.3">
      <c r="A135" s="7" t="s">
        <v>46</v>
      </c>
      <c r="B135" s="6">
        <v>235</v>
      </c>
      <c r="C135" s="7" t="s">
        <v>895</v>
      </c>
      <c r="D135" s="7" t="s">
        <v>930</v>
      </c>
      <c r="E135" s="7" t="s">
        <v>931</v>
      </c>
      <c r="F135" s="40" t="s">
        <v>182</v>
      </c>
      <c r="G135" s="7" t="s">
        <v>932</v>
      </c>
      <c r="H135" s="7" t="s">
        <v>933</v>
      </c>
      <c r="I135" s="7"/>
      <c r="J135" s="7" t="s">
        <v>934</v>
      </c>
      <c r="K135" s="7" t="s">
        <v>24</v>
      </c>
      <c r="L135" s="7" t="s">
        <v>935</v>
      </c>
      <c r="M135" s="109">
        <v>29643369869</v>
      </c>
      <c r="N135" s="109">
        <v>642820640</v>
      </c>
      <c r="O135" s="109">
        <v>15000000</v>
      </c>
      <c r="P135" s="75">
        <v>48000000</v>
      </c>
      <c r="Q135" s="109">
        <f>M135+N135+O135+P135</f>
        <v>30349190509</v>
      </c>
      <c r="R135" s="3">
        <v>29643369869</v>
      </c>
      <c r="S135" s="28">
        <v>642820640</v>
      </c>
      <c r="T135" s="72"/>
      <c r="U135" s="7"/>
      <c r="V135" s="5"/>
      <c r="W135" s="28"/>
      <c r="X135" s="28">
        <f>N135-S135</f>
        <v>0</v>
      </c>
      <c r="Y135" s="36">
        <f>O135-T135</f>
        <v>15000000</v>
      </c>
      <c r="Z135" s="36">
        <f>P135-U135</f>
        <v>48000000</v>
      </c>
      <c r="AA135" s="4"/>
      <c r="AB135" s="40"/>
      <c r="AC135" s="121">
        <f>IF(AB135=G135,1,2)</f>
        <v>2</v>
      </c>
      <c r="AD135" s="121"/>
    </row>
    <row r="136" spans="1:30" ht="31.2" x14ac:dyDescent="0.3">
      <c r="A136" s="7" t="s">
        <v>53</v>
      </c>
      <c r="B136" s="6">
        <v>323</v>
      </c>
      <c r="C136" s="7" t="s">
        <v>1077</v>
      </c>
      <c r="D136" s="7" t="s">
        <v>1331</v>
      </c>
      <c r="E136" s="7" t="s">
        <v>177</v>
      </c>
      <c r="F136" s="40" t="s">
        <v>182</v>
      </c>
      <c r="G136" s="7" t="s">
        <v>1332</v>
      </c>
      <c r="H136" s="7" t="s">
        <v>1333</v>
      </c>
      <c r="I136" s="7"/>
      <c r="J136" s="7" t="s">
        <v>1334</v>
      </c>
      <c r="K136" s="7" t="s">
        <v>24</v>
      </c>
      <c r="L136" s="7" t="s">
        <v>1335</v>
      </c>
      <c r="M136" s="109">
        <v>31787585620</v>
      </c>
      <c r="N136" s="109">
        <v>1149412000</v>
      </c>
      <c r="O136" s="109">
        <v>15000000</v>
      </c>
      <c r="P136" s="75">
        <v>60000000</v>
      </c>
      <c r="Q136" s="109">
        <f>M136+N136+O136+P136</f>
        <v>33011997620</v>
      </c>
      <c r="R136" s="3">
        <v>31787585620</v>
      </c>
      <c r="S136" s="3">
        <v>1149412000</v>
      </c>
      <c r="T136" s="30">
        <v>15000000</v>
      </c>
      <c r="U136" s="7"/>
      <c r="V136" s="5"/>
      <c r="W136" s="28"/>
      <c r="X136" s="28">
        <f>N136-S136</f>
        <v>0</v>
      </c>
      <c r="Y136" s="28">
        <f>O136-T136</f>
        <v>0</v>
      </c>
      <c r="Z136" s="36">
        <f>P136-U136</f>
        <v>60000000</v>
      </c>
      <c r="AA136" s="4"/>
      <c r="AB136" s="40"/>
      <c r="AC136" s="61">
        <f>IF(AB136=G136,1,2)</f>
        <v>2</v>
      </c>
    </row>
    <row r="137" spans="1:30" customFormat="1" ht="46.8" hidden="1" x14ac:dyDescent="0.3">
      <c r="A137" s="7" t="s">
        <v>53</v>
      </c>
      <c r="B137" s="6">
        <v>396</v>
      </c>
      <c r="C137" s="7" t="s">
        <v>1591</v>
      </c>
      <c r="D137" s="7" t="s">
        <v>1647</v>
      </c>
      <c r="E137" s="7" t="s">
        <v>1648</v>
      </c>
      <c r="F137" s="40" t="s">
        <v>182</v>
      </c>
      <c r="G137" s="7" t="s">
        <v>1649</v>
      </c>
      <c r="H137" s="7" t="s">
        <v>1650</v>
      </c>
      <c r="I137" s="5"/>
      <c r="J137" s="7" t="s">
        <v>1651</v>
      </c>
      <c r="K137" s="7" t="s">
        <v>24</v>
      </c>
      <c r="L137" s="7" t="s">
        <v>1652</v>
      </c>
      <c r="M137" s="109">
        <v>49337003090</v>
      </c>
      <c r="N137" s="109">
        <v>10000000</v>
      </c>
      <c r="O137" s="109">
        <v>15000000</v>
      </c>
      <c r="P137" s="112">
        <v>144000000</v>
      </c>
      <c r="Q137" s="109">
        <f>M137+N137+O137+P137</f>
        <v>49506003090</v>
      </c>
      <c r="R137" s="3">
        <v>49337003090</v>
      </c>
      <c r="S137" s="3">
        <v>10000000</v>
      </c>
      <c r="T137" s="30">
        <v>15000000</v>
      </c>
      <c r="U137" s="3">
        <v>144000000</v>
      </c>
      <c r="V137" s="5"/>
      <c r="W137" s="28"/>
      <c r="X137" s="28">
        <f>N137-S137</f>
        <v>0</v>
      </c>
      <c r="Y137" s="28">
        <f>O137-T137</f>
        <v>0</v>
      </c>
      <c r="Z137" s="28">
        <f>P137-U137</f>
        <v>0</v>
      </c>
      <c r="AA137" s="4"/>
      <c r="AB137" s="4"/>
      <c r="AC137">
        <f>IF(AB137=G137,1,2)</f>
        <v>2</v>
      </c>
    </row>
    <row r="138" spans="1:30" ht="31.2" x14ac:dyDescent="0.3">
      <c r="A138" s="7" t="s">
        <v>53</v>
      </c>
      <c r="B138" s="6">
        <v>476</v>
      </c>
      <c r="C138" s="7" t="s">
        <v>1785</v>
      </c>
      <c r="D138" s="7" t="s">
        <v>1995</v>
      </c>
      <c r="E138" s="7"/>
      <c r="F138" s="40" t="s">
        <v>182</v>
      </c>
      <c r="G138" s="7" t="s">
        <v>1996</v>
      </c>
      <c r="H138" s="7"/>
      <c r="I138" s="7"/>
      <c r="J138" s="7" t="s">
        <v>1997</v>
      </c>
      <c r="K138" s="7" t="s">
        <v>24</v>
      </c>
      <c r="L138" s="7" t="s">
        <v>1998</v>
      </c>
      <c r="M138" s="109">
        <v>20421915934</v>
      </c>
      <c r="N138" s="111"/>
      <c r="O138" s="109">
        <v>15000000</v>
      </c>
      <c r="P138" s="75">
        <v>48000000</v>
      </c>
      <c r="Q138" s="109">
        <f>M138+N138+O138+P138</f>
        <v>20484915934</v>
      </c>
      <c r="R138" s="3">
        <v>20421915934</v>
      </c>
      <c r="S138" s="5"/>
      <c r="T138" s="72"/>
      <c r="U138" s="7"/>
      <c r="V138" s="5"/>
      <c r="W138" s="28"/>
      <c r="X138" s="28">
        <f>N138-S138</f>
        <v>0</v>
      </c>
      <c r="Y138" s="36">
        <f>O138-T138</f>
        <v>15000000</v>
      </c>
      <c r="Z138" s="36">
        <f>P138-U138</f>
        <v>48000000</v>
      </c>
      <c r="AA138" s="4"/>
      <c r="AB138" s="40"/>
      <c r="AC138" s="121">
        <f>IF(AB138=G138,1,2)</f>
        <v>2</v>
      </c>
      <c r="AD138" s="121"/>
    </row>
    <row r="139" spans="1:30" ht="31.2" x14ac:dyDescent="0.3">
      <c r="A139" s="7" t="s">
        <v>53</v>
      </c>
      <c r="B139" s="6">
        <v>512</v>
      </c>
      <c r="C139" s="7" t="s">
        <v>2020</v>
      </c>
      <c r="D139" s="7" t="s">
        <v>2166</v>
      </c>
      <c r="E139" s="7"/>
      <c r="F139" s="40" t="s">
        <v>182</v>
      </c>
      <c r="G139" s="7" t="s">
        <v>2167</v>
      </c>
      <c r="H139" s="7"/>
      <c r="I139" s="7"/>
      <c r="J139" s="7" t="s">
        <v>2168</v>
      </c>
      <c r="K139" s="7" t="s">
        <v>24</v>
      </c>
      <c r="L139" s="7" t="s">
        <v>2169</v>
      </c>
      <c r="M139" s="109">
        <v>15083899760</v>
      </c>
      <c r="N139" s="111"/>
      <c r="O139" s="109">
        <v>15000000</v>
      </c>
      <c r="P139" s="75">
        <v>60000000</v>
      </c>
      <c r="Q139" s="109">
        <f>M139+N139+O139+P139</f>
        <v>15158899760</v>
      </c>
      <c r="R139" s="3">
        <v>15083899760</v>
      </c>
      <c r="S139" s="5"/>
      <c r="T139" s="72"/>
      <c r="U139" s="7"/>
      <c r="V139" s="5"/>
      <c r="W139" s="28"/>
      <c r="X139" s="28">
        <f>N139-S139</f>
        <v>0</v>
      </c>
      <c r="Y139" s="36">
        <f>O139-T139</f>
        <v>15000000</v>
      </c>
      <c r="Z139" s="36">
        <f>P139-U139</f>
        <v>60000000</v>
      </c>
      <c r="AA139" s="4"/>
      <c r="AB139" s="40"/>
      <c r="AC139" s="121">
        <f>IF(AB139=G139,1,2)</f>
        <v>2</v>
      </c>
      <c r="AD139" s="121"/>
    </row>
    <row r="140" spans="1:30" customFormat="1" ht="31.2" hidden="1" x14ac:dyDescent="0.3">
      <c r="A140" s="7" t="s">
        <v>2318</v>
      </c>
      <c r="B140" s="6">
        <v>548</v>
      </c>
      <c r="C140" s="7" t="s">
        <v>2250</v>
      </c>
      <c r="D140" s="7" t="s">
        <v>2319</v>
      </c>
      <c r="E140" s="5"/>
      <c r="F140" s="40" t="s">
        <v>182</v>
      </c>
      <c r="G140" s="7" t="s">
        <v>2320</v>
      </c>
      <c r="H140" s="5"/>
      <c r="I140" s="5"/>
      <c r="J140" s="21" t="s">
        <v>2321</v>
      </c>
      <c r="K140" s="7" t="s">
        <v>24</v>
      </c>
      <c r="L140" s="7" t="s">
        <v>2322</v>
      </c>
      <c r="M140" s="114">
        <v>8344894680</v>
      </c>
      <c r="N140" s="111"/>
      <c r="O140" s="114">
        <v>15000000</v>
      </c>
      <c r="P140" s="112">
        <v>120000000</v>
      </c>
      <c r="Q140" s="109">
        <f>M140+N140+O140+P140</f>
        <v>8479894680</v>
      </c>
      <c r="R140" s="14">
        <v>8344894680</v>
      </c>
      <c r="S140" s="5"/>
      <c r="T140" s="30">
        <v>15000000</v>
      </c>
      <c r="U140" s="14">
        <v>120000000</v>
      </c>
      <c r="V140" s="5"/>
      <c r="W140" s="28"/>
      <c r="X140" s="28">
        <f>N140-S140</f>
        <v>0</v>
      </c>
      <c r="Y140" s="28">
        <f>O140-T140</f>
        <v>0</v>
      </c>
      <c r="Z140" s="28">
        <f>P140-U140</f>
        <v>0</v>
      </c>
      <c r="AA140" s="4"/>
      <c r="AB140" s="4"/>
      <c r="AC140">
        <f>IF(AB140=G140,1,2)</f>
        <v>2</v>
      </c>
    </row>
    <row r="141" spans="1:30" customFormat="1" ht="42" hidden="1" x14ac:dyDescent="0.3">
      <c r="A141" s="7" t="s">
        <v>18</v>
      </c>
      <c r="B141" s="6">
        <v>554</v>
      </c>
      <c r="C141" s="7" t="s">
        <v>2323</v>
      </c>
      <c r="D141" s="7" t="s">
        <v>2348</v>
      </c>
      <c r="E141" s="5"/>
      <c r="F141" s="40" t="s">
        <v>182</v>
      </c>
      <c r="G141" s="7" t="s">
        <v>2349</v>
      </c>
      <c r="H141" s="5"/>
      <c r="I141" s="5"/>
      <c r="J141" s="21" t="s">
        <v>2350</v>
      </c>
      <c r="K141" s="7" t="s">
        <v>24</v>
      </c>
      <c r="L141" s="7" t="s">
        <v>2351</v>
      </c>
      <c r="M141" s="114">
        <v>13618798440</v>
      </c>
      <c r="N141" s="111"/>
      <c r="O141" s="114">
        <v>15000000</v>
      </c>
      <c r="P141" s="112">
        <v>144000000</v>
      </c>
      <c r="Q141" s="109">
        <f>M141+N141+O141+P141</f>
        <v>13777798440</v>
      </c>
      <c r="R141" s="14">
        <v>13618798440</v>
      </c>
      <c r="S141" s="5"/>
      <c r="T141" s="30">
        <v>15000000</v>
      </c>
      <c r="U141" s="14">
        <v>144000000</v>
      </c>
      <c r="V141" s="5"/>
      <c r="W141" s="28"/>
      <c r="X141" s="28">
        <f>N141-S141</f>
        <v>0</v>
      </c>
      <c r="Y141" s="28">
        <f>O141-T141</f>
        <v>0</v>
      </c>
      <c r="Z141" s="28">
        <f>P141-U141</f>
        <v>0</v>
      </c>
      <c r="AA141" s="4"/>
      <c r="AB141" s="4"/>
      <c r="AC141">
        <f>IF(AB141=G141,1,2)</f>
        <v>2</v>
      </c>
    </row>
    <row r="142" spans="1:30" customFormat="1" ht="62.4" hidden="1" x14ac:dyDescent="0.3">
      <c r="A142" s="7" t="s">
        <v>46</v>
      </c>
      <c r="B142" s="6">
        <v>857</v>
      </c>
      <c r="C142" s="7" t="s">
        <v>3506</v>
      </c>
      <c r="D142" s="7" t="s">
        <v>3698</v>
      </c>
      <c r="E142" s="7" t="s">
        <v>3508</v>
      </c>
      <c r="F142" s="40" t="s">
        <v>3699</v>
      </c>
      <c r="G142" s="7" t="s">
        <v>3700</v>
      </c>
      <c r="H142" s="5"/>
      <c r="I142" s="5"/>
      <c r="J142" s="21" t="s">
        <v>3701</v>
      </c>
      <c r="K142" s="7" t="s">
        <v>24</v>
      </c>
      <c r="L142" s="7" t="s">
        <v>3702</v>
      </c>
      <c r="M142" s="114">
        <v>3420319048</v>
      </c>
      <c r="N142" s="112">
        <v>642406970</v>
      </c>
      <c r="O142" s="114">
        <v>15000000</v>
      </c>
      <c r="P142" s="112">
        <v>216000000</v>
      </c>
      <c r="Q142" s="109">
        <f>M142+N142+O142+P142</f>
        <v>4293726018</v>
      </c>
      <c r="R142" s="14">
        <v>3420319048</v>
      </c>
      <c r="S142" s="14">
        <v>642406970</v>
      </c>
      <c r="T142" s="30">
        <v>15000000</v>
      </c>
      <c r="U142" s="14">
        <v>216000000</v>
      </c>
      <c r="V142" s="5"/>
      <c r="W142" s="28"/>
      <c r="X142" s="28">
        <f>N142-S142</f>
        <v>0</v>
      </c>
      <c r="Y142" s="28">
        <f>O142-T142</f>
        <v>0</v>
      </c>
      <c r="Z142" s="28">
        <f>P142-U142</f>
        <v>0</v>
      </c>
      <c r="AA142" s="4"/>
      <c r="AB142" s="4"/>
      <c r="AC142">
        <f>IF(AB142=G142,1,2)</f>
        <v>2</v>
      </c>
    </row>
    <row r="143" spans="1:30" customFormat="1" ht="31.2" hidden="1" x14ac:dyDescent="0.3">
      <c r="A143" s="7" t="s">
        <v>62</v>
      </c>
      <c r="B143" s="6">
        <v>488</v>
      </c>
      <c r="C143" s="7" t="s">
        <v>2020</v>
      </c>
      <c r="D143" s="7" t="s">
        <v>2057</v>
      </c>
      <c r="E143" s="5"/>
      <c r="F143" s="40" t="s">
        <v>2058</v>
      </c>
      <c r="G143" s="7" t="s">
        <v>2059</v>
      </c>
      <c r="H143" s="5"/>
      <c r="I143" s="5"/>
      <c r="J143" s="7" t="s">
        <v>2060</v>
      </c>
      <c r="K143" s="7" t="s">
        <v>24</v>
      </c>
      <c r="L143" s="7" t="s">
        <v>2061</v>
      </c>
      <c r="M143" s="109">
        <v>24488585954</v>
      </c>
      <c r="N143" s="111"/>
      <c r="O143" s="109">
        <v>15000000</v>
      </c>
      <c r="P143" s="112">
        <v>96000000</v>
      </c>
      <c r="Q143" s="109">
        <f>M143+N143+O143+P143</f>
        <v>24599585954</v>
      </c>
      <c r="R143" s="3">
        <v>24488585954</v>
      </c>
      <c r="S143" s="5"/>
      <c r="T143" s="30">
        <v>15000000</v>
      </c>
      <c r="U143" s="3">
        <v>96000000</v>
      </c>
      <c r="V143" s="5"/>
      <c r="W143" s="28"/>
      <c r="X143" s="28">
        <f>N143-S143</f>
        <v>0</v>
      </c>
      <c r="Y143" s="28">
        <f>O143-T143</f>
        <v>0</v>
      </c>
      <c r="Z143" s="28">
        <f>P143-U143</f>
        <v>0</v>
      </c>
      <c r="AA143" s="4"/>
      <c r="AB143" s="4"/>
      <c r="AC143">
        <f>IF(AB143=G143,1,2)</f>
        <v>2</v>
      </c>
    </row>
    <row r="144" spans="1:30" customFormat="1" ht="31.2" hidden="1" x14ac:dyDescent="0.3">
      <c r="A144" s="7" t="s">
        <v>53</v>
      </c>
      <c r="B144" s="6">
        <v>645</v>
      </c>
      <c r="C144" s="7" t="s">
        <v>2562</v>
      </c>
      <c r="D144" s="7" t="s">
        <v>2756</v>
      </c>
      <c r="E144" s="7" t="s">
        <v>2757</v>
      </c>
      <c r="F144" s="40" t="s">
        <v>2058</v>
      </c>
      <c r="G144" s="7" t="s">
        <v>2758</v>
      </c>
      <c r="H144" s="7" t="s">
        <v>2759</v>
      </c>
      <c r="I144" s="7" t="s">
        <v>2565</v>
      </c>
      <c r="J144" s="21" t="s">
        <v>2760</v>
      </c>
      <c r="K144" s="7" t="s">
        <v>24</v>
      </c>
      <c r="L144" s="7" t="s">
        <v>2761</v>
      </c>
      <c r="M144" s="114">
        <v>3117329551</v>
      </c>
      <c r="N144" s="114">
        <v>7186340</v>
      </c>
      <c r="O144" s="114">
        <v>15000000</v>
      </c>
      <c r="P144" s="112">
        <v>8000000</v>
      </c>
      <c r="Q144" s="109">
        <f>M144+N144+O144+P144</f>
        <v>3147515891</v>
      </c>
      <c r="R144" s="14">
        <v>3117329551</v>
      </c>
      <c r="S144" s="3">
        <v>7186340</v>
      </c>
      <c r="T144" s="30">
        <v>15000000</v>
      </c>
      <c r="U144" s="3">
        <v>8000000</v>
      </c>
      <c r="V144" s="5"/>
      <c r="W144" s="28"/>
      <c r="X144" s="28">
        <f>N144-S144</f>
        <v>0</v>
      </c>
      <c r="Y144" s="28">
        <f>O144-T144</f>
        <v>0</v>
      </c>
      <c r="Z144" s="28">
        <f>P144-U144</f>
        <v>0</v>
      </c>
      <c r="AA144" s="4"/>
      <c r="AB144" s="4"/>
      <c r="AC144">
        <f>IF(AB144=G144,1,2)</f>
        <v>2</v>
      </c>
    </row>
    <row r="145" spans="1:29" customFormat="1" ht="62.4" hidden="1" x14ac:dyDescent="0.3">
      <c r="A145" s="7" t="s">
        <v>18</v>
      </c>
      <c r="B145" s="6">
        <v>568</v>
      </c>
      <c r="C145" s="7" t="s">
        <v>2323</v>
      </c>
      <c r="D145" s="7" t="s">
        <v>2406</v>
      </c>
      <c r="E145" s="5"/>
      <c r="F145" s="40" t="s">
        <v>2407</v>
      </c>
      <c r="G145" s="7" t="s">
        <v>2408</v>
      </c>
      <c r="H145" s="5"/>
      <c r="I145" s="5"/>
      <c r="J145" s="21" t="s">
        <v>2409</v>
      </c>
      <c r="K145" s="7" t="s">
        <v>24</v>
      </c>
      <c r="L145" s="7" t="s">
        <v>2410</v>
      </c>
      <c r="M145" s="114">
        <v>3684148720</v>
      </c>
      <c r="N145" s="111"/>
      <c r="O145" s="114">
        <v>15000000</v>
      </c>
      <c r="P145" s="112">
        <v>72000000</v>
      </c>
      <c r="Q145" s="109">
        <f>M145+N145+O145+P145</f>
        <v>3771148720</v>
      </c>
      <c r="R145" s="14">
        <v>3684148720</v>
      </c>
      <c r="S145" s="5"/>
      <c r="T145" s="30">
        <v>15000000</v>
      </c>
      <c r="U145" s="14">
        <v>72000000</v>
      </c>
      <c r="V145" s="5"/>
      <c r="W145" s="28"/>
      <c r="X145" s="28">
        <f>N145-S145</f>
        <v>0</v>
      </c>
      <c r="Y145" s="28">
        <f>O145-T145</f>
        <v>0</v>
      </c>
      <c r="Z145" s="28">
        <f>P145-U145</f>
        <v>0</v>
      </c>
      <c r="AA145" s="4"/>
      <c r="AB145" s="4"/>
      <c r="AC145">
        <f>IF(AB145=G145,1,2)</f>
        <v>2</v>
      </c>
    </row>
    <row r="146" spans="1:29" customFormat="1" ht="62.4" hidden="1" x14ac:dyDescent="0.3">
      <c r="A146" s="7" t="s">
        <v>53</v>
      </c>
      <c r="B146" s="6">
        <v>622</v>
      </c>
      <c r="C146" s="7" t="s">
        <v>2562</v>
      </c>
      <c r="D146" s="7" t="s">
        <v>2654</v>
      </c>
      <c r="E146" s="5"/>
      <c r="F146" s="40" t="s">
        <v>3891</v>
      </c>
      <c r="G146" s="7" t="s">
        <v>2656</v>
      </c>
      <c r="H146" s="5"/>
      <c r="I146" s="7" t="s">
        <v>2565</v>
      </c>
      <c r="J146" s="21" t="s">
        <v>2657</v>
      </c>
      <c r="K146" s="7" t="s">
        <v>24</v>
      </c>
      <c r="L146" s="7" t="s">
        <v>2658</v>
      </c>
      <c r="M146" s="114">
        <v>3463769620</v>
      </c>
      <c r="N146" s="111"/>
      <c r="O146" s="114">
        <v>15000000</v>
      </c>
      <c r="P146" s="112">
        <v>72000000</v>
      </c>
      <c r="Q146" s="109">
        <f>M146+N146+O146+P146</f>
        <v>3550769620</v>
      </c>
      <c r="R146" s="14">
        <v>3463769620</v>
      </c>
      <c r="S146" s="5"/>
      <c r="T146" s="31">
        <v>15000000</v>
      </c>
      <c r="U146" s="14">
        <v>72000000</v>
      </c>
      <c r="V146" s="5"/>
      <c r="W146" s="28"/>
      <c r="X146" s="28">
        <f>N146-S146</f>
        <v>0</v>
      </c>
      <c r="Y146" s="28">
        <f>O146-T146</f>
        <v>0</v>
      </c>
      <c r="Z146" s="28">
        <f>P146-U146</f>
        <v>0</v>
      </c>
      <c r="AA146" s="4"/>
      <c r="AB146" s="4"/>
      <c r="AC146">
        <f>IF(AB146=G146,1,2)</f>
        <v>2</v>
      </c>
    </row>
    <row r="147" spans="1:29" ht="31.2" x14ac:dyDescent="0.3">
      <c r="A147" s="7" t="s">
        <v>18</v>
      </c>
      <c r="B147" s="6">
        <v>140</v>
      </c>
      <c r="C147" s="7" t="s">
        <v>489</v>
      </c>
      <c r="D147" s="7" t="s">
        <v>504</v>
      </c>
      <c r="E147" s="7"/>
      <c r="F147" s="40" t="s">
        <v>505</v>
      </c>
      <c r="G147" s="7" t="s">
        <v>506</v>
      </c>
      <c r="H147" s="7" t="s">
        <v>395</v>
      </c>
      <c r="I147" s="7"/>
      <c r="J147" s="40" t="s">
        <v>507</v>
      </c>
      <c r="K147" s="7" t="s">
        <v>24</v>
      </c>
      <c r="L147" s="7" t="s">
        <v>508</v>
      </c>
      <c r="M147" s="109">
        <v>3156816400</v>
      </c>
      <c r="N147" s="111"/>
      <c r="O147" s="109">
        <v>15000000</v>
      </c>
      <c r="P147" s="75">
        <v>18000000</v>
      </c>
      <c r="Q147" s="109">
        <f>M147+N147+O147+P147</f>
        <v>3189816400</v>
      </c>
      <c r="R147" s="3">
        <v>3156816400</v>
      </c>
      <c r="S147" s="5"/>
      <c r="T147" s="30">
        <v>15000000</v>
      </c>
      <c r="U147" s="7"/>
      <c r="V147" s="5"/>
      <c r="W147" s="28"/>
      <c r="X147" s="28">
        <f>N147-S147</f>
        <v>0</v>
      </c>
      <c r="Y147" s="28">
        <f>O147-T147</f>
        <v>0</v>
      </c>
      <c r="Z147" s="36">
        <f>P147-U147</f>
        <v>18000000</v>
      </c>
      <c r="AA147" s="4"/>
      <c r="AB147" s="40"/>
      <c r="AC147" s="61">
        <f>IF(AB147=G147,1,2)</f>
        <v>2</v>
      </c>
    </row>
    <row r="148" spans="1:29" ht="31.2" x14ac:dyDescent="0.4">
      <c r="A148" s="40" t="s">
        <v>18</v>
      </c>
      <c r="B148" s="6">
        <v>591</v>
      </c>
      <c r="C148" s="7" t="s">
        <v>2323</v>
      </c>
      <c r="D148" s="7" t="s">
        <v>2506</v>
      </c>
      <c r="E148" s="7" t="s">
        <v>1145</v>
      </c>
      <c r="F148" s="7" t="s">
        <v>505</v>
      </c>
      <c r="G148" s="7" t="s">
        <v>2507</v>
      </c>
      <c r="H148" s="7" t="s">
        <v>2508</v>
      </c>
      <c r="I148" s="7"/>
      <c r="J148" s="7" t="s">
        <v>2509</v>
      </c>
      <c r="K148" s="7" t="s">
        <v>24</v>
      </c>
      <c r="L148" s="7" t="s">
        <v>2510</v>
      </c>
      <c r="M148" s="114">
        <v>1856869939</v>
      </c>
      <c r="N148" s="114">
        <v>461717485</v>
      </c>
      <c r="O148" s="114">
        <v>15000000</v>
      </c>
      <c r="P148" s="75">
        <v>8000000</v>
      </c>
      <c r="Q148" s="109">
        <f>M148+N148+O148+P148</f>
        <v>2341587424</v>
      </c>
      <c r="R148" s="28">
        <v>1856869939</v>
      </c>
      <c r="S148" s="28">
        <v>461717485</v>
      </c>
      <c r="T148" s="30">
        <v>15000000</v>
      </c>
      <c r="U148" s="7"/>
      <c r="V148" s="5"/>
      <c r="W148" s="28"/>
      <c r="X148" s="28">
        <f>N148-S148</f>
        <v>0</v>
      </c>
      <c r="Y148" s="28">
        <f>O148-T148</f>
        <v>0</v>
      </c>
      <c r="Z148" s="36">
        <f>P148-U148</f>
        <v>8000000</v>
      </c>
      <c r="AA148" s="16"/>
      <c r="AB148" s="40"/>
      <c r="AC148" s="61">
        <f>IF(AB148=G148,1,2)</f>
        <v>2</v>
      </c>
    </row>
    <row r="149" spans="1:29" customFormat="1" ht="31.2" hidden="1" x14ac:dyDescent="0.3">
      <c r="A149" s="7" t="s">
        <v>62</v>
      </c>
      <c r="B149" s="6">
        <v>700</v>
      </c>
      <c r="C149" s="7" t="s">
        <v>2877</v>
      </c>
      <c r="D149" s="7" t="s">
        <v>2999</v>
      </c>
      <c r="E149" s="5"/>
      <c r="F149" s="40" t="s">
        <v>505</v>
      </c>
      <c r="G149" s="7" t="s">
        <v>3000</v>
      </c>
      <c r="H149" s="5"/>
      <c r="I149" s="5"/>
      <c r="J149" s="21" t="s">
        <v>3001</v>
      </c>
      <c r="K149" s="7" t="s">
        <v>24</v>
      </c>
      <c r="L149" s="7" t="s">
        <v>3002</v>
      </c>
      <c r="M149" s="114">
        <v>776854950</v>
      </c>
      <c r="N149" s="111"/>
      <c r="O149" s="114">
        <v>15000000</v>
      </c>
      <c r="P149" s="112">
        <v>8000000</v>
      </c>
      <c r="Q149" s="109">
        <f>M149+N149+O149+P149</f>
        <v>799854950</v>
      </c>
      <c r="R149" s="14">
        <v>776854950</v>
      </c>
      <c r="S149" s="5"/>
      <c r="T149" s="33">
        <v>15000000</v>
      </c>
      <c r="U149" s="14">
        <v>8000000</v>
      </c>
      <c r="V149" s="5"/>
      <c r="W149" s="28"/>
      <c r="X149" s="28">
        <f>N149-S149</f>
        <v>0</v>
      </c>
      <c r="Y149" s="28">
        <f>O149-T149</f>
        <v>0</v>
      </c>
      <c r="Z149" s="28">
        <f>P149-U149</f>
        <v>0</v>
      </c>
      <c r="AA149" s="4"/>
      <c r="AB149" s="4"/>
      <c r="AC149">
        <f>IF(AB149=G149,1,2)</f>
        <v>2</v>
      </c>
    </row>
    <row r="150" spans="1:29" customFormat="1" ht="62.4" hidden="1" x14ac:dyDescent="0.3">
      <c r="A150" s="7" t="s">
        <v>2290</v>
      </c>
      <c r="B150" s="6">
        <v>725</v>
      </c>
      <c r="C150" s="7" t="s">
        <v>2877</v>
      </c>
      <c r="D150" s="7" t="s">
        <v>3114</v>
      </c>
      <c r="E150" s="5"/>
      <c r="F150" s="40" t="s">
        <v>3115</v>
      </c>
      <c r="G150" s="7" t="s">
        <v>3116</v>
      </c>
      <c r="H150" s="5"/>
      <c r="I150" s="5"/>
      <c r="J150" s="21" t="s">
        <v>321</v>
      </c>
      <c r="K150" s="7" t="s">
        <v>24</v>
      </c>
      <c r="L150" s="7" t="s">
        <v>3117</v>
      </c>
      <c r="M150" s="114">
        <v>33238029</v>
      </c>
      <c r="N150" s="111"/>
      <c r="O150" s="114">
        <v>15000000</v>
      </c>
      <c r="P150" s="112">
        <v>108000000</v>
      </c>
      <c r="Q150" s="109">
        <f>M150+N150+O150+P150</f>
        <v>156238029</v>
      </c>
      <c r="R150" s="14">
        <v>33238029</v>
      </c>
      <c r="S150" s="5"/>
      <c r="T150" s="33">
        <v>15000000</v>
      </c>
      <c r="U150" s="14">
        <v>108000000</v>
      </c>
      <c r="V150" s="5"/>
      <c r="W150" s="28"/>
      <c r="X150" s="28">
        <f>N150-S150</f>
        <v>0</v>
      </c>
      <c r="Y150" s="28">
        <f>O150-T150</f>
        <v>0</v>
      </c>
      <c r="Z150" s="28">
        <f>P150-U150</f>
        <v>0</v>
      </c>
      <c r="AA150" s="4"/>
      <c r="AB150" s="4"/>
      <c r="AC150">
        <f>IF(AB150=G150,1,2)</f>
        <v>2</v>
      </c>
    </row>
    <row r="151" spans="1:29" customFormat="1" ht="62.4" hidden="1" x14ac:dyDescent="0.3">
      <c r="A151" s="7" t="s">
        <v>2290</v>
      </c>
      <c r="B151" s="6">
        <v>728</v>
      </c>
      <c r="C151" s="7" t="s">
        <v>2877</v>
      </c>
      <c r="D151" s="7" t="s">
        <v>3126</v>
      </c>
      <c r="E151" s="5"/>
      <c r="F151" s="40" t="s">
        <v>3115</v>
      </c>
      <c r="G151" s="7" t="s">
        <v>3127</v>
      </c>
      <c r="H151" s="5"/>
      <c r="I151" s="5"/>
      <c r="J151" s="21" t="s">
        <v>3128</v>
      </c>
      <c r="K151" s="7" t="s">
        <v>24</v>
      </c>
      <c r="L151" s="7" t="s">
        <v>3129</v>
      </c>
      <c r="M151" s="114">
        <v>804477970</v>
      </c>
      <c r="N151" s="111"/>
      <c r="O151" s="114">
        <v>15000000</v>
      </c>
      <c r="P151" s="112">
        <v>72000000</v>
      </c>
      <c r="Q151" s="109">
        <f>M151+N151+O151+P151</f>
        <v>891477970</v>
      </c>
      <c r="R151" s="14">
        <v>804477970</v>
      </c>
      <c r="S151" s="5"/>
      <c r="T151" s="33">
        <v>15000000</v>
      </c>
      <c r="U151" s="14">
        <v>72000000</v>
      </c>
      <c r="V151" s="5"/>
      <c r="W151" s="28"/>
      <c r="X151" s="28">
        <f>N151-S151</f>
        <v>0</v>
      </c>
      <c r="Y151" s="28">
        <f>O151-T151</f>
        <v>0</v>
      </c>
      <c r="Z151" s="28">
        <f>P151-U151</f>
        <v>0</v>
      </c>
      <c r="AA151" s="4"/>
      <c r="AB151" s="4"/>
      <c r="AC151">
        <f>IF(AB151=G151,1,2)</f>
        <v>2</v>
      </c>
    </row>
    <row r="152" spans="1:29" customFormat="1" ht="78" hidden="1" x14ac:dyDescent="0.3">
      <c r="A152" s="7" t="s">
        <v>2290</v>
      </c>
      <c r="B152" s="6">
        <v>684</v>
      </c>
      <c r="C152" s="7" t="s">
        <v>2877</v>
      </c>
      <c r="D152" s="7" t="s">
        <v>2931</v>
      </c>
      <c r="E152" s="5"/>
      <c r="F152" s="40" t="s">
        <v>2932</v>
      </c>
      <c r="G152" s="7" t="s">
        <v>2933</v>
      </c>
      <c r="H152" s="5"/>
      <c r="I152" s="5"/>
      <c r="J152" s="21" t="s">
        <v>1153</v>
      </c>
      <c r="K152" s="7" t="s">
        <v>24</v>
      </c>
      <c r="L152" s="7" t="s">
        <v>2934</v>
      </c>
      <c r="M152" s="114">
        <v>731347144</v>
      </c>
      <c r="N152" s="111"/>
      <c r="O152" s="114">
        <v>15000000</v>
      </c>
      <c r="P152" s="112">
        <v>72000000</v>
      </c>
      <c r="Q152" s="109">
        <f>M152+N152+O152+P152</f>
        <v>818347144</v>
      </c>
      <c r="R152" s="14">
        <v>731347144</v>
      </c>
      <c r="S152" s="5"/>
      <c r="T152" s="33">
        <v>15000000</v>
      </c>
      <c r="U152" s="14">
        <v>72000000</v>
      </c>
      <c r="V152" s="5"/>
      <c r="W152" s="28"/>
      <c r="X152" s="28">
        <f>N152-S152</f>
        <v>0</v>
      </c>
      <c r="Y152" s="28">
        <f>O152-T152</f>
        <v>0</v>
      </c>
      <c r="Z152" s="28">
        <f>P152-U152</f>
        <v>0</v>
      </c>
      <c r="AA152" s="4"/>
      <c r="AB152" s="4"/>
      <c r="AC152">
        <f>IF(AB152=G152,1,2)</f>
        <v>2</v>
      </c>
    </row>
    <row r="153" spans="1:29" customFormat="1" ht="46.8" hidden="1" x14ac:dyDescent="0.3">
      <c r="A153" s="7" t="s">
        <v>18</v>
      </c>
      <c r="B153" s="6">
        <v>800</v>
      </c>
      <c r="C153" s="7" t="s">
        <v>3313</v>
      </c>
      <c r="D153" s="7" t="s">
        <v>3447</v>
      </c>
      <c r="E153" s="5"/>
      <c r="F153" s="40" t="s">
        <v>3448</v>
      </c>
      <c r="G153" s="7" t="s">
        <v>3449</v>
      </c>
      <c r="H153" s="7" t="s">
        <v>3450</v>
      </c>
      <c r="I153" s="5"/>
      <c r="J153" s="21" t="s">
        <v>3451</v>
      </c>
      <c r="K153" s="7" t="s">
        <v>24</v>
      </c>
      <c r="L153" s="7" t="s">
        <v>3452</v>
      </c>
      <c r="M153" s="114">
        <v>1848889516</v>
      </c>
      <c r="N153" s="111"/>
      <c r="O153" s="114">
        <v>15000000</v>
      </c>
      <c r="P153" s="112">
        <v>16000000</v>
      </c>
      <c r="Q153" s="109">
        <f>M153+N153+O153+P153</f>
        <v>1879889516</v>
      </c>
      <c r="R153" s="14">
        <v>1848889516</v>
      </c>
      <c r="S153" s="5"/>
      <c r="T153" s="30">
        <v>15000000</v>
      </c>
      <c r="U153" s="3">
        <v>16000000</v>
      </c>
      <c r="V153" s="5"/>
      <c r="W153" s="28"/>
      <c r="X153" s="28">
        <f>N153-S153</f>
        <v>0</v>
      </c>
      <c r="Y153" s="28">
        <f>O153-T153</f>
        <v>0</v>
      </c>
      <c r="Z153" s="28">
        <f>P153-U153</f>
        <v>0</v>
      </c>
      <c r="AA153" s="4"/>
      <c r="AB153" s="4"/>
      <c r="AC153">
        <f>IF(AB153=G153,1,2)</f>
        <v>2</v>
      </c>
    </row>
    <row r="154" spans="1:29" customFormat="1" ht="63" hidden="1" x14ac:dyDescent="0.3">
      <c r="A154" s="7" t="s">
        <v>46</v>
      </c>
      <c r="B154" s="6">
        <v>848</v>
      </c>
      <c r="C154" s="7" t="s">
        <v>3506</v>
      </c>
      <c r="D154" s="7" t="s">
        <v>3658</v>
      </c>
      <c r="E154" s="7" t="s">
        <v>3645</v>
      </c>
      <c r="F154" s="40" t="s">
        <v>3448</v>
      </c>
      <c r="G154" s="7" t="s">
        <v>3659</v>
      </c>
      <c r="H154" s="7" t="s">
        <v>3660</v>
      </c>
      <c r="I154" s="5"/>
      <c r="J154" s="21" t="s">
        <v>3661</v>
      </c>
      <c r="K154" s="7" t="s">
        <v>24</v>
      </c>
      <c r="L154" s="7" t="s">
        <v>3452</v>
      </c>
      <c r="M154" s="114">
        <v>2057610960</v>
      </c>
      <c r="N154" s="114">
        <v>313086065</v>
      </c>
      <c r="O154" s="114">
        <v>15000000</v>
      </c>
      <c r="P154" s="112">
        <v>8000000</v>
      </c>
      <c r="Q154" s="109">
        <f>M154+N154+O154+P154</f>
        <v>2393697025</v>
      </c>
      <c r="R154" s="14">
        <v>2057610960</v>
      </c>
      <c r="S154" s="14">
        <v>313086065</v>
      </c>
      <c r="T154" s="30">
        <v>15000000</v>
      </c>
      <c r="U154" s="14">
        <v>8000000</v>
      </c>
      <c r="V154" s="5"/>
      <c r="W154" s="28"/>
      <c r="X154" s="28">
        <f>N154-S154</f>
        <v>0</v>
      </c>
      <c r="Y154" s="28">
        <f>O154-T154</f>
        <v>0</v>
      </c>
      <c r="Z154" s="28">
        <f>P154-U154</f>
        <v>0</v>
      </c>
      <c r="AA154" s="4"/>
      <c r="AB154" s="4"/>
      <c r="AC154">
        <f>IF(AB154=G154,1,2)</f>
        <v>2</v>
      </c>
    </row>
    <row r="155" spans="1:29" customFormat="1" ht="62.4" hidden="1" x14ac:dyDescent="0.3">
      <c r="A155" s="7" t="s">
        <v>62</v>
      </c>
      <c r="B155" s="6">
        <v>240</v>
      </c>
      <c r="C155" s="7" t="s">
        <v>895</v>
      </c>
      <c r="D155" s="7" t="s">
        <v>952</v>
      </c>
      <c r="E155" s="5"/>
      <c r="F155" s="40" t="s">
        <v>953</v>
      </c>
      <c r="G155" s="7" t="s">
        <v>954</v>
      </c>
      <c r="H155" s="5"/>
      <c r="I155" s="5"/>
      <c r="J155" s="7" t="s">
        <v>955</v>
      </c>
      <c r="K155" s="7" t="s">
        <v>24</v>
      </c>
      <c r="L155" s="7" t="s">
        <v>956</v>
      </c>
      <c r="M155" s="109">
        <v>3280061542</v>
      </c>
      <c r="N155" s="111"/>
      <c r="O155" s="109">
        <v>15000000</v>
      </c>
      <c r="P155" s="112">
        <v>90000000</v>
      </c>
      <c r="Q155" s="109">
        <f>M155+N155+O155+P155</f>
        <v>3385061542</v>
      </c>
      <c r="R155" s="3">
        <v>3280061542</v>
      </c>
      <c r="S155" s="5"/>
      <c r="T155" s="30">
        <v>15000000</v>
      </c>
      <c r="U155" s="3">
        <v>90000000</v>
      </c>
      <c r="V155" s="5"/>
      <c r="W155" s="28"/>
      <c r="X155" s="28">
        <f>N155-S155</f>
        <v>0</v>
      </c>
      <c r="Y155" s="28">
        <f>O155-T155</f>
        <v>0</v>
      </c>
      <c r="Z155" s="28">
        <f>P155-U155</f>
        <v>0</v>
      </c>
      <c r="AA155" s="4"/>
      <c r="AB155" s="4"/>
      <c r="AC155">
        <f>IF(AB155=G155,1,2)</f>
        <v>2</v>
      </c>
    </row>
    <row r="156" spans="1:29" customFormat="1" ht="62.4" hidden="1" x14ac:dyDescent="0.3">
      <c r="A156" s="7" t="s">
        <v>18</v>
      </c>
      <c r="B156" s="6">
        <v>543</v>
      </c>
      <c r="C156" s="7" t="s">
        <v>2250</v>
      </c>
      <c r="D156" s="7" t="s">
        <v>2299</v>
      </c>
      <c r="E156" s="5"/>
      <c r="F156" s="40" t="s">
        <v>953</v>
      </c>
      <c r="G156" s="7" t="s">
        <v>2300</v>
      </c>
      <c r="H156" s="5"/>
      <c r="I156" s="5"/>
      <c r="J156" s="21" t="s">
        <v>2301</v>
      </c>
      <c r="K156" s="7" t="s">
        <v>24</v>
      </c>
      <c r="L156" s="7" t="s">
        <v>2302</v>
      </c>
      <c r="M156" s="114">
        <v>3019503424</v>
      </c>
      <c r="N156" s="111"/>
      <c r="O156" s="114">
        <v>15000000</v>
      </c>
      <c r="P156" s="112">
        <v>240000000</v>
      </c>
      <c r="Q156" s="109">
        <f>M156+N156+O156+P156</f>
        <v>3274503424</v>
      </c>
      <c r="R156" s="14">
        <v>3019503424</v>
      </c>
      <c r="S156" s="5"/>
      <c r="T156" s="30">
        <v>15000000</v>
      </c>
      <c r="U156" s="3">
        <v>240000000</v>
      </c>
      <c r="V156" s="5"/>
      <c r="W156" s="28"/>
      <c r="X156" s="28">
        <f>N156-S156</f>
        <v>0</v>
      </c>
      <c r="Y156" s="28">
        <f>O156-T156</f>
        <v>0</v>
      </c>
      <c r="Z156" s="28">
        <f>P156-U156</f>
        <v>0</v>
      </c>
      <c r="AA156" s="4"/>
      <c r="AB156" s="4"/>
      <c r="AC156">
        <f>IF(AB156=G156,1,2)</f>
        <v>2</v>
      </c>
    </row>
    <row r="157" spans="1:29" customFormat="1" ht="62.4" hidden="1" x14ac:dyDescent="0.3">
      <c r="A157" s="7" t="s">
        <v>46</v>
      </c>
      <c r="B157" s="6">
        <v>701</v>
      </c>
      <c r="C157" s="7" t="s">
        <v>2877</v>
      </c>
      <c r="D157" s="7" t="s">
        <v>3003</v>
      </c>
      <c r="E157" s="5"/>
      <c r="F157" s="40" t="s">
        <v>953</v>
      </c>
      <c r="G157" s="7" t="s">
        <v>3004</v>
      </c>
      <c r="H157" s="5"/>
      <c r="I157" s="5"/>
      <c r="J157" s="21" t="s">
        <v>3005</v>
      </c>
      <c r="K157" s="7" t="s">
        <v>24</v>
      </c>
      <c r="L157" s="7" t="s">
        <v>3006</v>
      </c>
      <c r="M157" s="114">
        <v>1219499284</v>
      </c>
      <c r="N157" s="111"/>
      <c r="O157" s="114">
        <v>15000000</v>
      </c>
      <c r="P157" s="112">
        <v>88000000</v>
      </c>
      <c r="Q157" s="109">
        <f>M157+N157+O157+P157</f>
        <v>1322499284</v>
      </c>
      <c r="R157" s="14">
        <v>1219499284</v>
      </c>
      <c r="S157" s="5"/>
      <c r="T157" s="30">
        <v>15000000</v>
      </c>
      <c r="U157" s="14">
        <v>88000000</v>
      </c>
      <c r="V157" s="5"/>
      <c r="W157" s="28"/>
      <c r="X157" s="28">
        <f>N157-S157</f>
        <v>0</v>
      </c>
      <c r="Y157" s="28">
        <f>O157-T157</f>
        <v>0</v>
      </c>
      <c r="Z157" s="28">
        <f>P157-U157</f>
        <v>0</v>
      </c>
      <c r="AA157" s="4"/>
      <c r="AB157" s="4"/>
      <c r="AC157">
        <f>IF(AB157=G157,1,2)</f>
        <v>2</v>
      </c>
    </row>
    <row r="158" spans="1:29" customFormat="1" ht="31.2" hidden="1" x14ac:dyDescent="0.3">
      <c r="A158" s="7" t="s">
        <v>62</v>
      </c>
      <c r="B158" s="6">
        <v>489</v>
      </c>
      <c r="C158" s="7" t="s">
        <v>2020</v>
      </c>
      <c r="D158" s="7" t="s">
        <v>2062</v>
      </c>
      <c r="E158" s="7" t="s">
        <v>2064</v>
      </c>
      <c r="F158" s="40" t="s">
        <v>2063</v>
      </c>
      <c r="G158" s="7" t="s">
        <v>2065</v>
      </c>
      <c r="H158" s="5"/>
      <c r="I158" s="5"/>
      <c r="J158" s="7" t="s">
        <v>2066</v>
      </c>
      <c r="K158" s="7" t="s">
        <v>24</v>
      </c>
      <c r="L158" s="7" t="s">
        <v>2067</v>
      </c>
      <c r="M158" s="109">
        <v>8321720844</v>
      </c>
      <c r="N158" s="109">
        <v>606267120</v>
      </c>
      <c r="O158" s="109">
        <v>15000000</v>
      </c>
      <c r="P158" s="112">
        <v>30000000</v>
      </c>
      <c r="Q158" s="109">
        <f>M158+N158+O158+P158</f>
        <v>8972987964</v>
      </c>
      <c r="R158" s="3">
        <v>8321720844</v>
      </c>
      <c r="S158" s="3">
        <v>606267120</v>
      </c>
      <c r="T158" s="30">
        <v>15000000</v>
      </c>
      <c r="U158" s="3">
        <v>30000000</v>
      </c>
      <c r="V158" s="5"/>
      <c r="W158" s="28"/>
      <c r="X158" s="28">
        <f>N158-S158</f>
        <v>0</v>
      </c>
      <c r="Y158" s="28">
        <f>O158-T158</f>
        <v>0</v>
      </c>
      <c r="Z158" s="28">
        <f>P158-U158</f>
        <v>0</v>
      </c>
      <c r="AA158" s="4"/>
      <c r="AB158" s="4"/>
      <c r="AC158">
        <f>IF(AB158=G158,1,2)</f>
        <v>2</v>
      </c>
    </row>
    <row r="159" spans="1:29" customFormat="1" ht="62.4" hidden="1" x14ac:dyDescent="0.3">
      <c r="A159" s="7" t="s">
        <v>53</v>
      </c>
      <c r="B159" s="6">
        <v>402</v>
      </c>
      <c r="C159" s="7" t="s">
        <v>1591</v>
      </c>
      <c r="D159" s="7" t="s">
        <v>1678</v>
      </c>
      <c r="E159" s="5"/>
      <c r="F159" s="40" t="s">
        <v>1679</v>
      </c>
      <c r="G159" s="7" t="s">
        <v>1680</v>
      </c>
      <c r="H159" s="5"/>
      <c r="I159" s="5"/>
      <c r="J159" s="7" t="s">
        <v>1681</v>
      </c>
      <c r="K159" s="7" t="s">
        <v>24</v>
      </c>
      <c r="L159" s="7" t="s">
        <v>1631</v>
      </c>
      <c r="M159" s="109">
        <v>1956750750</v>
      </c>
      <c r="N159" s="111"/>
      <c r="O159" s="109">
        <v>15000000</v>
      </c>
      <c r="P159" s="112">
        <v>144000000</v>
      </c>
      <c r="Q159" s="109">
        <f>M159+N159+O159+P159</f>
        <v>2115750750</v>
      </c>
      <c r="R159" s="3">
        <v>1956750750</v>
      </c>
      <c r="S159" s="5"/>
      <c r="T159" s="30">
        <v>15000000</v>
      </c>
      <c r="U159" s="3">
        <v>144000000</v>
      </c>
      <c r="V159" s="5"/>
      <c r="W159" s="28"/>
      <c r="X159" s="28">
        <f>N159-S159</f>
        <v>0</v>
      </c>
      <c r="Y159" s="28">
        <f>O159-T159</f>
        <v>0</v>
      </c>
      <c r="Z159" s="28">
        <f>P159-U159</f>
        <v>0</v>
      </c>
      <c r="AA159" s="4"/>
      <c r="AB159" s="4"/>
      <c r="AC159">
        <f>IF(AB159=G159,1,2)</f>
        <v>2</v>
      </c>
    </row>
    <row r="160" spans="1:29" customFormat="1" ht="62.4" hidden="1" x14ac:dyDescent="0.3">
      <c r="A160" s="7" t="s">
        <v>18</v>
      </c>
      <c r="B160" s="6">
        <v>586</v>
      </c>
      <c r="C160" s="7" t="s">
        <v>2323</v>
      </c>
      <c r="D160" s="7" t="s">
        <v>2486</v>
      </c>
      <c r="E160" s="5"/>
      <c r="F160" s="40" t="s">
        <v>1679</v>
      </c>
      <c r="G160" s="7" t="s">
        <v>2487</v>
      </c>
      <c r="H160" s="5"/>
      <c r="I160" s="5"/>
      <c r="J160" s="21" t="s">
        <v>2488</v>
      </c>
      <c r="K160" s="7" t="s">
        <v>24</v>
      </c>
      <c r="L160" s="7" t="s">
        <v>2489</v>
      </c>
      <c r="M160" s="114">
        <v>3912494400</v>
      </c>
      <c r="N160" s="111"/>
      <c r="O160" s="114">
        <v>15000000</v>
      </c>
      <c r="P160" s="112">
        <v>48000000</v>
      </c>
      <c r="Q160" s="109">
        <f>M160+N160+O160+P160</f>
        <v>3975494400</v>
      </c>
      <c r="R160" s="14">
        <v>3912494400</v>
      </c>
      <c r="S160" s="5"/>
      <c r="T160" s="30">
        <v>15000000</v>
      </c>
      <c r="U160" s="14">
        <v>48000000</v>
      </c>
      <c r="V160" s="5"/>
      <c r="W160" s="28"/>
      <c r="X160" s="28">
        <f>N160-S160</f>
        <v>0</v>
      </c>
      <c r="Y160" s="28">
        <f>O160-T160</f>
        <v>0</v>
      </c>
      <c r="Z160" s="28">
        <f>P160-U160</f>
        <v>0</v>
      </c>
      <c r="AA160" s="4"/>
      <c r="AB160" s="4"/>
      <c r="AC160">
        <f>IF(AB160=G160,1,2)</f>
        <v>2</v>
      </c>
    </row>
    <row r="161" spans="1:29" customFormat="1" ht="62.4" hidden="1" x14ac:dyDescent="0.3">
      <c r="A161" s="7" t="s">
        <v>18</v>
      </c>
      <c r="B161" s="6">
        <v>690</v>
      </c>
      <c r="C161" s="7" t="s">
        <v>2877</v>
      </c>
      <c r="D161" s="7" t="s">
        <v>2955</v>
      </c>
      <c r="E161" s="5"/>
      <c r="F161" s="40" t="s">
        <v>1679</v>
      </c>
      <c r="G161" s="7" t="s">
        <v>2956</v>
      </c>
      <c r="H161" s="5"/>
      <c r="I161" s="5"/>
      <c r="J161" s="21" t="s">
        <v>2957</v>
      </c>
      <c r="K161" s="7" t="s">
        <v>24</v>
      </c>
      <c r="L161" s="7" t="s">
        <v>2958</v>
      </c>
      <c r="M161" s="114">
        <v>1095920500</v>
      </c>
      <c r="N161" s="111"/>
      <c r="O161" s="114">
        <v>15000000</v>
      </c>
      <c r="P161" s="112">
        <v>90000000</v>
      </c>
      <c r="Q161" s="109">
        <f>M161+N161+O161+P161</f>
        <v>1200920500</v>
      </c>
      <c r="R161" s="14">
        <v>1095920500</v>
      </c>
      <c r="S161" s="5"/>
      <c r="T161" s="30">
        <v>15000000</v>
      </c>
      <c r="U161" s="14">
        <v>90000000</v>
      </c>
      <c r="V161" s="5"/>
      <c r="W161" s="28"/>
      <c r="X161" s="28">
        <f>N161-S161</f>
        <v>0</v>
      </c>
      <c r="Y161" s="28">
        <f>O161-T161</f>
        <v>0</v>
      </c>
      <c r="Z161" s="28">
        <f>P161-U161</f>
        <v>0</v>
      </c>
      <c r="AA161" s="4"/>
      <c r="AB161" s="4"/>
      <c r="AC161">
        <f>IF(AB161=G161,1,2)</f>
        <v>2</v>
      </c>
    </row>
    <row r="162" spans="1:29" customFormat="1" ht="62.4" hidden="1" x14ac:dyDescent="0.3">
      <c r="A162" s="7" t="s">
        <v>1601</v>
      </c>
      <c r="B162" s="6">
        <v>717</v>
      </c>
      <c r="C162" s="7" t="s">
        <v>2877</v>
      </c>
      <c r="D162" s="7" t="s">
        <v>3077</v>
      </c>
      <c r="E162" s="7" t="s">
        <v>3079</v>
      </c>
      <c r="F162" s="40" t="s">
        <v>3078</v>
      </c>
      <c r="G162" s="7" t="s">
        <v>3080</v>
      </c>
      <c r="H162" s="7" t="s">
        <v>3081</v>
      </c>
      <c r="I162" s="5"/>
      <c r="J162" s="21" t="s">
        <v>3082</v>
      </c>
      <c r="K162" s="7" t="s">
        <v>24</v>
      </c>
      <c r="L162" s="7" t="s">
        <v>3083</v>
      </c>
      <c r="M162" s="114">
        <v>1085076464</v>
      </c>
      <c r="N162" s="114">
        <v>254396436</v>
      </c>
      <c r="O162" s="114">
        <v>15000000</v>
      </c>
      <c r="P162" s="112">
        <v>72000000</v>
      </c>
      <c r="Q162" s="109">
        <f>M162+N162+O162+P162</f>
        <v>1426472900</v>
      </c>
      <c r="R162" s="36">
        <v>1085076464</v>
      </c>
      <c r="S162" s="3">
        <v>254396436</v>
      </c>
      <c r="T162" s="30">
        <v>15000000</v>
      </c>
      <c r="U162" s="3">
        <v>72000000</v>
      </c>
      <c r="V162" s="5"/>
      <c r="W162" s="28"/>
      <c r="X162" s="28">
        <f>N162-S162</f>
        <v>0</v>
      </c>
      <c r="Y162" s="28">
        <f>O162-T162</f>
        <v>0</v>
      </c>
      <c r="Z162" s="28">
        <f>P162-U162</f>
        <v>0</v>
      </c>
      <c r="AA162" s="4"/>
      <c r="AB162" s="4"/>
      <c r="AC162">
        <f>IF(AB162=G162,1,2)</f>
        <v>2</v>
      </c>
    </row>
    <row r="163" spans="1:29" customFormat="1" ht="93.6" hidden="1" x14ac:dyDescent="0.3">
      <c r="A163" s="7" t="s">
        <v>18</v>
      </c>
      <c r="B163" s="6">
        <v>804</v>
      </c>
      <c r="C163" s="7" t="s">
        <v>3313</v>
      </c>
      <c r="D163" s="7" t="s">
        <v>3466</v>
      </c>
      <c r="E163" s="7" t="s">
        <v>3467</v>
      </c>
      <c r="F163" s="40" t="s">
        <v>3078</v>
      </c>
      <c r="G163" s="7" t="s">
        <v>3468</v>
      </c>
      <c r="H163" s="7" t="s">
        <v>3469</v>
      </c>
      <c r="I163" s="5"/>
      <c r="J163" s="21" t="s">
        <v>3470</v>
      </c>
      <c r="K163" s="7" t="s">
        <v>24</v>
      </c>
      <c r="L163" s="7" t="s">
        <v>3471</v>
      </c>
      <c r="M163" s="114">
        <v>5239490644</v>
      </c>
      <c r="N163" s="109">
        <v>630718116</v>
      </c>
      <c r="O163" s="114">
        <v>15000000</v>
      </c>
      <c r="P163" s="112">
        <v>72000000</v>
      </c>
      <c r="Q163" s="109">
        <f>M163+N163+O163+P163</f>
        <v>5957208760</v>
      </c>
      <c r="R163" s="36">
        <v>5239490644</v>
      </c>
      <c r="S163" s="3">
        <v>630718116</v>
      </c>
      <c r="T163" s="30">
        <v>15000000</v>
      </c>
      <c r="U163" s="3">
        <v>72000000</v>
      </c>
      <c r="V163" s="5"/>
      <c r="W163" s="28"/>
      <c r="X163" s="28">
        <f>N163-S163</f>
        <v>0</v>
      </c>
      <c r="Y163" s="28">
        <f>O163-T163</f>
        <v>0</v>
      </c>
      <c r="Z163" s="28">
        <f>P163-U163</f>
        <v>0</v>
      </c>
      <c r="AA163" s="4"/>
      <c r="AB163" s="4"/>
      <c r="AC163">
        <f>IF(AB163=G163,1,2)</f>
        <v>2</v>
      </c>
    </row>
    <row r="164" spans="1:29" customFormat="1" ht="42" hidden="1" x14ac:dyDescent="0.3">
      <c r="A164" s="7" t="s">
        <v>18</v>
      </c>
      <c r="B164" s="6">
        <v>865</v>
      </c>
      <c r="C164" s="7" t="s">
        <v>3725</v>
      </c>
      <c r="D164" s="7" t="s">
        <v>3732</v>
      </c>
      <c r="E164" s="7" t="s">
        <v>3734</v>
      </c>
      <c r="F164" s="40" t="s">
        <v>3733</v>
      </c>
      <c r="G164" s="7" t="s">
        <v>3735</v>
      </c>
      <c r="H164" s="7" t="s">
        <v>3736</v>
      </c>
      <c r="I164" s="5"/>
      <c r="J164" s="21" t="s">
        <v>3737</v>
      </c>
      <c r="K164" s="7" t="s">
        <v>24</v>
      </c>
      <c r="L164" s="7" t="s">
        <v>3738</v>
      </c>
      <c r="M164" s="114">
        <v>7139329719</v>
      </c>
      <c r="N164" s="114">
        <v>1963433700</v>
      </c>
      <c r="O164" s="114">
        <v>15000000</v>
      </c>
      <c r="P164" s="112">
        <v>8000000</v>
      </c>
      <c r="Q164" s="109">
        <f>M164+N164+O164+P164</f>
        <v>9125763419</v>
      </c>
      <c r="R164" s="36">
        <v>7139329719</v>
      </c>
      <c r="S164" s="3">
        <v>1963433700</v>
      </c>
      <c r="T164" s="30">
        <v>15000000</v>
      </c>
      <c r="U164" s="3">
        <v>8000000</v>
      </c>
      <c r="V164" s="5"/>
      <c r="W164" s="28"/>
      <c r="X164" s="28">
        <f>N164-S164</f>
        <v>0</v>
      </c>
      <c r="Y164" s="28">
        <f>O164-T164</f>
        <v>0</v>
      </c>
      <c r="Z164" s="28">
        <f>P164-U164</f>
        <v>0</v>
      </c>
      <c r="AA164" s="4"/>
      <c r="AB164" s="4"/>
      <c r="AC164">
        <f>IF(AB164=G164,1,2)</f>
        <v>2</v>
      </c>
    </row>
    <row r="165" spans="1:29" customFormat="1" ht="126" hidden="1" x14ac:dyDescent="0.3">
      <c r="A165" s="7" t="s">
        <v>53</v>
      </c>
      <c r="B165" s="6">
        <v>615</v>
      </c>
      <c r="C165" s="7" t="s">
        <v>2562</v>
      </c>
      <c r="D165" s="7" t="s">
        <v>2617</v>
      </c>
      <c r="E165" s="7" t="s">
        <v>764</v>
      </c>
      <c r="F165" s="40" t="s">
        <v>2618</v>
      </c>
      <c r="G165" s="7" t="s">
        <v>2619</v>
      </c>
      <c r="H165" s="7" t="s">
        <v>2620</v>
      </c>
      <c r="I165" s="7" t="s">
        <v>2565</v>
      </c>
      <c r="J165" s="21" t="s">
        <v>2621</v>
      </c>
      <c r="K165" s="7" t="s">
        <v>24</v>
      </c>
      <c r="L165" s="7" t="s">
        <v>2622</v>
      </c>
      <c r="M165" s="114">
        <v>4270717238</v>
      </c>
      <c r="N165" s="114">
        <v>523546590</v>
      </c>
      <c r="O165" s="114">
        <v>15000000</v>
      </c>
      <c r="P165" s="112">
        <v>216000000</v>
      </c>
      <c r="Q165" s="109">
        <f>M165+N165+O165+P165</f>
        <v>5025263828</v>
      </c>
      <c r="R165" s="36">
        <v>4270717238</v>
      </c>
      <c r="S165" s="14">
        <v>523546590</v>
      </c>
      <c r="T165" s="30">
        <v>15000000</v>
      </c>
      <c r="U165" s="14">
        <v>216000000</v>
      </c>
      <c r="V165" s="5"/>
      <c r="W165" s="28"/>
      <c r="X165" s="28">
        <f>N165-S165</f>
        <v>0</v>
      </c>
      <c r="Y165" s="28">
        <f>O165-T165</f>
        <v>0</v>
      </c>
      <c r="Z165" s="28">
        <f>P165-U165</f>
        <v>0</v>
      </c>
      <c r="AA165" s="4"/>
      <c r="AB165" s="4"/>
      <c r="AC165">
        <f>IF(AB165=G165,1,2)</f>
        <v>2</v>
      </c>
    </row>
    <row r="166" spans="1:29" customFormat="1" ht="62.4" hidden="1" x14ac:dyDescent="0.3">
      <c r="A166" s="7" t="s">
        <v>53</v>
      </c>
      <c r="B166" s="6">
        <v>283</v>
      </c>
      <c r="C166" s="7" t="s">
        <v>1077</v>
      </c>
      <c r="D166" s="7" t="s">
        <v>1143</v>
      </c>
      <c r="E166" s="7" t="s">
        <v>1145</v>
      </c>
      <c r="F166" s="40" t="s">
        <v>1144</v>
      </c>
      <c r="G166" s="7" t="s">
        <v>1146</v>
      </c>
      <c r="H166" s="7" t="s">
        <v>1147</v>
      </c>
      <c r="I166" s="5"/>
      <c r="J166" s="7" t="s">
        <v>1148</v>
      </c>
      <c r="K166" s="7" t="s">
        <v>24</v>
      </c>
      <c r="L166" s="7" t="s">
        <v>1149</v>
      </c>
      <c r="M166" s="109">
        <v>2351212760</v>
      </c>
      <c r="N166" s="109">
        <v>533938698</v>
      </c>
      <c r="O166" s="109">
        <v>15000000</v>
      </c>
      <c r="P166" s="112">
        <v>90000000</v>
      </c>
      <c r="Q166" s="109">
        <f>M166+N166+O166+P166</f>
        <v>2990151458</v>
      </c>
      <c r="R166" s="3">
        <v>2351212760</v>
      </c>
      <c r="S166" s="3">
        <v>533938698</v>
      </c>
      <c r="T166" s="30">
        <v>15000000</v>
      </c>
      <c r="U166" s="3">
        <v>90000000</v>
      </c>
      <c r="V166" s="5"/>
      <c r="W166" s="28"/>
      <c r="X166" s="28">
        <f>N166-S166</f>
        <v>0</v>
      </c>
      <c r="Y166" s="28">
        <f>O166-T166</f>
        <v>0</v>
      </c>
      <c r="Z166" s="28">
        <f>P166-U166</f>
        <v>0</v>
      </c>
      <c r="AA166" s="4"/>
      <c r="AB166" s="4"/>
      <c r="AC166">
        <f>IF(AB166=G166,1,2)</f>
        <v>2</v>
      </c>
    </row>
    <row r="167" spans="1:29" customFormat="1" ht="63" hidden="1" x14ac:dyDescent="0.3">
      <c r="A167" s="7" t="s">
        <v>1601</v>
      </c>
      <c r="B167" s="6">
        <v>819</v>
      </c>
      <c r="C167" s="7" t="s">
        <v>3506</v>
      </c>
      <c r="D167" s="7" t="s">
        <v>3536</v>
      </c>
      <c r="E167" s="5"/>
      <c r="F167" s="40" t="s">
        <v>1144</v>
      </c>
      <c r="G167" s="7" t="s">
        <v>3537</v>
      </c>
      <c r="H167" s="5"/>
      <c r="I167" s="5"/>
      <c r="J167" s="21" t="s">
        <v>3538</v>
      </c>
      <c r="K167" s="7" t="s">
        <v>24</v>
      </c>
      <c r="L167" s="7" t="s">
        <v>3539</v>
      </c>
      <c r="M167" s="114">
        <v>1248685600</v>
      </c>
      <c r="N167" s="111"/>
      <c r="O167" s="114">
        <v>15000000</v>
      </c>
      <c r="P167" s="112">
        <v>120000000</v>
      </c>
      <c r="Q167" s="109">
        <f>M167+N167+O167+P167</f>
        <v>1383685600</v>
      </c>
      <c r="R167" s="14">
        <v>1248685600</v>
      </c>
      <c r="S167" s="5"/>
      <c r="T167" s="30">
        <v>15000000</v>
      </c>
      <c r="U167" s="14">
        <v>120000000</v>
      </c>
      <c r="V167" s="5"/>
      <c r="W167" s="28"/>
      <c r="X167" s="28">
        <f>N167-S167</f>
        <v>0</v>
      </c>
      <c r="Y167" s="28">
        <f>O167-T167</f>
        <v>0</v>
      </c>
      <c r="Z167" s="28">
        <f>P167-U167</f>
        <v>0</v>
      </c>
      <c r="AA167" s="4"/>
      <c r="AB167" s="4"/>
      <c r="AC167">
        <f>IF(AB167=G167,1,2)</f>
        <v>2</v>
      </c>
    </row>
    <row r="168" spans="1:29" customFormat="1" ht="62.4" hidden="1" x14ac:dyDescent="0.3">
      <c r="A168" s="7" t="s">
        <v>2290</v>
      </c>
      <c r="B168" s="6">
        <v>726</v>
      </c>
      <c r="C168" s="7" t="s">
        <v>2877</v>
      </c>
      <c r="D168" s="7" t="s">
        <v>3118</v>
      </c>
      <c r="E168" s="5"/>
      <c r="F168" s="40" t="s">
        <v>3119</v>
      </c>
      <c r="G168" s="7" t="s">
        <v>3120</v>
      </c>
      <c r="H168" s="5"/>
      <c r="I168" s="5"/>
      <c r="J168" s="21" t="s">
        <v>3121</v>
      </c>
      <c r="K168" s="7" t="s">
        <v>24</v>
      </c>
      <c r="L168" s="7" t="s">
        <v>3122</v>
      </c>
      <c r="M168" s="114">
        <v>2218823050</v>
      </c>
      <c r="N168" s="111"/>
      <c r="O168" s="114">
        <v>15000000</v>
      </c>
      <c r="P168" s="112">
        <v>72000000</v>
      </c>
      <c r="Q168" s="109">
        <f>M168+N168+O168+P168</f>
        <v>2305823050</v>
      </c>
      <c r="R168" s="14">
        <v>2218823050</v>
      </c>
      <c r="S168" s="5"/>
      <c r="T168" s="30">
        <v>15000000</v>
      </c>
      <c r="U168" s="14">
        <v>72000000</v>
      </c>
      <c r="V168" s="5"/>
      <c r="W168" s="28"/>
      <c r="X168" s="28">
        <f>N168-S168</f>
        <v>0</v>
      </c>
      <c r="Y168" s="28">
        <f>O168-T168</f>
        <v>0</v>
      </c>
      <c r="Z168" s="28">
        <f>P168-U168</f>
        <v>0</v>
      </c>
      <c r="AA168" s="4"/>
      <c r="AB168" s="4"/>
      <c r="AC168">
        <f>IF(AB168=G168,1,2)</f>
        <v>2</v>
      </c>
    </row>
    <row r="169" spans="1:29" customFormat="1" ht="62.4" hidden="1" x14ac:dyDescent="0.3">
      <c r="A169" s="7" t="s">
        <v>2290</v>
      </c>
      <c r="B169" s="6">
        <v>768</v>
      </c>
      <c r="C169" s="7" t="s">
        <v>2877</v>
      </c>
      <c r="D169" s="7" t="s">
        <v>3301</v>
      </c>
      <c r="E169" s="7" t="s">
        <v>3302</v>
      </c>
      <c r="F169" s="40" t="s">
        <v>3119</v>
      </c>
      <c r="G169" s="7" t="s">
        <v>3303</v>
      </c>
      <c r="H169" s="7" t="s">
        <v>3304</v>
      </c>
      <c r="I169" s="5"/>
      <c r="J169" s="21" t="s">
        <v>3305</v>
      </c>
      <c r="K169" s="7" t="s">
        <v>24</v>
      </c>
      <c r="L169" s="7" t="s">
        <v>3306</v>
      </c>
      <c r="M169" s="114">
        <v>10000000</v>
      </c>
      <c r="N169" s="116">
        <v>446131840</v>
      </c>
      <c r="O169" s="114">
        <v>15000000</v>
      </c>
      <c r="P169" s="112">
        <v>72000000</v>
      </c>
      <c r="Q169" s="109">
        <f>M169+N169+O169+P169</f>
        <v>543131840</v>
      </c>
      <c r="R169" s="20">
        <v>10000000</v>
      </c>
      <c r="S169" s="20">
        <v>446131840</v>
      </c>
      <c r="T169" s="30">
        <v>15000000</v>
      </c>
      <c r="U169" s="20">
        <v>72000000</v>
      </c>
      <c r="V169" s="5"/>
      <c r="W169" s="28"/>
      <c r="X169" s="28">
        <f>N169-S169</f>
        <v>0</v>
      </c>
      <c r="Y169" s="28">
        <f>O169-T169</f>
        <v>0</v>
      </c>
      <c r="Z169" s="28">
        <f>P169-U169</f>
        <v>0</v>
      </c>
      <c r="AA169" s="4"/>
      <c r="AB169" s="4"/>
      <c r="AC169">
        <f>IF(AB169=G169,1,2)</f>
        <v>2</v>
      </c>
    </row>
    <row r="170" spans="1:29" ht="62.4" x14ac:dyDescent="0.3">
      <c r="A170" s="7" t="s">
        <v>46</v>
      </c>
      <c r="B170" s="6">
        <v>319</v>
      </c>
      <c r="C170" s="7" t="s">
        <v>1077</v>
      </c>
      <c r="D170" s="7" t="s">
        <v>1314</v>
      </c>
      <c r="E170" s="7"/>
      <c r="F170" s="40" t="s">
        <v>3870</v>
      </c>
      <c r="G170" s="7" t="s">
        <v>1316</v>
      </c>
      <c r="H170" s="7"/>
      <c r="I170" s="7"/>
      <c r="J170" s="7" t="s">
        <v>1317</v>
      </c>
      <c r="K170" s="7" t="s">
        <v>24</v>
      </c>
      <c r="L170" s="7" t="s">
        <v>1318</v>
      </c>
      <c r="M170" s="109">
        <v>10000000</v>
      </c>
      <c r="N170" s="111"/>
      <c r="O170" s="109">
        <v>15000000</v>
      </c>
      <c r="P170" s="75">
        <v>72000000</v>
      </c>
      <c r="Q170" s="109">
        <f>M170+N170+O170+P170</f>
        <v>97000000</v>
      </c>
      <c r="R170" s="3">
        <v>10000000</v>
      </c>
      <c r="S170" s="5"/>
      <c r="T170" s="30">
        <v>15000000</v>
      </c>
      <c r="U170" s="3">
        <v>24000000</v>
      </c>
      <c r="V170" s="5"/>
      <c r="W170" s="28"/>
      <c r="X170" s="28">
        <f>N170-S170</f>
        <v>0</v>
      </c>
      <c r="Y170" s="28">
        <f>O170-T170</f>
        <v>0</v>
      </c>
      <c r="Z170" s="36">
        <f>P170-U170</f>
        <v>48000000</v>
      </c>
      <c r="AA170" s="4"/>
      <c r="AB170" s="40"/>
      <c r="AC170" s="61">
        <f>IF(AB170=G170,1,2)</f>
        <v>2</v>
      </c>
    </row>
    <row r="171" spans="1:29" customFormat="1" ht="62.4" hidden="1" x14ac:dyDescent="0.3">
      <c r="A171" s="7" t="s">
        <v>62</v>
      </c>
      <c r="B171" s="6">
        <v>696</v>
      </c>
      <c r="C171" s="7" t="s">
        <v>2877</v>
      </c>
      <c r="D171" s="7" t="s">
        <v>2980</v>
      </c>
      <c r="E171" s="5"/>
      <c r="F171" s="40" t="s">
        <v>3870</v>
      </c>
      <c r="G171" s="7" t="s">
        <v>2981</v>
      </c>
      <c r="H171" s="5"/>
      <c r="I171" s="5"/>
      <c r="J171" s="21" t="s">
        <v>2982</v>
      </c>
      <c r="K171" s="7" t="s">
        <v>24</v>
      </c>
      <c r="L171" s="7" t="s">
        <v>2983</v>
      </c>
      <c r="M171" s="114">
        <v>1043360216</v>
      </c>
      <c r="N171" s="111"/>
      <c r="O171" s="114">
        <v>15000000</v>
      </c>
      <c r="P171" s="112">
        <v>72000000</v>
      </c>
      <c r="Q171" s="109">
        <f>M171+N171+O171+P171</f>
        <v>1130360216</v>
      </c>
      <c r="R171" s="14">
        <v>1043360216</v>
      </c>
      <c r="S171" s="5"/>
      <c r="T171" s="30">
        <v>15000000</v>
      </c>
      <c r="U171" s="14">
        <v>72000000</v>
      </c>
      <c r="V171" s="5"/>
      <c r="W171" s="28"/>
      <c r="X171" s="28">
        <f>N171-S171</f>
        <v>0</v>
      </c>
      <c r="Y171" s="28">
        <f>O171-T171</f>
        <v>0</v>
      </c>
      <c r="Z171" s="28">
        <f>P171-U171</f>
        <v>0</v>
      </c>
      <c r="AA171" s="4"/>
      <c r="AB171" s="4"/>
      <c r="AC171">
        <f>IF(AB171=G171,1,2)</f>
        <v>2</v>
      </c>
    </row>
    <row r="172" spans="1:29" customFormat="1" ht="62.4" hidden="1" x14ac:dyDescent="0.3">
      <c r="A172" s="7" t="s">
        <v>62</v>
      </c>
      <c r="B172" s="6">
        <v>735</v>
      </c>
      <c r="C172" s="7" t="s">
        <v>2877</v>
      </c>
      <c r="D172" s="7" t="s">
        <v>3161</v>
      </c>
      <c r="E172" s="5"/>
      <c r="F172" s="40" t="s">
        <v>3870</v>
      </c>
      <c r="G172" s="7" t="s">
        <v>3162</v>
      </c>
      <c r="H172" s="5"/>
      <c r="I172" s="5"/>
      <c r="J172" s="21" t="s">
        <v>3163</v>
      </c>
      <c r="K172" s="7" t="s">
        <v>24</v>
      </c>
      <c r="L172" s="7" t="s">
        <v>3164</v>
      </c>
      <c r="M172" s="114">
        <v>853559360</v>
      </c>
      <c r="N172" s="111"/>
      <c r="O172" s="114">
        <v>15000000</v>
      </c>
      <c r="P172" s="112">
        <v>90000000</v>
      </c>
      <c r="Q172" s="109">
        <f>M172+N172+O172+P172</f>
        <v>958559360</v>
      </c>
      <c r="R172" s="37">
        <v>853559360</v>
      </c>
      <c r="S172" s="5"/>
      <c r="T172" s="33">
        <v>15000000</v>
      </c>
      <c r="U172" s="14">
        <v>90000000</v>
      </c>
      <c r="V172" s="5"/>
      <c r="W172" s="28"/>
      <c r="X172" s="28">
        <f>N172-S172</f>
        <v>0</v>
      </c>
      <c r="Y172" s="28">
        <f>O172-T172</f>
        <v>0</v>
      </c>
      <c r="Z172" s="28">
        <f>P172-U172</f>
        <v>0</v>
      </c>
      <c r="AA172" s="4"/>
      <c r="AB172" s="4"/>
      <c r="AC172">
        <f>IF(AB172=G172,1,2)</f>
        <v>2</v>
      </c>
    </row>
    <row r="173" spans="1:29" customFormat="1" ht="78" hidden="1" x14ac:dyDescent="0.3">
      <c r="A173" s="7" t="s">
        <v>18</v>
      </c>
      <c r="B173" s="6">
        <v>295</v>
      </c>
      <c r="C173" s="7" t="s">
        <v>1077</v>
      </c>
      <c r="D173" s="7" t="s">
        <v>1202</v>
      </c>
      <c r="E173" s="5"/>
      <c r="F173" s="40" t="s">
        <v>1203</v>
      </c>
      <c r="G173" s="7" t="s">
        <v>1204</v>
      </c>
      <c r="H173" s="5"/>
      <c r="I173" s="5"/>
      <c r="J173" s="7" t="s">
        <v>1205</v>
      </c>
      <c r="K173" s="7" t="s">
        <v>24</v>
      </c>
      <c r="L173" s="7" t="s">
        <v>1206</v>
      </c>
      <c r="M173" s="109">
        <v>10000000</v>
      </c>
      <c r="N173" s="111"/>
      <c r="O173" s="109">
        <v>15000000</v>
      </c>
      <c r="P173" s="112">
        <v>90000000</v>
      </c>
      <c r="Q173" s="109">
        <f>M173+N173+O173+P173</f>
        <v>115000000</v>
      </c>
      <c r="R173" s="3">
        <v>10000000</v>
      </c>
      <c r="S173" s="5"/>
      <c r="T173" s="30">
        <v>15000000</v>
      </c>
      <c r="U173" s="3">
        <v>90000000</v>
      </c>
      <c r="V173" s="5"/>
      <c r="W173" s="28"/>
      <c r="X173" s="28">
        <f>N173-S173</f>
        <v>0</v>
      </c>
      <c r="Y173" s="28">
        <f>O173-T173</f>
        <v>0</v>
      </c>
      <c r="Z173" s="28">
        <f>P173-U173</f>
        <v>0</v>
      </c>
      <c r="AA173" s="4"/>
      <c r="AB173" s="4"/>
      <c r="AC173">
        <f>IF(AB173=G173,1,2)</f>
        <v>2</v>
      </c>
    </row>
    <row r="174" spans="1:29" customFormat="1" ht="78" hidden="1" x14ac:dyDescent="0.3">
      <c r="A174" s="7" t="s">
        <v>2290</v>
      </c>
      <c r="B174" s="6">
        <v>730</v>
      </c>
      <c r="C174" s="7" t="s">
        <v>2877</v>
      </c>
      <c r="D174" s="7" t="s">
        <v>3134</v>
      </c>
      <c r="E174" s="5"/>
      <c r="F174" s="40" t="s">
        <v>1203</v>
      </c>
      <c r="G174" s="7" t="s">
        <v>3135</v>
      </c>
      <c r="H174" s="5"/>
      <c r="I174" s="5"/>
      <c r="J174" s="21" t="s">
        <v>3136</v>
      </c>
      <c r="K174" s="7" t="s">
        <v>24</v>
      </c>
      <c r="L174" s="7" t="s">
        <v>3137</v>
      </c>
      <c r="M174" s="114">
        <v>401173485</v>
      </c>
      <c r="N174" s="111"/>
      <c r="O174" s="114">
        <v>15000000</v>
      </c>
      <c r="P174" s="112">
        <v>120000000</v>
      </c>
      <c r="Q174" s="109">
        <f>M174+N174+O174+P174</f>
        <v>536173485</v>
      </c>
      <c r="R174" s="14">
        <v>401173485</v>
      </c>
      <c r="S174" s="5"/>
      <c r="T174" s="30">
        <v>15000000</v>
      </c>
      <c r="U174" s="14">
        <v>120000000</v>
      </c>
      <c r="V174" s="5"/>
      <c r="W174" s="28"/>
      <c r="X174" s="28">
        <f>N174-S174</f>
        <v>0</v>
      </c>
      <c r="Y174" s="28">
        <f>O174-T174</f>
        <v>0</v>
      </c>
      <c r="Z174" s="28">
        <f>P174-U174</f>
        <v>0</v>
      </c>
      <c r="AA174" s="4"/>
      <c r="AB174" s="4"/>
      <c r="AC174">
        <f>IF(AB174=G174,1,2)</f>
        <v>2</v>
      </c>
    </row>
    <row r="175" spans="1:29" ht="78" x14ac:dyDescent="0.3">
      <c r="A175" s="7" t="s">
        <v>2290</v>
      </c>
      <c r="B175" s="6">
        <v>745</v>
      </c>
      <c r="C175" s="7" t="s">
        <v>2877</v>
      </c>
      <c r="D175" s="7" t="s">
        <v>3202</v>
      </c>
      <c r="E175" s="7" t="s">
        <v>1145</v>
      </c>
      <c r="F175" s="40" t="s">
        <v>1203</v>
      </c>
      <c r="G175" s="7" t="s">
        <v>3203</v>
      </c>
      <c r="H175" s="7" t="s">
        <v>3204</v>
      </c>
      <c r="I175" s="7"/>
      <c r="J175" s="7" t="s">
        <v>3205</v>
      </c>
      <c r="K175" s="7" t="s">
        <v>24</v>
      </c>
      <c r="L175" s="7" t="s">
        <v>3206</v>
      </c>
      <c r="M175" s="114">
        <v>1596400307</v>
      </c>
      <c r="N175" s="114">
        <v>333382157</v>
      </c>
      <c r="O175" s="114">
        <v>15000000</v>
      </c>
      <c r="P175" s="75">
        <v>96000000</v>
      </c>
      <c r="Q175" s="109">
        <f>M175+N175+O175+P175</f>
        <v>2040782464</v>
      </c>
      <c r="R175" s="14">
        <v>1596400307</v>
      </c>
      <c r="S175" s="14">
        <v>333382157</v>
      </c>
      <c r="T175" s="30">
        <v>15000000</v>
      </c>
      <c r="U175" s="3">
        <v>48000000</v>
      </c>
      <c r="V175" s="5"/>
      <c r="W175" s="28"/>
      <c r="X175" s="28">
        <f>N175-S175</f>
        <v>0</v>
      </c>
      <c r="Y175" s="28">
        <f>O175-T175</f>
        <v>0</v>
      </c>
      <c r="Z175" s="36">
        <f>P175-U175</f>
        <v>48000000</v>
      </c>
      <c r="AA175" s="4"/>
      <c r="AB175" s="40"/>
      <c r="AC175" s="61">
        <f>IF(AB175=G175,1,2)</f>
        <v>2</v>
      </c>
    </row>
    <row r="176" spans="1:29" customFormat="1" ht="62.4" hidden="1" x14ac:dyDescent="0.3">
      <c r="A176" s="7" t="s">
        <v>18</v>
      </c>
      <c r="B176" s="6">
        <v>40</v>
      </c>
      <c r="C176" s="7" t="s">
        <v>144</v>
      </c>
      <c r="D176" s="7" t="s">
        <v>144</v>
      </c>
      <c r="E176" s="5"/>
      <c r="F176" s="40" t="s">
        <v>3869</v>
      </c>
      <c r="G176" s="7" t="s">
        <v>155</v>
      </c>
      <c r="H176" s="5"/>
      <c r="I176" s="5"/>
      <c r="J176" s="7" t="s">
        <v>156</v>
      </c>
      <c r="K176" s="7" t="s">
        <v>24</v>
      </c>
      <c r="L176" s="7" t="s">
        <v>157</v>
      </c>
      <c r="M176" s="109">
        <v>10000000</v>
      </c>
      <c r="N176" s="111"/>
      <c r="O176" s="109">
        <v>15000000</v>
      </c>
      <c r="P176" s="112">
        <v>96000000</v>
      </c>
      <c r="Q176" s="109">
        <f>M176+N176+O176+P176</f>
        <v>121000000</v>
      </c>
      <c r="R176" s="36">
        <v>10000000</v>
      </c>
      <c r="S176" s="5"/>
      <c r="T176" s="30">
        <v>15000000</v>
      </c>
      <c r="U176" s="3">
        <v>96000000</v>
      </c>
      <c r="V176" s="5"/>
      <c r="W176" s="28"/>
      <c r="X176" s="28">
        <f>N176-S176</f>
        <v>0</v>
      </c>
      <c r="Y176" s="28">
        <f>O176-T176</f>
        <v>0</v>
      </c>
      <c r="Z176" s="28">
        <f>P176-U176</f>
        <v>0</v>
      </c>
      <c r="AA176" s="4"/>
      <c r="AB176" s="4"/>
      <c r="AC176">
        <f>IF(AB176=G176,1,2)</f>
        <v>2</v>
      </c>
    </row>
    <row r="177" spans="1:29" ht="78" x14ac:dyDescent="0.3">
      <c r="A177" s="7" t="s">
        <v>53</v>
      </c>
      <c r="B177" s="6">
        <v>427</v>
      </c>
      <c r="C177" s="7" t="s">
        <v>1591</v>
      </c>
      <c r="D177" s="7" t="s">
        <v>1781</v>
      </c>
      <c r="E177" s="7"/>
      <c r="F177" s="40" t="s">
        <v>3879</v>
      </c>
      <c r="G177" s="7" t="s">
        <v>1782</v>
      </c>
      <c r="H177" s="7"/>
      <c r="I177" s="7"/>
      <c r="J177" s="7" t="s">
        <v>1783</v>
      </c>
      <c r="K177" s="7" t="s">
        <v>24</v>
      </c>
      <c r="L177" s="7" t="s">
        <v>1784</v>
      </c>
      <c r="M177" s="109">
        <v>2820833362</v>
      </c>
      <c r="N177" s="111"/>
      <c r="O177" s="109">
        <v>15000000</v>
      </c>
      <c r="P177" s="75">
        <v>96000000</v>
      </c>
      <c r="Q177" s="109">
        <f>M177+N177+O177+P177</f>
        <v>2931833362</v>
      </c>
      <c r="R177" s="3">
        <v>2820833362</v>
      </c>
      <c r="S177" s="5"/>
      <c r="T177" s="30">
        <v>15000000</v>
      </c>
      <c r="U177" s="3">
        <v>48000000</v>
      </c>
      <c r="V177" s="5"/>
      <c r="W177" s="28"/>
      <c r="X177" s="28">
        <f>N177-S177</f>
        <v>0</v>
      </c>
      <c r="Y177" s="28">
        <f>O177-T177</f>
        <v>0</v>
      </c>
      <c r="Z177" s="36">
        <f>P177-U177</f>
        <v>48000000</v>
      </c>
      <c r="AA177" s="4"/>
      <c r="AB177" s="40"/>
      <c r="AC177" s="61">
        <f>IF(AB177=G177,1,2)</f>
        <v>2</v>
      </c>
    </row>
    <row r="178" spans="1:29" customFormat="1" ht="93.6" hidden="1" x14ac:dyDescent="0.3">
      <c r="A178" s="7" t="s">
        <v>1601</v>
      </c>
      <c r="B178" s="6">
        <v>746</v>
      </c>
      <c r="C178" s="7" t="s">
        <v>2877</v>
      </c>
      <c r="D178" s="7" t="s">
        <v>3207</v>
      </c>
      <c r="E178" s="5"/>
      <c r="F178" s="40" t="s">
        <v>3208</v>
      </c>
      <c r="G178" s="7" t="s">
        <v>3209</v>
      </c>
      <c r="H178" s="7" t="s">
        <v>3210</v>
      </c>
      <c r="I178" s="5"/>
      <c r="J178" s="21" t="s">
        <v>3211</v>
      </c>
      <c r="K178" s="7" t="s">
        <v>24</v>
      </c>
      <c r="L178" s="7" t="s">
        <v>3212</v>
      </c>
      <c r="M178" s="114">
        <v>748291540</v>
      </c>
      <c r="N178" s="111"/>
      <c r="O178" s="114">
        <v>15000000</v>
      </c>
      <c r="P178" s="112">
        <v>144000000</v>
      </c>
      <c r="Q178" s="109">
        <f>M178+N178+O178+P178</f>
        <v>907291540</v>
      </c>
      <c r="R178" s="36">
        <v>748291540</v>
      </c>
      <c r="S178" s="5"/>
      <c r="T178" s="30">
        <v>15000000</v>
      </c>
      <c r="U178" s="3">
        <v>144000000</v>
      </c>
      <c r="V178" s="5"/>
      <c r="W178" s="28"/>
      <c r="X178" s="28">
        <f>N178-S178</f>
        <v>0</v>
      </c>
      <c r="Y178" s="28">
        <f>O178-T178</f>
        <v>0</v>
      </c>
      <c r="Z178" s="28">
        <f>P178-U178</f>
        <v>0</v>
      </c>
      <c r="AA178" s="4"/>
      <c r="AB178" s="4"/>
      <c r="AC178">
        <f>IF(AB178=G178,1,2)</f>
        <v>2</v>
      </c>
    </row>
    <row r="179" spans="1:29" customFormat="1" ht="62.4" hidden="1" x14ac:dyDescent="0.3">
      <c r="A179" s="7" t="s">
        <v>18</v>
      </c>
      <c r="B179" s="6">
        <v>796</v>
      </c>
      <c r="C179" s="7" t="s">
        <v>3313</v>
      </c>
      <c r="D179" s="7" t="s">
        <v>3431</v>
      </c>
      <c r="E179" s="5"/>
      <c r="F179" s="40" t="s">
        <v>3432</v>
      </c>
      <c r="G179" s="7" t="s">
        <v>3433</v>
      </c>
      <c r="H179" s="5"/>
      <c r="I179" s="5"/>
      <c r="J179" s="21" t="s">
        <v>3434</v>
      </c>
      <c r="K179" s="7" t="s">
        <v>24</v>
      </c>
      <c r="L179" s="7" t="s">
        <v>3435</v>
      </c>
      <c r="M179" s="114">
        <v>1479042664</v>
      </c>
      <c r="N179" s="111"/>
      <c r="O179" s="114">
        <v>15000000</v>
      </c>
      <c r="P179" s="112">
        <v>96000000</v>
      </c>
      <c r="Q179" s="109">
        <f>M179+N179+O179+P179</f>
        <v>1590042664</v>
      </c>
      <c r="R179" s="14">
        <v>1479042664</v>
      </c>
      <c r="S179" s="5"/>
      <c r="T179" s="30">
        <v>15000000</v>
      </c>
      <c r="U179" s="3">
        <v>96000000</v>
      </c>
      <c r="V179" s="5"/>
      <c r="W179" s="28"/>
      <c r="X179" s="28">
        <f>N179-S179</f>
        <v>0</v>
      </c>
      <c r="Y179" s="28">
        <f>O179-T179</f>
        <v>0</v>
      </c>
      <c r="Z179" s="28">
        <f>P179-U179</f>
        <v>0</v>
      </c>
      <c r="AA179" s="4"/>
      <c r="AB179" s="4"/>
      <c r="AC179">
        <f>IF(AB179=G179,1,2)</f>
        <v>2</v>
      </c>
    </row>
    <row r="180" spans="1:29" customFormat="1" ht="62.4" hidden="1" x14ac:dyDescent="0.3">
      <c r="A180" s="7" t="s">
        <v>18</v>
      </c>
      <c r="B180" s="6">
        <v>807</v>
      </c>
      <c r="C180" s="7" t="s">
        <v>3313</v>
      </c>
      <c r="D180" s="7" t="s">
        <v>3481</v>
      </c>
      <c r="E180" s="7" t="s">
        <v>3482</v>
      </c>
      <c r="F180" s="40" t="s">
        <v>3895</v>
      </c>
      <c r="G180" s="7" t="s">
        <v>3483</v>
      </c>
      <c r="H180" s="5"/>
      <c r="I180" s="5"/>
      <c r="J180" s="21" t="s">
        <v>3484</v>
      </c>
      <c r="K180" s="7" t="s">
        <v>24</v>
      </c>
      <c r="L180" s="7" t="s">
        <v>3485</v>
      </c>
      <c r="M180" s="114">
        <v>1246747708</v>
      </c>
      <c r="N180" s="114">
        <v>193650240</v>
      </c>
      <c r="O180" s="114">
        <v>15000000</v>
      </c>
      <c r="P180" s="112">
        <v>96000000</v>
      </c>
      <c r="Q180" s="109">
        <f>M180+N180+O180+P180</f>
        <v>1551397948</v>
      </c>
      <c r="R180" s="36">
        <v>1246747708</v>
      </c>
      <c r="S180" s="3">
        <v>193650240</v>
      </c>
      <c r="T180" s="30">
        <v>15000000</v>
      </c>
      <c r="U180" s="3">
        <v>96000000</v>
      </c>
      <c r="V180" s="5"/>
      <c r="W180" s="28"/>
      <c r="X180" s="28">
        <f>N180-S180</f>
        <v>0</v>
      </c>
      <c r="Y180" s="28">
        <f>O180-T180</f>
        <v>0</v>
      </c>
      <c r="Z180" s="28">
        <f>P180-U180</f>
        <v>0</v>
      </c>
      <c r="AA180" s="4"/>
      <c r="AB180" s="4"/>
      <c r="AC180">
        <f>IF(AB180=G180,1,2)</f>
        <v>2</v>
      </c>
    </row>
    <row r="181" spans="1:29" customFormat="1" ht="62.4" hidden="1" x14ac:dyDescent="0.3">
      <c r="A181" s="7" t="s">
        <v>46</v>
      </c>
      <c r="B181" s="6">
        <v>859</v>
      </c>
      <c r="C181" s="7" t="s">
        <v>3506</v>
      </c>
      <c r="D181" s="7" t="s">
        <v>3707</v>
      </c>
      <c r="E181" s="7" t="s">
        <v>3508</v>
      </c>
      <c r="F181" s="40" t="s">
        <v>3896</v>
      </c>
      <c r="G181" s="7" t="s">
        <v>3708</v>
      </c>
      <c r="H181" s="7" t="s">
        <v>3709</v>
      </c>
      <c r="I181" s="5"/>
      <c r="J181" s="21" t="s">
        <v>3710</v>
      </c>
      <c r="K181" s="7" t="s">
        <v>24</v>
      </c>
      <c r="L181" s="7" t="s">
        <v>3711</v>
      </c>
      <c r="M181" s="114">
        <v>758458178</v>
      </c>
      <c r="N181" s="114">
        <v>44608716</v>
      </c>
      <c r="O181" s="114">
        <v>15000000</v>
      </c>
      <c r="P181" s="112">
        <v>264000000</v>
      </c>
      <c r="Q181" s="109">
        <f>M181+N181+O181+P181</f>
        <v>1082066894</v>
      </c>
      <c r="R181" s="14">
        <v>758458178</v>
      </c>
      <c r="S181" s="14">
        <v>44608716</v>
      </c>
      <c r="T181" s="30">
        <v>15000000</v>
      </c>
      <c r="U181" s="14">
        <v>264000000</v>
      </c>
      <c r="V181" s="5"/>
      <c r="W181" s="28"/>
      <c r="X181" s="28">
        <f>N181-S181</f>
        <v>0</v>
      </c>
      <c r="Y181" s="28">
        <f>O181-T181</f>
        <v>0</v>
      </c>
      <c r="Z181" s="28">
        <f>P181-U181</f>
        <v>0</v>
      </c>
      <c r="AA181" s="4"/>
      <c r="AB181" s="4"/>
      <c r="AC181">
        <f>IF(AB181=G181,1,2)</f>
        <v>2</v>
      </c>
    </row>
    <row r="182" spans="1:29" customFormat="1" ht="78" hidden="1" x14ac:dyDescent="0.3">
      <c r="A182" s="7" t="s">
        <v>18</v>
      </c>
      <c r="B182" s="6">
        <v>806</v>
      </c>
      <c r="C182" s="7" t="s">
        <v>3313</v>
      </c>
      <c r="D182" s="7" t="s">
        <v>3476</v>
      </c>
      <c r="E182" s="5"/>
      <c r="F182" s="40" t="s">
        <v>3894</v>
      </c>
      <c r="G182" s="7" t="s">
        <v>3478</v>
      </c>
      <c r="H182" s="5"/>
      <c r="I182" s="5"/>
      <c r="J182" s="21" t="s">
        <v>3479</v>
      </c>
      <c r="K182" s="7" t="s">
        <v>24</v>
      </c>
      <c r="L182" s="7" t="s">
        <v>3480</v>
      </c>
      <c r="M182" s="114">
        <v>1611681135</v>
      </c>
      <c r="N182" s="111"/>
      <c r="O182" s="114">
        <v>15000000</v>
      </c>
      <c r="P182" s="112">
        <v>96000000</v>
      </c>
      <c r="Q182" s="109">
        <f>M182+N182+O182+P182</f>
        <v>1722681135</v>
      </c>
      <c r="R182" s="36">
        <v>1611681135</v>
      </c>
      <c r="S182" s="5"/>
      <c r="T182" s="30">
        <v>15000000</v>
      </c>
      <c r="U182" s="3">
        <v>96000000</v>
      </c>
      <c r="V182" s="5"/>
      <c r="W182" s="28"/>
      <c r="X182" s="28">
        <f>N182-S182</f>
        <v>0</v>
      </c>
      <c r="Y182" s="28">
        <f>O182-T182</f>
        <v>0</v>
      </c>
      <c r="Z182" s="28">
        <f>P182-U182</f>
        <v>0</v>
      </c>
      <c r="AA182" s="4"/>
      <c r="AB182" s="4"/>
      <c r="AC182">
        <f>IF(AB182=G182,1,2)</f>
        <v>2</v>
      </c>
    </row>
    <row r="183" spans="1:29" ht="78" x14ac:dyDescent="0.3">
      <c r="A183" s="7" t="s">
        <v>46</v>
      </c>
      <c r="B183" s="6">
        <v>849</v>
      </c>
      <c r="C183" s="7" t="s">
        <v>3506</v>
      </c>
      <c r="D183" s="7" t="s">
        <v>3662</v>
      </c>
      <c r="E183" s="7" t="s">
        <v>3508</v>
      </c>
      <c r="F183" s="40" t="s">
        <v>3894</v>
      </c>
      <c r="G183" s="7" t="s">
        <v>3663</v>
      </c>
      <c r="H183" s="7" t="s">
        <v>3664</v>
      </c>
      <c r="I183" s="7"/>
      <c r="J183" s="7" t="s">
        <v>3665</v>
      </c>
      <c r="K183" s="7" t="s">
        <v>24</v>
      </c>
      <c r="L183" s="7" t="s">
        <v>3666</v>
      </c>
      <c r="M183" s="114">
        <v>881213560</v>
      </c>
      <c r="N183" s="114">
        <v>58467420</v>
      </c>
      <c r="O183" s="114">
        <v>15000000</v>
      </c>
      <c r="P183" s="75">
        <v>144000000</v>
      </c>
      <c r="Q183" s="109">
        <f>M183+N183+O183+P183</f>
        <v>1098680980</v>
      </c>
      <c r="R183" s="14">
        <v>881213560</v>
      </c>
      <c r="S183" s="14">
        <v>58467420</v>
      </c>
      <c r="T183" s="30">
        <v>15000000</v>
      </c>
      <c r="U183" s="3">
        <v>72000000</v>
      </c>
      <c r="V183" s="5"/>
      <c r="W183" s="28"/>
      <c r="X183" s="28">
        <f>N183-S183</f>
        <v>0</v>
      </c>
      <c r="Y183" s="28">
        <f>O183-T183</f>
        <v>0</v>
      </c>
      <c r="Z183" s="36">
        <f>P183-U183</f>
        <v>72000000</v>
      </c>
      <c r="AA183" s="4"/>
      <c r="AB183" s="40"/>
      <c r="AC183" s="61">
        <f>IF(AB183=G183,1,2)</f>
        <v>2</v>
      </c>
    </row>
    <row r="184" spans="1:29" customFormat="1" ht="46.8" hidden="1" x14ac:dyDescent="0.3">
      <c r="A184" s="7" t="s">
        <v>53</v>
      </c>
      <c r="B184" s="6">
        <v>309</v>
      </c>
      <c r="C184" s="7" t="s">
        <v>1077</v>
      </c>
      <c r="D184" s="7" t="s">
        <v>1268</v>
      </c>
      <c r="E184" s="7" t="s">
        <v>1270</v>
      </c>
      <c r="F184" s="40" t="s">
        <v>1269</v>
      </c>
      <c r="G184" s="7" t="s">
        <v>1271</v>
      </c>
      <c r="H184" s="5"/>
      <c r="I184" s="5"/>
      <c r="J184" s="7" t="s">
        <v>1272</v>
      </c>
      <c r="K184" s="7" t="s">
        <v>24</v>
      </c>
      <c r="L184" s="7" t="s">
        <v>1273</v>
      </c>
      <c r="M184" s="109">
        <v>1344327673</v>
      </c>
      <c r="N184" s="109">
        <v>262193501</v>
      </c>
      <c r="O184" s="109">
        <v>15000000</v>
      </c>
      <c r="P184" s="112">
        <v>16000000</v>
      </c>
      <c r="Q184" s="109">
        <f>M184+N184+O184+P184</f>
        <v>1637521174</v>
      </c>
      <c r="R184" s="3">
        <v>1344327673</v>
      </c>
      <c r="S184" s="3">
        <v>262193501</v>
      </c>
      <c r="T184" s="30">
        <v>15000000</v>
      </c>
      <c r="U184" s="3">
        <v>16000000</v>
      </c>
      <c r="V184" s="5"/>
      <c r="W184" s="28"/>
      <c r="X184" s="28">
        <f>N184-S184</f>
        <v>0</v>
      </c>
      <c r="Y184" s="28">
        <f>O184-T184</f>
        <v>0</v>
      </c>
      <c r="Z184" s="28">
        <f>P184-U184</f>
        <v>0</v>
      </c>
      <c r="AA184" s="4"/>
      <c r="AB184" s="4"/>
      <c r="AC184">
        <f>IF(AB184=G184,1,2)</f>
        <v>2</v>
      </c>
    </row>
    <row r="185" spans="1:29" customFormat="1" ht="42" hidden="1" x14ac:dyDescent="0.3">
      <c r="A185" s="7" t="s">
        <v>62</v>
      </c>
      <c r="B185" s="6">
        <v>559</v>
      </c>
      <c r="C185" s="7" t="s">
        <v>2323</v>
      </c>
      <c r="D185" s="7" t="s">
        <v>2369</v>
      </c>
      <c r="E185" s="5"/>
      <c r="F185" s="40" t="s">
        <v>1269</v>
      </c>
      <c r="G185" s="7" t="s">
        <v>2370</v>
      </c>
      <c r="H185" s="5"/>
      <c r="I185" s="5"/>
      <c r="J185" s="21" t="s">
        <v>2371</v>
      </c>
      <c r="K185" s="7" t="s">
        <v>24</v>
      </c>
      <c r="L185" s="7" t="s">
        <v>2372</v>
      </c>
      <c r="M185" s="114">
        <v>1153919632</v>
      </c>
      <c r="N185" s="111"/>
      <c r="O185" s="114">
        <v>15000000</v>
      </c>
      <c r="P185" s="112">
        <v>8000000</v>
      </c>
      <c r="Q185" s="109">
        <f>M185+N185+O185+P185</f>
        <v>1176919632</v>
      </c>
      <c r="R185" s="14">
        <v>1153919632</v>
      </c>
      <c r="S185" s="5"/>
      <c r="T185" s="30">
        <v>15000000</v>
      </c>
      <c r="U185" s="14">
        <v>8000000</v>
      </c>
      <c r="V185" s="5"/>
      <c r="W185" s="28"/>
      <c r="X185" s="28">
        <f>N185-S185</f>
        <v>0</v>
      </c>
      <c r="Y185" s="28">
        <f>O185-T185</f>
        <v>0</v>
      </c>
      <c r="Z185" s="28">
        <f>P185-U185</f>
        <v>0</v>
      </c>
      <c r="AA185" s="4"/>
      <c r="AB185" s="4"/>
      <c r="AC185">
        <f>IF(AB185=G185,1,2)</f>
        <v>2</v>
      </c>
    </row>
    <row r="186" spans="1:29" ht="31.2" x14ac:dyDescent="0.3">
      <c r="A186" s="7" t="s">
        <v>2290</v>
      </c>
      <c r="B186" s="6">
        <v>846</v>
      </c>
      <c r="C186" s="7" t="s">
        <v>3506</v>
      </c>
      <c r="D186" s="7" t="s">
        <v>3650</v>
      </c>
      <c r="E186" s="7" t="s">
        <v>764</v>
      </c>
      <c r="F186" s="40" t="s">
        <v>1269</v>
      </c>
      <c r="G186" s="7" t="s">
        <v>3651</v>
      </c>
      <c r="H186" s="7" t="s">
        <v>3652</v>
      </c>
      <c r="I186" s="7"/>
      <c r="J186" s="7" t="s">
        <v>3653</v>
      </c>
      <c r="K186" s="7" t="s">
        <v>24</v>
      </c>
      <c r="L186" s="7" t="s">
        <v>3654</v>
      </c>
      <c r="M186" s="114">
        <v>4605269577</v>
      </c>
      <c r="N186" s="114">
        <v>842764824</v>
      </c>
      <c r="O186" s="114">
        <v>15000000</v>
      </c>
      <c r="P186" s="75">
        <v>10000000</v>
      </c>
      <c r="Q186" s="109">
        <f>M186+N186+O186+P186</f>
        <v>5473034401</v>
      </c>
      <c r="R186" s="14">
        <v>4605269577</v>
      </c>
      <c r="S186" s="14">
        <v>842764824</v>
      </c>
      <c r="T186" s="31">
        <v>15000000</v>
      </c>
      <c r="U186" s="7"/>
      <c r="V186" s="5"/>
      <c r="W186" s="28"/>
      <c r="X186" s="28">
        <f>N186-S186</f>
        <v>0</v>
      </c>
      <c r="Y186" s="28">
        <f>O186-T186</f>
        <v>0</v>
      </c>
      <c r="Z186" s="36">
        <f>P186-U186</f>
        <v>10000000</v>
      </c>
      <c r="AA186" s="4"/>
      <c r="AB186" s="40"/>
      <c r="AC186" s="61">
        <f>IF(AB186=G186,1,2)</f>
        <v>2</v>
      </c>
    </row>
    <row r="187" spans="1:29" customFormat="1" ht="31.2" hidden="1" x14ac:dyDescent="0.3">
      <c r="A187" s="7" t="s">
        <v>62</v>
      </c>
      <c r="B187" s="6">
        <v>304</v>
      </c>
      <c r="C187" s="7" t="s">
        <v>1077</v>
      </c>
      <c r="D187" s="7" t="s">
        <v>1247</v>
      </c>
      <c r="E187" s="7" t="s">
        <v>373</v>
      </c>
      <c r="F187" s="40" t="s">
        <v>1248</v>
      </c>
      <c r="G187" s="7" t="s">
        <v>1249</v>
      </c>
      <c r="H187" s="7" t="s">
        <v>667</v>
      </c>
      <c r="I187" s="5"/>
      <c r="J187" s="7" t="s">
        <v>1250</v>
      </c>
      <c r="K187" s="7" t="s">
        <v>24</v>
      </c>
      <c r="L187" s="7" t="s">
        <v>1251</v>
      </c>
      <c r="M187" s="109">
        <v>5592906642</v>
      </c>
      <c r="N187" s="109">
        <v>713725056</v>
      </c>
      <c r="O187" s="109">
        <v>15000000</v>
      </c>
      <c r="P187" s="112">
        <v>24000000</v>
      </c>
      <c r="Q187" s="109">
        <f>M187+N187+O187+P187</f>
        <v>6345631698</v>
      </c>
      <c r="R187" s="3">
        <v>5592906642</v>
      </c>
      <c r="S187" s="3">
        <v>713725056</v>
      </c>
      <c r="T187" s="30">
        <v>15000000</v>
      </c>
      <c r="U187" s="3">
        <v>24000000</v>
      </c>
      <c r="V187" s="5"/>
      <c r="W187" s="28"/>
      <c r="X187" s="28">
        <f>N187-S187</f>
        <v>0</v>
      </c>
      <c r="Y187" s="28">
        <f>O187-T187</f>
        <v>0</v>
      </c>
      <c r="Z187" s="28">
        <f>P187-U187</f>
        <v>0</v>
      </c>
      <c r="AA187" s="4"/>
      <c r="AB187" s="4"/>
      <c r="AC187">
        <f>IF(AB187=G187,1,2)</f>
        <v>2</v>
      </c>
    </row>
    <row r="188" spans="1:29" customFormat="1" ht="63" hidden="1" x14ac:dyDescent="0.3">
      <c r="A188" s="7" t="s">
        <v>1601</v>
      </c>
      <c r="B188" s="6">
        <v>826</v>
      </c>
      <c r="C188" s="7" t="s">
        <v>3506</v>
      </c>
      <c r="D188" s="7" t="s">
        <v>3568</v>
      </c>
      <c r="E188" s="7" t="s">
        <v>3569</v>
      </c>
      <c r="F188" s="40" t="s">
        <v>1248</v>
      </c>
      <c r="G188" s="7" t="s">
        <v>3570</v>
      </c>
      <c r="H188" s="7" t="s">
        <v>3571</v>
      </c>
      <c r="I188" s="5"/>
      <c r="J188" s="21" t="s">
        <v>3572</v>
      </c>
      <c r="K188" s="7" t="s">
        <v>24</v>
      </c>
      <c r="L188" s="7" t="s">
        <v>3573</v>
      </c>
      <c r="M188" s="114">
        <v>669621130</v>
      </c>
      <c r="N188" s="115">
        <v>1200081192</v>
      </c>
      <c r="O188" s="114">
        <v>15000000</v>
      </c>
      <c r="P188" s="112">
        <v>8000000</v>
      </c>
      <c r="Q188" s="109">
        <f>M188+N188+O188+P188</f>
        <v>1892702322</v>
      </c>
      <c r="R188" s="14">
        <v>669621130</v>
      </c>
      <c r="S188" s="14">
        <v>1200081192</v>
      </c>
      <c r="T188" s="30">
        <v>15000000</v>
      </c>
      <c r="U188" s="14">
        <v>8000000</v>
      </c>
      <c r="V188" s="5"/>
      <c r="W188" s="28"/>
      <c r="X188" s="28">
        <f>N188-S188</f>
        <v>0</v>
      </c>
      <c r="Y188" s="28">
        <f>O188-T188</f>
        <v>0</v>
      </c>
      <c r="Z188" s="28">
        <f>P188-U188</f>
        <v>0</v>
      </c>
      <c r="AA188" s="4"/>
      <c r="AB188" s="4"/>
      <c r="AC188">
        <f>IF(AB188=G188,1,2)</f>
        <v>2</v>
      </c>
    </row>
    <row r="189" spans="1:29" customFormat="1" ht="62.4" hidden="1" x14ac:dyDescent="0.3">
      <c r="A189" s="7" t="s">
        <v>53</v>
      </c>
      <c r="B189" s="6">
        <v>279</v>
      </c>
      <c r="C189" s="7" t="s">
        <v>1077</v>
      </c>
      <c r="D189" s="7" t="s">
        <v>1124</v>
      </c>
      <c r="E189" s="5"/>
      <c r="F189" s="40" t="s">
        <v>1125</v>
      </c>
      <c r="G189" s="7" t="s">
        <v>1126</v>
      </c>
      <c r="H189" s="5"/>
      <c r="I189" s="5"/>
      <c r="J189" s="7" t="s">
        <v>1127</v>
      </c>
      <c r="K189" s="7" t="s">
        <v>24</v>
      </c>
      <c r="L189" s="7" t="s">
        <v>1128</v>
      </c>
      <c r="M189" s="109">
        <v>10000000</v>
      </c>
      <c r="N189" s="111"/>
      <c r="O189" s="109">
        <v>15000000</v>
      </c>
      <c r="P189" s="112">
        <v>72000000</v>
      </c>
      <c r="Q189" s="109">
        <f>M189+N189+O189+P189</f>
        <v>97000000</v>
      </c>
      <c r="R189" s="36">
        <v>10000000</v>
      </c>
      <c r="S189" s="5"/>
      <c r="T189" s="31">
        <v>15000000</v>
      </c>
      <c r="U189" s="3">
        <v>72000000</v>
      </c>
      <c r="V189" s="5"/>
      <c r="W189" s="28"/>
      <c r="X189" s="28">
        <f>N189-S189</f>
        <v>0</v>
      </c>
      <c r="Y189" s="28">
        <f>O189-T189</f>
        <v>0</v>
      </c>
      <c r="Z189" s="28">
        <f>P189-U189</f>
        <v>0</v>
      </c>
      <c r="AA189" s="4"/>
      <c r="AB189" s="4"/>
      <c r="AC189">
        <f>IF(AB189=G189,1,2)</f>
        <v>2</v>
      </c>
    </row>
    <row r="190" spans="1:29" ht="62.4" x14ac:dyDescent="0.3">
      <c r="A190" s="7" t="s">
        <v>2290</v>
      </c>
      <c r="B190" s="6">
        <v>644</v>
      </c>
      <c r="C190" s="7" t="s">
        <v>2562</v>
      </c>
      <c r="D190" s="7" t="s">
        <v>2752</v>
      </c>
      <c r="E190" s="7"/>
      <c r="F190" s="40" t="s">
        <v>2753</v>
      </c>
      <c r="G190" s="7" t="s">
        <v>2754</v>
      </c>
      <c r="H190" s="7"/>
      <c r="I190" s="7" t="s">
        <v>2565</v>
      </c>
      <c r="J190" s="7" t="s">
        <v>2755</v>
      </c>
      <c r="K190" s="7" t="s">
        <v>24</v>
      </c>
      <c r="L190" s="7" t="s">
        <v>1652</v>
      </c>
      <c r="M190" s="114">
        <v>14057391480</v>
      </c>
      <c r="N190" s="111"/>
      <c r="O190" s="114">
        <v>15000000</v>
      </c>
      <c r="P190" s="75">
        <v>72000000</v>
      </c>
      <c r="Q190" s="109">
        <f>M190+N190+O190+P190</f>
        <v>14144391480</v>
      </c>
      <c r="R190" s="14">
        <v>14057391480</v>
      </c>
      <c r="S190" s="5"/>
      <c r="T190" s="30">
        <v>15000000</v>
      </c>
      <c r="U190" s="3">
        <v>24000000</v>
      </c>
      <c r="V190" s="5"/>
      <c r="W190" s="28"/>
      <c r="X190" s="28">
        <f>N190-S190</f>
        <v>0</v>
      </c>
      <c r="Y190" s="28">
        <f>O190-T190</f>
        <v>0</v>
      </c>
      <c r="Z190" s="36">
        <f>P190-U190</f>
        <v>48000000</v>
      </c>
      <c r="AA190" s="4"/>
      <c r="AB190" s="40"/>
      <c r="AC190" s="61">
        <f>IF(AB190=G190,1,2)</f>
        <v>2</v>
      </c>
    </row>
    <row r="191" spans="1:29" customFormat="1" ht="46.8" hidden="1" x14ac:dyDescent="0.3">
      <c r="A191" s="7" t="s">
        <v>62</v>
      </c>
      <c r="B191" s="6">
        <v>296</v>
      </c>
      <c r="C191" s="7" t="s">
        <v>1077</v>
      </c>
      <c r="D191" s="7" t="s">
        <v>1207</v>
      </c>
      <c r="E191" s="7" t="s">
        <v>1209</v>
      </c>
      <c r="F191" s="40" t="s">
        <v>1208</v>
      </c>
      <c r="G191" s="7" t="s">
        <v>1210</v>
      </c>
      <c r="H191" s="7" t="s">
        <v>1211</v>
      </c>
      <c r="I191" s="5"/>
      <c r="J191" s="7" t="s">
        <v>1212</v>
      </c>
      <c r="K191" s="7" t="s">
        <v>24</v>
      </c>
      <c r="L191" s="7" t="s">
        <v>1213</v>
      </c>
      <c r="M191" s="109">
        <v>980624620</v>
      </c>
      <c r="N191" s="109">
        <v>7988680</v>
      </c>
      <c r="O191" s="109">
        <v>15000000</v>
      </c>
      <c r="P191" s="112">
        <v>24000000</v>
      </c>
      <c r="Q191" s="109">
        <f>M191+N191+O191+P191</f>
        <v>1027613300</v>
      </c>
      <c r="R191" s="3">
        <v>980624620</v>
      </c>
      <c r="S191" s="3">
        <v>7988680</v>
      </c>
      <c r="T191" s="30">
        <v>15000000</v>
      </c>
      <c r="U191" s="3">
        <v>24000000</v>
      </c>
      <c r="V191" s="5"/>
      <c r="W191" s="28"/>
      <c r="X191" s="28">
        <f>N191-S191</f>
        <v>0</v>
      </c>
      <c r="Y191" s="28">
        <f>O191-T191</f>
        <v>0</v>
      </c>
      <c r="Z191" s="28">
        <f>P191-U191</f>
        <v>0</v>
      </c>
      <c r="AA191" s="4"/>
      <c r="AB191" s="4"/>
      <c r="AC191">
        <f>IF(AB191=G191,1,2)</f>
        <v>2</v>
      </c>
    </row>
    <row r="192" spans="1:29" customFormat="1" ht="42" hidden="1" x14ac:dyDescent="0.3">
      <c r="A192" s="7" t="s">
        <v>18</v>
      </c>
      <c r="B192" s="6">
        <v>576</v>
      </c>
      <c r="C192" s="7" t="s">
        <v>2323</v>
      </c>
      <c r="D192" s="7" t="s">
        <v>2441</v>
      </c>
      <c r="E192" s="7" t="s">
        <v>2442</v>
      </c>
      <c r="F192" s="40" t="s">
        <v>1208</v>
      </c>
      <c r="G192" s="7" t="s">
        <v>2443</v>
      </c>
      <c r="H192" s="5"/>
      <c r="I192" s="5"/>
      <c r="J192" s="21" t="s">
        <v>2444</v>
      </c>
      <c r="K192" s="7" t="s">
        <v>24</v>
      </c>
      <c r="L192" s="7" t="s">
        <v>2445</v>
      </c>
      <c r="M192" s="114">
        <v>490595850</v>
      </c>
      <c r="N192" s="114">
        <v>2336428122</v>
      </c>
      <c r="O192" s="114">
        <v>15000000</v>
      </c>
      <c r="P192" s="112">
        <v>42000000</v>
      </c>
      <c r="Q192" s="109">
        <f>M192+N192+O192+P192</f>
        <v>2884023972</v>
      </c>
      <c r="R192" s="14">
        <v>490595850</v>
      </c>
      <c r="S192" s="14">
        <v>2336428122</v>
      </c>
      <c r="T192" s="30">
        <v>15000000</v>
      </c>
      <c r="U192" s="14">
        <v>42000000</v>
      </c>
      <c r="V192" s="5"/>
      <c r="W192" s="28"/>
      <c r="X192" s="28">
        <f>N192-S192</f>
        <v>0</v>
      </c>
      <c r="Y192" s="28">
        <f>O192-T192</f>
        <v>0</v>
      </c>
      <c r="Z192" s="28">
        <f>P192-U192</f>
        <v>0</v>
      </c>
      <c r="AA192" s="4"/>
      <c r="AB192" s="4"/>
      <c r="AC192">
        <f>IF(AB192=G192,1,2)</f>
        <v>2</v>
      </c>
    </row>
    <row r="193" spans="1:30" customFormat="1" ht="46.8" hidden="1" x14ac:dyDescent="0.3">
      <c r="A193" s="7" t="s">
        <v>18</v>
      </c>
      <c r="B193" s="6">
        <v>597</v>
      </c>
      <c r="C193" s="7" t="s">
        <v>2323</v>
      </c>
      <c r="D193" s="7" t="s">
        <v>2533</v>
      </c>
      <c r="E193" s="5"/>
      <c r="F193" s="40" t="s">
        <v>1208</v>
      </c>
      <c r="G193" s="7" t="s">
        <v>2534</v>
      </c>
      <c r="H193" s="5"/>
      <c r="I193" s="5"/>
      <c r="J193" s="21" t="s">
        <v>2535</v>
      </c>
      <c r="K193" s="7" t="s">
        <v>24</v>
      </c>
      <c r="L193" s="7" t="s">
        <v>2536</v>
      </c>
      <c r="M193" s="114">
        <v>594243660</v>
      </c>
      <c r="N193" s="111"/>
      <c r="O193" s="114">
        <v>15000000</v>
      </c>
      <c r="P193" s="112">
        <v>60000000</v>
      </c>
      <c r="Q193" s="109">
        <f>M193+N193+O193+P193</f>
        <v>669243660</v>
      </c>
      <c r="R193" s="14">
        <v>594243660</v>
      </c>
      <c r="S193" s="5"/>
      <c r="T193" s="30">
        <v>15000000</v>
      </c>
      <c r="U193" s="14">
        <v>60000000</v>
      </c>
      <c r="V193" s="5"/>
      <c r="W193" s="28"/>
      <c r="X193" s="28">
        <f>N193-S193</f>
        <v>0</v>
      </c>
      <c r="Y193" s="28">
        <f>O193-T193</f>
        <v>0</v>
      </c>
      <c r="Z193" s="28">
        <f>P193-U193</f>
        <v>0</v>
      </c>
      <c r="AA193" s="4"/>
      <c r="AB193" s="4"/>
      <c r="AC193">
        <f>IF(AB193=G193,1,2)</f>
        <v>2</v>
      </c>
    </row>
    <row r="194" spans="1:30" customFormat="1" ht="46.8" hidden="1" x14ac:dyDescent="0.3">
      <c r="A194" s="7" t="s">
        <v>1601</v>
      </c>
      <c r="B194" s="6">
        <v>762</v>
      </c>
      <c r="C194" s="7" t="s">
        <v>2877</v>
      </c>
      <c r="D194" s="7" t="s">
        <v>3278</v>
      </c>
      <c r="E194" s="7"/>
      <c r="F194" s="40" t="s">
        <v>1208</v>
      </c>
      <c r="G194" s="7" t="s">
        <v>3279</v>
      </c>
      <c r="H194" s="7"/>
      <c r="I194" s="7"/>
      <c r="J194" s="7" t="s">
        <v>3280</v>
      </c>
      <c r="K194" s="7" t="s">
        <v>24</v>
      </c>
      <c r="L194" s="7" t="s">
        <v>3281</v>
      </c>
      <c r="M194" s="114">
        <v>2676184080</v>
      </c>
      <c r="N194" s="111"/>
      <c r="O194" s="109">
        <v>15000000</v>
      </c>
      <c r="P194" s="112">
        <v>48000000</v>
      </c>
      <c r="Q194" s="109">
        <f>M194+N194+O194+P194</f>
        <v>2739184080</v>
      </c>
      <c r="R194" s="37">
        <v>2676184080</v>
      </c>
      <c r="S194" s="5"/>
      <c r="T194" s="72"/>
      <c r="U194" s="20">
        <v>48000000</v>
      </c>
      <c r="V194" s="5"/>
      <c r="W194" s="28"/>
      <c r="X194" s="28">
        <f>N194-S194</f>
        <v>0</v>
      </c>
      <c r="Y194" s="36">
        <f>O194-T194</f>
        <v>15000000</v>
      </c>
      <c r="Z194" s="28">
        <f>P194-U194</f>
        <v>0</v>
      </c>
      <c r="AA194" s="4"/>
      <c r="AB194" s="40"/>
      <c r="AC194" s="121">
        <f>IF(AB194=G194,1,2)</f>
        <v>2</v>
      </c>
      <c r="AD194" s="121"/>
    </row>
    <row r="195" spans="1:30" customFormat="1" ht="42" hidden="1" x14ac:dyDescent="0.3">
      <c r="A195" s="7" t="s">
        <v>18</v>
      </c>
      <c r="B195" s="6">
        <v>763</v>
      </c>
      <c r="C195" s="7" t="s">
        <v>2877</v>
      </c>
      <c r="D195" s="7" t="s">
        <v>3282</v>
      </c>
      <c r="E195" s="5"/>
      <c r="F195" s="40" t="s">
        <v>1208</v>
      </c>
      <c r="G195" s="7" t="s">
        <v>3283</v>
      </c>
      <c r="H195" s="5"/>
      <c r="I195" s="5"/>
      <c r="J195" s="21" t="s">
        <v>3284</v>
      </c>
      <c r="K195" s="7" t="s">
        <v>24</v>
      </c>
      <c r="L195" s="7" t="s">
        <v>3285</v>
      </c>
      <c r="M195" s="114">
        <v>907403290</v>
      </c>
      <c r="N195" s="111"/>
      <c r="O195" s="114">
        <v>15000000</v>
      </c>
      <c r="P195" s="112">
        <v>96000000</v>
      </c>
      <c r="Q195" s="109">
        <f>M195+N195+O195+P195</f>
        <v>1018403290</v>
      </c>
      <c r="R195" s="20">
        <v>907403290</v>
      </c>
      <c r="S195" s="5"/>
      <c r="T195" s="30">
        <v>15000000</v>
      </c>
      <c r="U195" s="20">
        <v>96000000</v>
      </c>
      <c r="V195" s="5"/>
      <c r="W195" s="28"/>
      <c r="X195" s="28">
        <f>N195-S195</f>
        <v>0</v>
      </c>
      <c r="Y195" s="28">
        <f>O195-T195</f>
        <v>0</v>
      </c>
      <c r="Z195" s="28">
        <f>P195-U195</f>
        <v>0</v>
      </c>
      <c r="AA195" s="4"/>
      <c r="AB195" s="4"/>
      <c r="AC195">
        <f>IF(AB195=G195,1,2)</f>
        <v>2</v>
      </c>
    </row>
    <row r="196" spans="1:30" customFormat="1" ht="63" hidden="1" x14ac:dyDescent="0.3">
      <c r="A196" s="7" t="s">
        <v>62</v>
      </c>
      <c r="B196" s="6">
        <v>790</v>
      </c>
      <c r="C196" s="7" t="s">
        <v>3313</v>
      </c>
      <c r="D196" s="7" t="s">
        <v>3406</v>
      </c>
      <c r="E196" s="7" t="s">
        <v>2442</v>
      </c>
      <c r="F196" s="40" t="s">
        <v>1208</v>
      </c>
      <c r="G196" s="7" t="s">
        <v>3407</v>
      </c>
      <c r="H196" s="7" t="s">
        <v>3408</v>
      </c>
      <c r="I196" s="7" t="s">
        <v>3324</v>
      </c>
      <c r="J196" s="21" t="s">
        <v>3409</v>
      </c>
      <c r="K196" s="7" t="s">
        <v>24</v>
      </c>
      <c r="L196" s="7" t="s">
        <v>3361</v>
      </c>
      <c r="M196" s="114">
        <v>10000000</v>
      </c>
      <c r="N196" s="114">
        <v>1756584270</v>
      </c>
      <c r="O196" s="114">
        <v>15000000</v>
      </c>
      <c r="P196" s="112">
        <v>24000000</v>
      </c>
      <c r="Q196" s="109">
        <f>M196+N196+O196+P196</f>
        <v>1805584270</v>
      </c>
      <c r="R196" s="14">
        <v>10000000</v>
      </c>
      <c r="S196" s="14">
        <v>1756584270</v>
      </c>
      <c r="T196" s="30">
        <v>15000000</v>
      </c>
      <c r="U196" s="14">
        <v>24000000</v>
      </c>
      <c r="V196" s="5"/>
      <c r="W196" s="28"/>
      <c r="X196" s="28">
        <f>N196-S196</f>
        <v>0</v>
      </c>
      <c r="Y196" s="28">
        <f>O196-T196</f>
        <v>0</v>
      </c>
      <c r="Z196" s="28">
        <f>P196-U196</f>
        <v>0</v>
      </c>
      <c r="AA196" s="4"/>
      <c r="AB196" s="4"/>
      <c r="AC196">
        <f>IF(AB196=G196,1,2)</f>
        <v>2</v>
      </c>
    </row>
    <row r="197" spans="1:30" customFormat="1" ht="31.2" hidden="1" x14ac:dyDescent="0.3">
      <c r="A197" s="7" t="s">
        <v>1601</v>
      </c>
      <c r="B197" s="6">
        <v>847</v>
      </c>
      <c r="C197" s="7" t="s">
        <v>3506</v>
      </c>
      <c r="D197" s="7" t="s">
        <v>3513</v>
      </c>
      <c r="E197" s="7" t="s">
        <v>2442</v>
      </c>
      <c r="F197" s="40" t="s">
        <v>1208</v>
      </c>
      <c r="G197" s="7" t="s">
        <v>3655</v>
      </c>
      <c r="H197" s="7"/>
      <c r="I197" s="7"/>
      <c r="J197" s="7" t="s">
        <v>3656</v>
      </c>
      <c r="K197" s="7" t="s">
        <v>24</v>
      </c>
      <c r="L197" s="7" t="s">
        <v>3657</v>
      </c>
      <c r="M197" s="114">
        <v>2033222254</v>
      </c>
      <c r="N197" s="114">
        <v>396693696</v>
      </c>
      <c r="O197" s="109">
        <v>15000000</v>
      </c>
      <c r="P197" s="112">
        <v>42000000</v>
      </c>
      <c r="Q197" s="109">
        <f>M197+N197+O197+P197</f>
        <v>2486915950</v>
      </c>
      <c r="R197" s="14">
        <v>2033222254</v>
      </c>
      <c r="S197" s="14">
        <v>396693696</v>
      </c>
      <c r="T197" s="72"/>
      <c r="U197" s="14">
        <v>42000000</v>
      </c>
      <c r="V197" s="5"/>
      <c r="W197" s="28"/>
      <c r="X197" s="28">
        <f>N197-S197</f>
        <v>0</v>
      </c>
      <c r="Y197" s="36">
        <f>O197-T197</f>
        <v>15000000</v>
      </c>
      <c r="Z197" s="28">
        <f>P197-U197</f>
        <v>0</v>
      </c>
      <c r="AA197" s="4"/>
      <c r="AB197" s="40"/>
      <c r="AC197" s="121">
        <f>IF(AB197=G197,1,2)</f>
        <v>2</v>
      </c>
      <c r="AD197" s="121"/>
    </row>
    <row r="198" spans="1:30" customFormat="1" ht="42" hidden="1" x14ac:dyDescent="0.3">
      <c r="A198" s="7" t="s">
        <v>1601</v>
      </c>
      <c r="B198" s="6">
        <v>870</v>
      </c>
      <c r="C198" s="7" t="s">
        <v>3725</v>
      </c>
      <c r="D198" s="7" t="s">
        <v>3758</v>
      </c>
      <c r="E198" s="7" t="s">
        <v>3759</v>
      </c>
      <c r="F198" s="40" t="s">
        <v>1208</v>
      </c>
      <c r="G198" s="7" t="s">
        <v>3760</v>
      </c>
      <c r="H198" s="7" t="s">
        <v>3761</v>
      </c>
      <c r="I198" s="5"/>
      <c r="J198" s="21" t="s">
        <v>3762</v>
      </c>
      <c r="K198" s="7" t="s">
        <v>24</v>
      </c>
      <c r="L198" s="7" t="s">
        <v>3763</v>
      </c>
      <c r="M198" s="114">
        <v>1141870600</v>
      </c>
      <c r="N198" s="109">
        <v>10000000</v>
      </c>
      <c r="O198" s="114">
        <v>15000000</v>
      </c>
      <c r="P198" s="112">
        <v>24000000</v>
      </c>
      <c r="Q198" s="109">
        <f>M198+N198+O198+P198</f>
        <v>1190870600</v>
      </c>
      <c r="R198" s="14">
        <v>1141870600</v>
      </c>
      <c r="S198" s="28">
        <v>10000000</v>
      </c>
      <c r="T198" s="30">
        <v>15000000</v>
      </c>
      <c r="U198" s="14">
        <v>24000000</v>
      </c>
      <c r="V198" s="5"/>
      <c r="W198" s="28"/>
      <c r="X198" s="28">
        <f>N198-S198</f>
        <v>0</v>
      </c>
      <c r="Y198" s="28">
        <f>O198-T198</f>
        <v>0</v>
      </c>
      <c r="Z198" s="28">
        <f>P198-U198</f>
        <v>0</v>
      </c>
      <c r="AA198" s="4"/>
      <c r="AB198" s="4"/>
      <c r="AC198">
        <f>IF(AB198=G198,1,2)</f>
        <v>2</v>
      </c>
    </row>
    <row r="199" spans="1:30" customFormat="1" ht="31.2" hidden="1" x14ac:dyDescent="0.3">
      <c r="A199" s="7" t="s">
        <v>46</v>
      </c>
      <c r="B199" s="6">
        <v>199</v>
      </c>
      <c r="C199" s="7" t="s">
        <v>696</v>
      </c>
      <c r="D199" s="7" t="s">
        <v>772</v>
      </c>
      <c r="E199" s="7" t="s">
        <v>389</v>
      </c>
      <c r="F199" s="40" t="s">
        <v>773</v>
      </c>
      <c r="G199" s="7" t="s">
        <v>774</v>
      </c>
      <c r="H199" s="7" t="s">
        <v>775</v>
      </c>
      <c r="I199" s="5"/>
      <c r="J199" s="7" t="s">
        <v>776</v>
      </c>
      <c r="K199" s="7" t="s">
        <v>24</v>
      </c>
      <c r="L199" s="7" t="s">
        <v>777</v>
      </c>
      <c r="M199" s="109">
        <v>11308899100</v>
      </c>
      <c r="N199" s="109">
        <v>243896000</v>
      </c>
      <c r="O199" s="109">
        <v>15000000</v>
      </c>
      <c r="P199" s="112">
        <v>72000000</v>
      </c>
      <c r="Q199" s="109">
        <f>M199+N199+O199+P199</f>
        <v>11639795100</v>
      </c>
      <c r="R199" s="3">
        <v>11308899100</v>
      </c>
      <c r="S199" s="3">
        <v>243896000</v>
      </c>
      <c r="T199" s="30">
        <v>15000000</v>
      </c>
      <c r="U199" s="3">
        <v>72000000</v>
      </c>
      <c r="V199" s="5"/>
      <c r="W199" s="28"/>
      <c r="X199" s="28">
        <f>N199-S199</f>
        <v>0</v>
      </c>
      <c r="Y199" s="28">
        <f>O199-T199</f>
        <v>0</v>
      </c>
      <c r="Z199" s="28">
        <f>P199-U199</f>
        <v>0</v>
      </c>
      <c r="AA199" s="4"/>
      <c r="AB199" s="4"/>
      <c r="AC199">
        <f>IF(AB199=G199,1,2)</f>
        <v>2</v>
      </c>
    </row>
    <row r="200" spans="1:30" ht="46.8" x14ac:dyDescent="0.3">
      <c r="A200" s="7" t="s">
        <v>53</v>
      </c>
      <c r="B200" s="6">
        <v>256</v>
      </c>
      <c r="C200" s="7" t="s">
        <v>1003</v>
      </c>
      <c r="D200" s="7" t="s">
        <v>1021</v>
      </c>
      <c r="E200" s="7"/>
      <c r="F200" s="40" t="s">
        <v>773</v>
      </c>
      <c r="G200" s="7" t="s">
        <v>1022</v>
      </c>
      <c r="H200" s="7"/>
      <c r="I200" s="7" t="s">
        <v>1023</v>
      </c>
      <c r="J200" s="7" t="s">
        <v>1024</v>
      </c>
      <c r="K200" s="7" t="s">
        <v>24</v>
      </c>
      <c r="L200" s="7" t="s">
        <v>1025</v>
      </c>
      <c r="M200" s="109">
        <v>6294452378</v>
      </c>
      <c r="N200" s="111"/>
      <c r="O200" s="109">
        <v>15000000</v>
      </c>
      <c r="P200" s="75">
        <v>84000000</v>
      </c>
      <c r="Q200" s="109">
        <f>M200+N200+O200+P200</f>
        <v>6393452378</v>
      </c>
      <c r="R200" s="3">
        <v>6294452378</v>
      </c>
      <c r="S200" s="5"/>
      <c r="T200" s="30">
        <v>15000000</v>
      </c>
      <c r="U200" s="7"/>
      <c r="V200" s="5"/>
      <c r="W200" s="28"/>
      <c r="X200" s="28">
        <f>N200-S200</f>
        <v>0</v>
      </c>
      <c r="Y200" s="28">
        <f>O200-T200</f>
        <v>0</v>
      </c>
      <c r="Z200" s="36">
        <f>P200-U200</f>
        <v>84000000</v>
      </c>
      <c r="AA200" s="4"/>
      <c r="AB200" s="40"/>
      <c r="AC200" s="61">
        <f>IF(AB200=G200,1,2)</f>
        <v>2</v>
      </c>
    </row>
    <row r="201" spans="1:30" ht="62.4" x14ac:dyDescent="0.3">
      <c r="A201" s="7" t="s">
        <v>1601</v>
      </c>
      <c r="B201" s="6">
        <v>743</v>
      </c>
      <c r="C201" s="7" t="s">
        <v>2877</v>
      </c>
      <c r="D201" s="7" t="s">
        <v>3194</v>
      </c>
      <c r="E201" s="7"/>
      <c r="F201" s="40" t="s">
        <v>3195</v>
      </c>
      <c r="G201" s="7" t="s">
        <v>3196</v>
      </c>
      <c r="H201" s="7"/>
      <c r="I201" s="7"/>
      <c r="J201" s="7" t="s">
        <v>3197</v>
      </c>
      <c r="K201" s="7" t="s">
        <v>24</v>
      </c>
      <c r="L201" s="7" t="s">
        <v>3198</v>
      </c>
      <c r="M201" s="114">
        <v>749131120</v>
      </c>
      <c r="N201" s="111"/>
      <c r="O201" s="114">
        <v>15000000</v>
      </c>
      <c r="P201" s="75">
        <v>90000000</v>
      </c>
      <c r="Q201" s="109">
        <f>M201+N201+O201+P201</f>
        <v>854131120</v>
      </c>
      <c r="R201" s="14">
        <v>749131120</v>
      </c>
      <c r="S201" s="5"/>
      <c r="T201" s="33">
        <v>15000000</v>
      </c>
      <c r="U201" s="3">
        <v>30000000</v>
      </c>
      <c r="V201" s="5"/>
      <c r="W201" s="28"/>
      <c r="X201" s="28">
        <f>N201-S201</f>
        <v>0</v>
      </c>
      <c r="Y201" s="28">
        <f>O201-T201</f>
        <v>0</v>
      </c>
      <c r="Z201" s="36">
        <f>P201-U201</f>
        <v>60000000</v>
      </c>
      <c r="AA201" s="4"/>
      <c r="AB201" s="40"/>
      <c r="AC201" s="61">
        <f>IF(AB201=G201,1,2)</f>
        <v>2</v>
      </c>
    </row>
    <row r="202" spans="1:30" customFormat="1" ht="62.4" hidden="1" x14ac:dyDescent="0.3">
      <c r="A202" s="7" t="s">
        <v>46</v>
      </c>
      <c r="B202" s="6">
        <v>747</v>
      </c>
      <c r="C202" s="7" t="s">
        <v>2877</v>
      </c>
      <c r="D202" s="7" t="s">
        <v>3213</v>
      </c>
      <c r="E202" s="5"/>
      <c r="F202" s="40" t="s">
        <v>3195</v>
      </c>
      <c r="G202" s="7" t="s">
        <v>3214</v>
      </c>
      <c r="H202" s="5"/>
      <c r="I202" s="5"/>
      <c r="J202" s="21" t="s">
        <v>3215</v>
      </c>
      <c r="K202" s="7" t="s">
        <v>24</v>
      </c>
      <c r="L202" s="7" t="s">
        <v>3216</v>
      </c>
      <c r="M202" s="114">
        <v>1886255920</v>
      </c>
      <c r="N202" s="111"/>
      <c r="O202" s="114">
        <v>15000000</v>
      </c>
      <c r="P202" s="112">
        <v>72000000</v>
      </c>
      <c r="Q202" s="109">
        <f>M202+N202+O202+P202</f>
        <v>1973255920</v>
      </c>
      <c r="R202" s="14">
        <v>1886255920</v>
      </c>
      <c r="S202" s="5"/>
      <c r="T202" s="30">
        <v>15000000</v>
      </c>
      <c r="U202" s="14">
        <v>72000000</v>
      </c>
      <c r="V202" s="5"/>
      <c r="W202" s="28"/>
      <c r="X202" s="28">
        <f>N202-S202</f>
        <v>0</v>
      </c>
      <c r="Y202" s="28">
        <f>O202-T202</f>
        <v>0</v>
      </c>
      <c r="Z202" s="28">
        <f>P202-U202</f>
        <v>0</v>
      </c>
      <c r="AA202" s="4"/>
      <c r="AB202" s="4"/>
      <c r="AC202">
        <f>IF(AB202=G202,1,2)</f>
        <v>2</v>
      </c>
    </row>
    <row r="203" spans="1:30" customFormat="1" ht="62.4" hidden="1" x14ac:dyDescent="0.3">
      <c r="A203" s="7" t="s">
        <v>1601</v>
      </c>
      <c r="B203" s="6">
        <v>750</v>
      </c>
      <c r="C203" s="7" t="s">
        <v>2877</v>
      </c>
      <c r="D203" s="7" t="s">
        <v>3227</v>
      </c>
      <c r="E203" s="5"/>
      <c r="F203" s="40" t="s">
        <v>3195</v>
      </c>
      <c r="G203" s="7" t="s">
        <v>3228</v>
      </c>
      <c r="H203" s="5"/>
      <c r="I203" s="5"/>
      <c r="J203" s="21" t="s">
        <v>3229</v>
      </c>
      <c r="K203" s="7" t="s">
        <v>24</v>
      </c>
      <c r="L203" s="7" t="s">
        <v>3230</v>
      </c>
      <c r="M203" s="114">
        <v>923490256</v>
      </c>
      <c r="N203" s="111"/>
      <c r="O203" s="114">
        <v>15000000</v>
      </c>
      <c r="P203" s="112">
        <v>96000000</v>
      </c>
      <c r="Q203" s="109">
        <f>M203+N203+O203+P203</f>
        <v>1034490256</v>
      </c>
      <c r="R203" s="36">
        <v>923490256</v>
      </c>
      <c r="S203" s="5"/>
      <c r="T203" s="30">
        <v>15000000</v>
      </c>
      <c r="U203" s="3">
        <v>96000000</v>
      </c>
      <c r="V203" s="5"/>
      <c r="W203" s="28"/>
      <c r="X203" s="28">
        <f>N203-S203</f>
        <v>0</v>
      </c>
      <c r="Y203" s="28">
        <f>O203-T203</f>
        <v>0</v>
      </c>
      <c r="Z203" s="28">
        <f>P203-U203</f>
        <v>0</v>
      </c>
      <c r="AA203" s="4"/>
      <c r="AB203" s="4"/>
      <c r="AC203">
        <f>IF(AB203=G203,1,2)</f>
        <v>2</v>
      </c>
    </row>
    <row r="204" spans="1:30" customFormat="1" ht="62.4" hidden="1" x14ac:dyDescent="0.3">
      <c r="A204" s="7" t="s">
        <v>18</v>
      </c>
      <c r="B204" s="6">
        <v>853</v>
      </c>
      <c r="C204" s="7" t="s">
        <v>3506</v>
      </c>
      <c r="D204" s="7" t="s">
        <v>3680</v>
      </c>
      <c r="E204" s="7" t="s">
        <v>3681</v>
      </c>
      <c r="F204" s="40" t="s">
        <v>3195</v>
      </c>
      <c r="G204" s="7" t="s">
        <v>3682</v>
      </c>
      <c r="H204" s="7" t="s">
        <v>3683</v>
      </c>
      <c r="I204" s="5"/>
      <c r="J204" s="21" t="s">
        <v>3684</v>
      </c>
      <c r="K204" s="7" t="s">
        <v>24</v>
      </c>
      <c r="L204" s="7" t="s">
        <v>3685</v>
      </c>
      <c r="M204" s="114">
        <v>862843600</v>
      </c>
      <c r="N204" s="114">
        <v>224872200</v>
      </c>
      <c r="O204" s="114">
        <v>15000000</v>
      </c>
      <c r="P204" s="112">
        <v>72000000</v>
      </c>
      <c r="Q204" s="109">
        <f>M204+N204+O204+P204</f>
        <v>1174715800</v>
      </c>
      <c r="R204" s="18">
        <v>862843600</v>
      </c>
      <c r="S204" s="14">
        <v>224872200</v>
      </c>
      <c r="T204" s="30">
        <v>15000000</v>
      </c>
      <c r="U204" s="14">
        <v>72000000</v>
      </c>
      <c r="V204" s="5"/>
      <c r="W204" s="28"/>
      <c r="X204" s="28">
        <f>N204-S204</f>
        <v>0</v>
      </c>
      <c r="Y204" s="28">
        <f>O204-T204</f>
        <v>0</v>
      </c>
      <c r="Z204" s="28">
        <f>P204-U204</f>
        <v>0</v>
      </c>
      <c r="AA204" s="4"/>
      <c r="AB204" s="4"/>
      <c r="AC204">
        <f>IF(AB204=G204,1,2)</f>
        <v>2</v>
      </c>
    </row>
    <row r="205" spans="1:30" customFormat="1" ht="17.399999999999999" hidden="1" x14ac:dyDescent="0.3">
      <c r="A205" s="51"/>
      <c r="B205" s="63"/>
      <c r="C205" s="63"/>
      <c r="D205" s="51"/>
      <c r="E205" s="63"/>
      <c r="F205" s="51"/>
      <c r="G205" s="71">
        <f>COUNTA(G206:G1089)</f>
        <v>676</v>
      </c>
      <c r="H205" s="63"/>
      <c r="I205" s="71"/>
      <c r="J205" s="63"/>
      <c r="K205" s="63"/>
      <c r="L205" s="63"/>
      <c r="M205" s="71">
        <f>COUNTIF(M206:M1089,"&gt;0")</f>
        <v>640</v>
      </c>
      <c r="N205" s="71">
        <f>COUNTIF(N206:N1089,"&gt;0")</f>
        <v>151</v>
      </c>
      <c r="O205" s="71">
        <f>COUNTIF(O206:O1089,"&gt;0")</f>
        <v>664</v>
      </c>
      <c r="P205" s="52">
        <f>COUNTIF(P206:P1089,"&gt;0")</f>
        <v>0</v>
      </c>
      <c r="Q205" s="52">
        <f>COUNTIF(Q206:Q1089,"&gt;0")</f>
        <v>667</v>
      </c>
      <c r="R205" s="52">
        <f>COUNTIF(R206:R1089,"&gt;0")</f>
        <v>600</v>
      </c>
      <c r="S205" s="71">
        <f>COUNTIF(S206:S1089,"&gt;0")</f>
        <v>138</v>
      </c>
      <c r="T205" s="71">
        <f>COUNTIF(T206:T1089,"&gt;0")</f>
        <v>565</v>
      </c>
      <c r="U205" s="52">
        <f>COUNTIF(U206:U1089,"&gt;0")</f>
        <v>0</v>
      </c>
      <c r="V205" s="52">
        <f>COUNT(V206:V1089)</f>
        <v>3</v>
      </c>
      <c r="W205" s="52">
        <f>COUNTIF(W206:W1089,"&gt;0")</f>
        <v>40</v>
      </c>
      <c r="X205" s="71">
        <f>COUNTIF(X206:X1089,"&gt;0")</f>
        <v>14</v>
      </c>
      <c r="Y205" s="71">
        <f>COUNTIF(Y206:Y1089,"&gt;0")</f>
        <v>100</v>
      </c>
      <c r="Z205" s="52">
        <f>COUNTIF(Z206:Z1089,"&gt;0")</f>
        <v>0</v>
      </c>
      <c r="AA205" s="71">
        <f>COUNT(AA206:AA1089)</f>
        <v>38</v>
      </c>
      <c r="AB205" s="71"/>
      <c r="AC205" s="123"/>
      <c r="AD205" s="123"/>
    </row>
    <row r="206" spans="1:30" customFormat="1" ht="46.8" hidden="1" x14ac:dyDescent="0.3">
      <c r="A206" s="7" t="s">
        <v>18</v>
      </c>
      <c r="B206" s="6">
        <v>1</v>
      </c>
      <c r="C206" s="7" t="s">
        <v>19</v>
      </c>
      <c r="D206" s="7" t="s">
        <v>19</v>
      </c>
      <c r="E206" s="7" t="s">
        <v>20</v>
      </c>
      <c r="F206" s="4"/>
      <c r="G206" s="7" t="s">
        <v>21</v>
      </c>
      <c r="H206" s="7" t="s">
        <v>22</v>
      </c>
      <c r="I206" s="5"/>
      <c r="J206" s="7" t="s">
        <v>23</v>
      </c>
      <c r="K206" s="7" t="s">
        <v>24</v>
      </c>
      <c r="L206" s="7" t="s">
        <v>25</v>
      </c>
      <c r="M206" s="109">
        <v>4401325040</v>
      </c>
      <c r="N206" s="109">
        <v>997248000</v>
      </c>
      <c r="O206" s="109">
        <v>7500000</v>
      </c>
      <c r="P206" s="110"/>
      <c r="Q206" s="109">
        <f>M206+N206+O206+P206</f>
        <v>5406073040</v>
      </c>
      <c r="R206" s="36">
        <v>4401325040</v>
      </c>
      <c r="S206" s="36">
        <v>997248000</v>
      </c>
      <c r="T206" s="30">
        <v>7500000</v>
      </c>
      <c r="U206" s="5"/>
      <c r="V206" s="5"/>
      <c r="W206" s="28"/>
      <c r="X206" s="28">
        <f>N206-S206</f>
        <v>0</v>
      </c>
      <c r="Y206" s="28">
        <f>O206-T206</f>
        <v>0</v>
      </c>
      <c r="Z206" s="28">
        <f>P206-U206</f>
        <v>0</v>
      </c>
      <c r="AA206" s="4"/>
      <c r="AB206" s="4"/>
      <c r="AC206">
        <f>IF(AB206=G206,1,2)</f>
        <v>2</v>
      </c>
    </row>
    <row r="207" spans="1:30" customFormat="1" ht="31.2" hidden="1" x14ac:dyDescent="0.3">
      <c r="A207" s="7" t="s">
        <v>26</v>
      </c>
      <c r="B207" s="6">
        <v>2</v>
      </c>
      <c r="C207" s="7" t="s">
        <v>19</v>
      </c>
      <c r="D207" s="7" t="s">
        <v>19</v>
      </c>
      <c r="E207" s="5"/>
      <c r="F207" s="4"/>
      <c r="G207" s="7" t="s">
        <v>27</v>
      </c>
      <c r="H207" s="5"/>
      <c r="I207" s="7" t="s">
        <v>28</v>
      </c>
      <c r="J207" s="7" t="s">
        <v>29</v>
      </c>
      <c r="K207" s="7" t="s">
        <v>24</v>
      </c>
      <c r="L207" s="7" t="s">
        <v>30</v>
      </c>
      <c r="M207" s="109">
        <v>0</v>
      </c>
      <c r="N207" s="111"/>
      <c r="O207" s="74">
        <v>0</v>
      </c>
      <c r="P207" s="110"/>
      <c r="Q207" s="109">
        <f>M207+N207+O207+P207</f>
        <v>0</v>
      </c>
      <c r="R207" s="6">
        <v>0</v>
      </c>
      <c r="S207" s="5"/>
      <c r="T207" s="31"/>
      <c r="U207" s="5"/>
      <c r="V207" s="5"/>
      <c r="W207" s="28"/>
      <c r="X207" s="28">
        <f>N207-S207</f>
        <v>0</v>
      </c>
      <c r="Y207" s="28">
        <f>O207-T207</f>
        <v>0</v>
      </c>
      <c r="Z207" s="28">
        <f>P207-U207</f>
        <v>0</v>
      </c>
      <c r="AA207" s="4"/>
      <c r="AB207" s="4"/>
      <c r="AC207">
        <f>IF(AB207=G207,1,2)</f>
        <v>2</v>
      </c>
    </row>
    <row r="208" spans="1:30" customFormat="1" ht="31.2" hidden="1" x14ac:dyDescent="0.3">
      <c r="A208" s="7" t="s">
        <v>18</v>
      </c>
      <c r="B208" s="6">
        <v>3</v>
      </c>
      <c r="C208" s="7" t="s">
        <v>19</v>
      </c>
      <c r="D208" s="7" t="s">
        <v>19</v>
      </c>
      <c r="E208" s="5"/>
      <c r="F208" s="4"/>
      <c r="G208" s="7" t="s">
        <v>31</v>
      </c>
      <c r="H208" s="5"/>
      <c r="I208" s="5"/>
      <c r="J208" s="7" t="s">
        <v>32</v>
      </c>
      <c r="K208" s="7" t="s">
        <v>24</v>
      </c>
      <c r="L208" s="7" t="s">
        <v>33</v>
      </c>
      <c r="M208" s="109">
        <v>3873005</v>
      </c>
      <c r="N208" s="111"/>
      <c r="O208" s="109">
        <v>7500000</v>
      </c>
      <c r="P208" s="110"/>
      <c r="Q208" s="109">
        <f>M208+N208+O208+P208</f>
        <v>11373005</v>
      </c>
      <c r="R208" s="36">
        <v>3873005</v>
      </c>
      <c r="S208" s="5"/>
      <c r="T208" s="30">
        <v>7500000</v>
      </c>
      <c r="U208" s="5"/>
      <c r="V208" s="5"/>
      <c r="W208" s="28"/>
      <c r="X208" s="28">
        <f>N208-S208</f>
        <v>0</v>
      </c>
      <c r="Y208" s="28">
        <f>O208-T208</f>
        <v>0</v>
      </c>
      <c r="Z208" s="28">
        <f>P208-U208</f>
        <v>0</v>
      </c>
      <c r="AA208" s="4"/>
      <c r="AB208" s="4"/>
      <c r="AC208">
        <f>IF(AB208=G208,1,2)</f>
        <v>2</v>
      </c>
    </row>
    <row r="209" spans="1:30" customFormat="1" ht="31.2" hidden="1" x14ac:dyDescent="0.3">
      <c r="A209" s="7" t="s">
        <v>18</v>
      </c>
      <c r="B209" s="6">
        <v>4</v>
      </c>
      <c r="C209" s="7" t="s">
        <v>19</v>
      </c>
      <c r="D209" s="7" t="s">
        <v>19</v>
      </c>
      <c r="E209" s="7" t="s">
        <v>34</v>
      </c>
      <c r="F209" s="4"/>
      <c r="G209" s="7" t="s">
        <v>35</v>
      </c>
      <c r="H209" s="7" t="s">
        <v>36</v>
      </c>
      <c r="I209" s="5"/>
      <c r="J209" s="7" t="s">
        <v>37</v>
      </c>
      <c r="K209" s="7" t="s">
        <v>24</v>
      </c>
      <c r="L209" s="7" t="s">
        <v>38</v>
      </c>
      <c r="M209" s="109">
        <v>49303660</v>
      </c>
      <c r="N209" s="109">
        <v>14041440</v>
      </c>
      <c r="O209" s="109">
        <v>7500000</v>
      </c>
      <c r="P209" s="110"/>
      <c r="Q209" s="109">
        <f>M209+N209+O209+P209</f>
        <v>70845100</v>
      </c>
      <c r="R209" s="36">
        <v>49303660</v>
      </c>
      <c r="S209" s="3">
        <v>14041440</v>
      </c>
      <c r="T209" s="30">
        <v>7500000</v>
      </c>
      <c r="U209" s="5"/>
      <c r="V209" s="5"/>
      <c r="W209" s="28"/>
      <c r="X209" s="28">
        <f>N209-S209</f>
        <v>0</v>
      </c>
      <c r="Y209" s="28">
        <f>O209-T209</f>
        <v>0</v>
      </c>
      <c r="Z209" s="28">
        <f>P209-U209</f>
        <v>0</v>
      </c>
      <c r="AA209" s="4"/>
      <c r="AB209" s="4"/>
      <c r="AC209">
        <f>IF(AB209=G209,1,2)</f>
        <v>2</v>
      </c>
    </row>
    <row r="210" spans="1:30" customFormat="1" ht="31.2" hidden="1" x14ac:dyDescent="0.3">
      <c r="A210" s="7" t="s">
        <v>26</v>
      </c>
      <c r="B210" s="6">
        <v>5</v>
      </c>
      <c r="C210" s="7" t="s">
        <v>19</v>
      </c>
      <c r="D210" s="7" t="s">
        <v>19</v>
      </c>
      <c r="E210" s="5"/>
      <c r="F210" s="4"/>
      <c r="G210" s="7" t="s">
        <v>39</v>
      </c>
      <c r="H210" s="5"/>
      <c r="I210" s="7" t="s">
        <v>40</v>
      </c>
      <c r="J210" s="7" t="s">
        <v>41</v>
      </c>
      <c r="K210" s="7" t="s">
        <v>24</v>
      </c>
      <c r="L210" s="7" t="s">
        <v>42</v>
      </c>
      <c r="M210" s="109">
        <v>0</v>
      </c>
      <c r="N210" s="111"/>
      <c r="O210" s="74"/>
      <c r="P210" s="110"/>
      <c r="Q210" s="109">
        <f>M210+N210+O210+P210</f>
        <v>0</v>
      </c>
      <c r="R210" s="6">
        <v>0</v>
      </c>
      <c r="S210" s="5"/>
      <c r="T210" s="31"/>
      <c r="U210" s="5"/>
      <c r="V210" s="5"/>
      <c r="W210" s="28"/>
      <c r="X210" s="28">
        <f>N210-S210</f>
        <v>0</v>
      </c>
      <c r="Y210" s="28">
        <f>O210-T210</f>
        <v>0</v>
      </c>
      <c r="Z210" s="28">
        <f>P210-U210</f>
        <v>0</v>
      </c>
      <c r="AA210" s="4"/>
      <c r="AB210" s="4"/>
      <c r="AC210">
        <f>IF(AB210=G210,1,2)</f>
        <v>2</v>
      </c>
    </row>
    <row r="211" spans="1:30" customFormat="1" ht="31.2" hidden="1" x14ac:dyDescent="0.3">
      <c r="A211" s="7" t="s">
        <v>18</v>
      </c>
      <c r="B211" s="6">
        <v>6</v>
      </c>
      <c r="C211" s="7" t="s">
        <v>19</v>
      </c>
      <c r="D211" s="7" t="s">
        <v>19</v>
      </c>
      <c r="E211" s="5"/>
      <c r="F211" s="4"/>
      <c r="G211" s="7" t="s">
        <v>43</v>
      </c>
      <c r="H211" s="5"/>
      <c r="I211" s="5"/>
      <c r="J211" s="7" t="s">
        <v>44</v>
      </c>
      <c r="K211" s="7" t="s">
        <v>24</v>
      </c>
      <c r="L211" s="7" t="s">
        <v>45</v>
      </c>
      <c r="M211" s="109">
        <v>0</v>
      </c>
      <c r="N211" s="111"/>
      <c r="O211" s="109">
        <v>7500000</v>
      </c>
      <c r="P211" s="110"/>
      <c r="Q211" s="109">
        <f>M211+N211+O211+P211</f>
        <v>7500000</v>
      </c>
      <c r="R211" s="6">
        <v>0</v>
      </c>
      <c r="S211" s="5"/>
      <c r="T211" s="30">
        <v>7500000</v>
      </c>
      <c r="U211" s="5"/>
      <c r="V211" s="5"/>
      <c r="W211" s="28"/>
      <c r="X211" s="28">
        <f>N211-S211</f>
        <v>0</v>
      </c>
      <c r="Y211" s="28">
        <f>O211-T211</f>
        <v>0</v>
      </c>
      <c r="Z211" s="28">
        <f>P211-U211</f>
        <v>0</v>
      </c>
      <c r="AA211" s="4"/>
      <c r="AB211" s="4"/>
      <c r="AC211">
        <f>IF(AB211=G211,1,2)</f>
        <v>2</v>
      </c>
    </row>
    <row r="212" spans="1:30" customFormat="1" ht="31.2" hidden="1" x14ac:dyDescent="0.3">
      <c r="A212" s="7" t="s">
        <v>46</v>
      </c>
      <c r="B212" s="6">
        <v>7</v>
      </c>
      <c r="C212" s="7" t="s">
        <v>19</v>
      </c>
      <c r="D212" s="7" t="s">
        <v>19</v>
      </c>
      <c r="E212" s="5"/>
      <c r="F212" s="4"/>
      <c r="G212" s="7" t="s">
        <v>47</v>
      </c>
      <c r="H212" s="5"/>
      <c r="I212" s="5"/>
      <c r="J212" s="7" t="s">
        <v>48</v>
      </c>
      <c r="K212" s="7" t="s">
        <v>24</v>
      </c>
      <c r="L212" s="7" t="s">
        <v>49</v>
      </c>
      <c r="M212" s="109">
        <v>129028662</v>
      </c>
      <c r="N212" s="111"/>
      <c r="O212" s="109">
        <v>7500000</v>
      </c>
      <c r="P212" s="110"/>
      <c r="Q212" s="109">
        <f>M212+N212+O212+P212</f>
        <v>136528662</v>
      </c>
      <c r="R212" s="36">
        <v>129028662</v>
      </c>
      <c r="S212" s="5"/>
      <c r="T212" s="30">
        <v>7500000</v>
      </c>
      <c r="U212" s="5"/>
      <c r="V212" s="5"/>
      <c r="W212" s="28"/>
      <c r="X212" s="28">
        <f>N212-S212</f>
        <v>0</v>
      </c>
      <c r="Y212" s="28">
        <f>O212-T212</f>
        <v>0</v>
      </c>
      <c r="Z212" s="28">
        <f>P212-U212</f>
        <v>0</v>
      </c>
      <c r="AA212" s="4"/>
      <c r="AB212" s="4"/>
      <c r="AC212">
        <f>IF(AB212=G212,1,2)</f>
        <v>2</v>
      </c>
    </row>
    <row r="213" spans="1:30" customFormat="1" ht="31.2" hidden="1" x14ac:dyDescent="0.3">
      <c r="A213" s="7" t="s">
        <v>26</v>
      </c>
      <c r="B213" s="6">
        <v>8</v>
      </c>
      <c r="C213" s="7" t="s">
        <v>19</v>
      </c>
      <c r="D213" s="7" t="s">
        <v>19</v>
      </c>
      <c r="E213" s="5"/>
      <c r="F213" s="4"/>
      <c r="G213" s="7" t="s">
        <v>50</v>
      </c>
      <c r="H213" s="5"/>
      <c r="I213" s="7" t="s">
        <v>40</v>
      </c>
      <c r="J213" s="7" t="s">
        <v>51</v>
      </c>
      <c r="K213" s="7" t="s">
        <v>24</v>
      </c>
      <c r="L213" s="7" t="s">
        <v>52</v>
      </c>
      <c r="M213" s="109">
        <v>0</v>
      </c>
      <c r="N213" s="111"/>
      <c r="O213" s="74"/>
      <c r="P213" s="110"/>
      <c r="Q213" s="109">
        <f>M213+N213+O213+P213</f>
        <v>0</v>
      </c>
      <c r="R213" s="6">
        <v>0</v>
      </c>
      <c r="S213" s="5"/>
      <c r="T213" s="31"/>
      <c r="U213" s="5"/>
      <c r="V213" s="5"/>
      <c r="W213" s="28"/>
      <c r="X213" s="28">
        <f>N213-S213</f>
        <v>0</v>
      </c>
      <c r="Y213" s="28">
        <f>O213-T213</f>
        <v>0</v>
      </c>
      <c r="Z213" s="28">
        <f>P213-U213</f>
        <v>0</v>
      </c>
      <c r="AA213" s="4"/>
      <c r="AB213" s="4"/>
      <c r="AC213">
        <f>IF(AB213=G213,1,2)</f>
        <v>2</v>
      </c>
    </row>
    <row r="214" spans="1:30" customFormat="1" ht="31.2" hidden="1" x14ac:dyDescent="0.3">
      <c r="A214" s="7" t="s">
        <v>53</v>
      </c>
      <c r="B214" s="6">
        <v>9</v>
      </c>
      <c r="C214" s="7" t="s">
        <v>54</v>
      </c>
      <c r="D214" s="7" t="s">
        <v>54</v>
      </c>
      <c r="E214" s="5"/>
      <c r="F214" s="4"/>
      <c r="G214" s="7" t="s">
        <v>55</v>
      </c>
      <c r="H214" s="5"/>
      <c r="I214" s="7" t="s">
        <v>56</v>
      </c>
      <c r="J214" s="7" t="s">
        <v>57</v>
      </c>
      <c r="K214" s="7" t="s">
        <v>24</v>
      </c>
      <c r="L214" s="7" t="s">
        <v>58</v>
      </c>
      <c r="M214" s="109">
        <v>5275298400</v>
      </c>
      <c r="N214" s="111"/>
      <c r="O214" s="109">
        <v>15000000</v>
      </c>
      <c r="P214" s="110"/>
      <c r="Q214" s="109">
        <f>M214+N214+O214+P214</f>
        <v>5290298400</v>
      </c>
      <c r="R214" s="36">
        <v>5275298400</v>
      </c>
      <c r="S214" s="5"/>
      <c r="T214" s="30">
        <v>15000000</v>
      </c>
      <c r="U214" s="5"/>
      <c r="V214" s="5"/>
      <c r="W214" s="28"/>
      <c r="X214" s="28">
        <f>N214-S214</f>
        <v>0</v>
      </c>
      <c r="Y214" s="28">
        <f>O214-T214</f>
        <v>0</v>
      </c>
      <c r="Z214" s="28">
        <f>P214-U214</f>
        <v>0</v>
      </c>
      <c r="AA214" s="4"/>
      <c r="AB214" s="4"/>
      <c r="AC214">
        <f>IF(AB214=G214,1,2)</f>
        <v>2</v>
      </c>
    </row>
    <row r="215" spans="1:30" customFormat="1" ht="31.2" hidden="1" x14ac:dyDescent="0.3">
      <c r="A215" s="7" t="s">
        <v>26</v>
      </c>
      <c r="B215" s="6">
        <v>10</v>
      </c>
      <c r="C215" s="7" t="s">
        <v>54</v>
      </c>
      <c r="D215" s="7" t="s">
        <v>54</v>
      </c>
      <c r="E215" s="5"/>
      <c r="F215" s="4"/>
      <c r="G215" s="7" t="s">
        <v>59</v>
      </c>
      <c r="H215" s="5"/>
      <c r="I215" s="7" t="s">
        <v>40</v>
      </c>
      <c r="J215" s="7" t="s">
        <v>60</v>
      </c>
      <c r="K215" s="7" t="s">
        <v>24</v>
      </c>
      <c r="L215" s="7" t="s">
        <v>61</v>
      </c>
      <c r="M215" s="109">
        <v>0</v>
      </c>
      <c r="N215" s="111"/>
      <c r="O215" s="74"/>
      <c r="P215" s="110"/>
      <c r="Q215" s="109">
        <f>M215+N215+O215+P215</f>
        <v>0</v>
      </c>
      <c r="R215" s="6">
        <v>0</v>
      </c>
      <c r="S215" s="5"/>
      <c r="T215" s="31"/>
      <c r="U215" s="5"/>
      <c r="V215" s="5"/>
      <c r="W215" s="28"/>
      <c r="X215" s="28">
        <f>N215-S215</f>
        <v>0</v>
      </c>
      <c r="Y215" s="28">
        <f>O215-T215</f>
        <v>0</v>
      </c>
      <c r="Z215" s="28">
        <f>P215-U215</f>
        <v>0</v>
      </c>
      <c r="AA215" s="4"/>
      <c r="AB215" s="4"/>
      <c r="AC215">
        <f>IF(AB215=G215,1,2)</f>
        <v>2</v>
      </c>
    </row>
    <row r="216" spans="1:30" customFormat="1" ht="31.2" hidden="1" x14ac:dyDescent="0.3">
      <c r="A216" s="7" t="s">
        <v>62</v>
      </c>
      <c r="B216" s="6">
        <v>11</v>
      </c>
      <c r="C216" s="7" t="s">
        <v>54</v>
      </c>
      <c r="D216" s="7" t="s">
        <v>54</v>
      </c>
      <c r="E216" s="7"/>
      <c r="F216" s="4"/>
      <c r="G216" s="7" t="s">
        <v>63</v>
      </c>
      <c r="H216" s="7"/>
      <c r="I216" s="7"/>
      <c r="J216" s="7" t="s">
        <v>64</v>
      </c>
      <c r="K216" s="7" t="s">
        <v>24</v>
      </c>
      <c r="L216" s="7" t="s">
        <v>65</v>
      </c>
      <c r="M216" s="109">
        <v>2559814110</v>
      </c>
      <c r="N216" s="111"/>
      <c r="O216" s="109">
        <v>7500000</v>
      </c>
      <c r="P216" s="110"/>
      <c r="Q216" s="109">
        <f>M216+N216+O216+P216</f>
        <v>2567314110</v>
      </c>
      <c r="R216" s="5"/>
      <c r="S216" s="5"/>
      <c r="T216" s="72"/>
      <c r="U216" s="5"/>
      <c r="V216" s="5"/>
      <c r="W216" s="28">
        <v>2559814110</v>
      </c>
      <c r="X216" s="28">
        <f>N216-S216</f>
        <v>0</v>
      </c>
      <c r="Y216" s="36">
        <f>O216-T216</f>
        <v>7500000</v>
      </c>
      <c r="Z216" s="28">
        <f>P216-U216</f>
        <v>0</v>
      </c>
      <c r="AA216" s="10">
        <v>2559814110</v>
      </c>
      <c r="AB216" s="40"/>
      <c r="AC216" s="121">
        <f>IF(AB216=G216,1,2)</f>
        <v>2</v>
      </c>
      <c r="AD216" s="121"/>
    </row>
    <row r="217" spans="1:30" customFormat="1" ht="31.2" hidden="1" x14ac:dyDescent="0.3">
      <c r="A217" s="7" t="s">
        <v>62</v>
      </c>
      <c r="B217" s="6">
        <v>12</v>
      </c>
      <c r="C217" s="7" t="s">
        <v>54</v>
      </c>
      <c r="D217" s="7" t="s">
        <v>54</v>
      </c>
      <c r="E217" s="5"/>
      <c r="F217" s="4"/>
      <c r="G217" s="7" t="s">
        <v>66</v>
      </c>
      <c r="H217" s="5"/>
      <c r="I217" s="5"/>
      <c r="J217" s="7" t="s">
        <v>67</v>
      </c>
      <c r="K217" s="7" t="s">
        <v>24</v>
      </c>
      <c r="L217" s="7" t="s">
        <v>68</v>
      </c>
      <c r="M217" s="109">
        <v>60717258</v>
      </c>
      <c r="N217" s="111"/>
      <c r="O217" s="109">
        <v>7500000</v>
      </c>
      <c r="P217" s="110"/>
      <c r="Q217" s="109">
        <f>M217+N217+O217+P217</f>
        <v>68217258</v>
      </c>
      <c r="R217" s="3">
        <v>60717258</v>
      </c>
      <c r="S217" s="5"/>
      <c r="T217" s="30">
        <v>7500000</v>
      </c>
      <c r="U217" s="5"/>
      <c r="V217" s="5"/>
      <c r="W217" s="28"/>
      <c r="X217" s="28">
        <f>N217-S217</f>
        <v>0</v>
      </c>
      <c r="Y217" s="28">
        <f>O217-T217</f>
        <v>0</v>
      </c>
      <c r="Z217" s="28">
        <f>P217-U217</f>
        <v>0</v>
      </c>
      <c r="AA217" s="4"/>
      <c r="AB217" s="4"/>
      <c r="AC217">
        <f>IF(AB217=G217,1,2)</f>
        <v>2</v>
      </c>
    </row>
    <row r="218" spans="1:30" customFormat="1" ht="31.2" hidden="1" x14ac:dyDescent="0.3">
      <c r="A218" s="7" t="s">
        <v>62</v>
      </c>
      <c r="B218" s="6">
        <v>13</v>
      </c>
      <c r="C218" s="7" t="s">
        <v>69</v>
      </c>
      <c r="D218" s="7" t="s">
        <v>69</v>
      </c>
      <c r="E218" s="5"/>
      <c r="F218" s="4"/>
      <c r="G218" s="7" t="s">
        <v>70</v>
      </c>
      <c r="H218" s="5"/>
      <c r="I218" s="5"/>
      <c r="J218" s="7" t="s">
        <v>71</v>
      </c>
      <c r="K218" s="7" t="s">
        <v>24</v>
      </c>
      <c r="L218" s="7" t="s">
        <v>72</v>
      </c>
      <c r="M218" s="109">
        <v>1532066300</v>
      </c>
      <c r="N218" s="111"/>
      <c r="O218" s="109">
        <v>7500000</v>
      </c>
      <c r="P218" s="110"/>
      <c r="Q218" s="109">
        <f>M218+N218+O218+P218</f>
        <v>1539566300</v>
      </c>
      <c r="R218" s="36">
        <v>1532066300</v>
      </c>
      <c r="S218" s="5"/>
      <c r="T218" s="30">
        <v>7500000</v>
      </c>
      <c r="U218" s="5"/>
      <c r="V218" s="5"/>
      <c r="W218" s="28"/>
      <c r="X218" s="28">
        <f>N218-S218</f>
        <v>0</v>
      </c>
      <c r="Y218" s="28">
        <f>O218-T218</f>
        <v>0</v>
      </c>
      <c r="Z218" s="28">
        <f>P218-U218</f>
        <v>0</v>
      </c>
      <c r="AA218" s="4"/>
      <c r="AB218" s="4"/>
      <c r="AC218">
        <f>IF(AB218=G218,1,2)</f>
        <v>2</v>
      </c>
    </row>
    <row r="219" spans="1:30" customFormat="1" ht="31.2" hidden="1" x14ac:dyDescent="0.3">
      <c r="A219" s="7" t="s">
        <v>62</v>
      </c>
      <c r="B219" s="6">
        <v>14</v>
      </c>
      <c r="C219" s="7" t="s">
        <v>69</v>
      </c>
      <c r="D219" s="7" t="s">
        <v>69</v>
      </c>
      <c r="E219" s="7"/>
      <c r="F219" s="4"/>
      <c r="G219" s="7" t="s">
        <v>73</v>
      </c>
      <c r="H219" s="7"/>
      <c r="I219" s="7"/>
      <c r="J219" s="7" t="s">
        <v>74</v>
      </c>
      <c r="K219" s="7" t="s">
        <v>24</v>
      </c>
      <c r="L219" s="7" t="s">
        <v>75</v>
      </c>
      <c r="M219" s="109">
        <v>1836348912</v>
      </c>
      <c r="N219" s="111"/>
      <c r="O219" s="109">
        <v>7500000</v>
      </c>
      <c r="P219" s="110"/>
      <c r="Q219" s="109">
        <f>M219+N219+O219+P219</f>
        <v>1843848912</v>
      </c>
      <c r="R219" s="36">
        <v>1836348912</v>
      </c>
      <c r="S219" s="5"/>
      <c r="T219" s="72"/>
      <c r="U219" s="5"/>
      <c r="V219" s="5"/>
      <c r="W219" s="28"/>
      <c r="X219" s="28">
        <f>N219-S219</f>
        <v>0</v>
      </c>
      <c r="Y219" s="36">
        <f>O219-T219</f>
        <v>7500000</v>
      </c>
      <c r="Z219" s="28">
        <f>P219-U219</f>
        <v>0</v>
      </c>
      <c r="AA219" s="4"/>
      <c r="AB219" s="40"/>
      <c r="AC219" s="121">
        <f>IF(AB219=G219,1,2)</f>
        <v>2</v>
      </c>
      <c r="AD219" s="121"/>
    </row>
    <row r="220" spans="1:30" customFormat="1" ht="31.2" hidden="1" x14ac:dyDescent="0.3">
      <c r="A220" s="7" t="s">
        <v>62</v>
      </c>
      <c r="B220" s="6">
        <v>15</v>
      </c>
      <c r="C220" s="7" t="s">
        <v>69</v>
      </c>
      <c r="D220" s="7" t="s">
        <v>69</v>
      </c>
      <c r="E220" s="5"/>
      <c r="F220" s="4"/>
      <c r="G220" s="7" t="s">
        <v>76</v>
      </c>
      <c r="H220" s="5"/>
      <c r="I220" s="5"/>
      <c r="J220" s="7" t="s">
        <v>77</v>
      </c>
      <c r="K220" s="7" t="s">
        <v>24</v>
      </c>
      <c r="L220" s="7" t="s">
        <v>78</v>
      </c>
      <c r="M220" s="109">
        <v>662595692</v>
      </c>
      <c r="N220" s="111"/>
      <c r="O220" s="109">
        <v>7500000</v>
      </c>
      <c r="P220" s="110"/>
      <c r="Q220" s="109">
        <f>M220+N220+O220+P220</f>
        <v>670095692</v>
      </c>
      <c r="R220" s="36">
        <v>662595692</v>
      </c>
      <c r="S220" s="5"/>
      <c r="T220" s="30">
        <v>7500000</v>
      </c>
      <c r="U220" s="5"/>
      <c r="V220" s="3">
        <v>-195505082</v>
      </c>
      <c r="W220" s="28"/>
      <c r="X220" s="28">
        <f>N220-S220</f>
        <v>0</v>
      </c>
      <c r="Y220" s="28">
        <f>O220-T220</f>
        <v>0</v>
      </c>
      <c r="Z220" s="28">
        <f>P220-U220</f>
        <v>0</v>
      </c>
      <c r="AA220" s="4"/>
      <c r="AB220" s="4"/>
      <c r="AC220">
        <f>IF(AB220=G220,1,2)</f>
        <v>2</v>
      </c>
    </row>
    <row r="221" spans="1:30" customFormat="1" ht="31.2" hidden="1" x14ac:dyDescent="0.3">
      <c r="A221" s="7" t="s">
        <v>46</v>
      </c>
      <c r="B221" s="6">
        <v>16</v>
      </c>
      <c r="C221" s="7" t="s">
        <v>79</v>
      </c>
      <c r="D221" s="7" t="s">
        <v>79</v>
      </c>
      <c r="E221" s="5"/>
      <c r="F221" s="4"/>
      <c r="G221" s="7" t="s">
        <v>80</v>
      </c>
      <c r="H221" s="5"/>
      <c r="I221" s="5"/>
      <c r="J221" s="7" t="s">
        <v>81</v>
      </c>
      <c r="K221" s="7" t="s">
        <v>24</v>
      </c>
      <c r="L221" s="7" t="s">
        <v>82</v>
      </c>
      <c r="M221" s="109">
        <v>13658317884</v>
      </c>
      <c r="N221" s="111"/>
      <c r="O221" s="109">
        <v>7500000</v>
      </c>
      <c r="P221" s="110"/>
      <c r="Q221" s="109">
        <f>M221+N221+O221+P221</f>
        <v>13665817884</v>
      </c>
      <c r="R221" s="36">
        <v>13658317884</v>
      </c>
      <c r="S221" s="5"/>
      <c r="T221" s="30">
        <v>7500000</v>
      </c>
      <c r="U221" s="5"/>
      <c r="V221" s="5"/>
      <c r="W221" s="28"/>
      <c r="X221" s="28">
        <f>N221-S221</f>
        <v>0</v>
      </c>
      <c r="Y221" s="28">
        <f>O221-T221</f>
        <v>0</v>
      </c>
      <c r="Z221" s="28">
        <f>P221-U221</f>
        <v>0</v>
      </c>
      <c r="AA221" s="4"/>
      <c r="AB221" s="4"/>
      <c r="AC221">
        <f>IF(AB221=G221,1,2)</f>
        <v>2</v>
      </c>
    </row>
    <row r="222" spans="1:30" customFormat="1" ht="31.2" hidden="1" x14ac:dyDescent="0.3">
      <c r="A222" s="7" t="s">
        <v>18</v>
      </c>
      <c r="B222" s="6">
        <v>17</v>
      </c>
      <c r="C222" s="7" t="s">
        <v>79</v>
      </c>
      <c r="D222" s="7" t="s">
        <v>79</v>
      </c>
      <c r="E222" s="7"/>
      <c r="F222" s="4"/>
      <c r="G222" s="7" t="s">
        <v>83</v>
      </c>
      <c r="H222" s="7"/>
      <c r="I222" s="7"/>
      <c r="J222" s="7" t="s">
        <v>84</v>
      </c>
      <c r="K222" s="7" t="s">
        <v>24</v>
      </c>
      <c r="L222" s="7" t="s">
        <v>85</v>
      </c>
      <c r="M222" s="109">
        <v>1592587200</v>
      </c>
      <c r="N222" s="111"/>
      <c r="O222" s="109">
        <v>7500000</v>
      </c>
      <c r="P222" s="110"/>
      <c r="Q222" s="109">
        <f>M222+N222+O222+P222</f>
        <v>1600087200</v>
      </c>
      <c r="R222" s="36">
        <v>1592587200</v>
      </c>
      <c r="S222" s="5"/>
      <c r="T222" s="72"/>
      <c r="U222" s="5"/>
      <c r="V222" s="5"/>
      <c r="W222" s="28"/>
      <c r="X222" s="28">
        <f>N222-S222</f>
        <v>0</v>
      </c>
      <c r="Y222" s="36">
        <f>O222-T222</f>
        <v>7500000</v>
      </c>
      <c r="Z222" s="28">
        <f>P222-U222</f>
        <v>0</v>
      </c>
      <c r="AA222" s="4"/>
      <c r="AB222" s="40"/>
      <c r="AC222" s="121">
        <f>IF(AB222=G222,1,2)</f>
        <v>2</v>
      </c>
      <c r="AD222" s="121"/>
    </row>
    <row r="223" spans="1:30" customFormat="1" ht="31.2" hidden="1" x14ac:dyDescent="0.3">
      <c r="A223" s="7" t="s">
        <v>26</v>
      </c>
      <c r="B223" s="6">
        <v>18</v>
      </c>
      <c r="C223" s="7" t="s">
        <v>79</v>
      </c>
      <c r="D223" s="7" t="s">
        <v>79</v>
      </c>
      <c r="E223" s="5"/>
      <c r="F223" s="4"/>
      <c r="G223" s="7" t="s">
        <v>86</v>
      </c>
      <c r="H223" s="5"/>
      <c r="I223" s="7" t="s">
        <v>28</v>
      </c>
      <c r="J223" s="7" t="s">
        <v>87</v>
      </c>
      <c r="K223" s="7" t="s">
        <v>24</v>
      </c>
      <c r="L223" s="7" t="s">
        <v>88</v>
      </c>
      <c r="M223" s="109">
        <v>0</v>
      </c>
      <c r="N223" s="111"/>
      <c r="O223" s="74"/>
      <c r="P223" s="110"/>
      <c r="Q223" s="109">
        <f>M223+N223+O223+P223</f>
        <v>0</v>
      </c>
      <c r="R223" s="6">
        <v>0</v>
      </c>
      <c r="S223" s="5"/>
      <c r="T223" s="31"/>
      <c r="U223" s="5"/>
      <c r="V223" s="5"/>
      <c r="W223" s="28"/>
      <c r="X223" s="28">
        <f>N223-S223</f>
        <v>0</v>
      </c>
      <c r="Y223" s="28">
        <f>O223-T223</f>
        <v>0</v>
      </c>
      <c r="Z223" s="28">
        <f>P223-U223</f>
        <v>0</v>
      </c>
      <c r="AA223" s="4"/>
      <c r="AB223" s="4"/>
      <c r="AC223">
        <f>IF(AB223=G223,1,2)</f>
        <v>2</v>
      </c>
    </row>
    <row r="224" spans="1:30" customFormat="1" ht="31.2" hidden="1" x14ac:dyDescent="0.3">
      <c r="A224" s="7" t="s">
        <v>46</v>
      </c>
      <c r="B224" s="6">
        <v>19</v>
      </c>
      <c r="C224" s="7" t="s">
        <v>79</v>
      </c>
      <c r="D224" s="7" t="s">
        <v>79</v>
      </c>
      <c r="E224" s="5"/>
      <c r="F224" s="4"/>
      <c r="G224" s="7" t="s">
        <v>89</v>
      </c>
      <c r="H224" s="5"/>
      <c r="I224" s="5"/>
      <c r="J224" s="7" t="s">
        <v>90</v>
      </c>
      <c r="K224" s="7" t="s">
        <v>24</v>
      </c>
      <c r="L224" s="7" t="s">
        <v>91</v>
      </c>
      <c r="M224" s="109">
        <v>4546438698</v>
      </c>
      <c r="N224" s="111"/>
      <c r="O224" s="109">
        <v>15000000</v>
      </c>
      <c r="P224" s="110"/>
      <c r="Q224" s="109">
        <f>M224+N224+O224+P224</f>
        <v>4561438698</v>
      </c>
      <c r="R224" s="36">
        <v>4546438698</v>
      </c>
      <c r="S224" s="5"/>
      <c r="T224" s="30">
        <v>15000000</v>
      </c>
      <c r="U224" s="5"/>
      <c r="V224" s="5"/>
      <c r="W224" s="28"/>
      <c r="X224" s="28">
        <f>N224-S224</f>
        <v>0</v>
      </c>
      <c r="Y224" s="28">
        <f>O224-T224</f>
        <v>0</v>
      </c>
      <c r="Z224" s="28">
        <f>P224-U224</f>
        <v>0</v>
      </c>
      <c r="AA224" s="4"/>
      <c r="AB224" s="4"/>
      <c r="AC224">
        <f>IF(AB224=G224,1,2)</f>
        <v>2</v>
      </c>
    </row>
    <row r="225" spans="1:30" customFormat="1" ht="46.8" hidden="1" x14ac:dyDescent="0.3">
      <c r="A225" s="7" t="s">
        <v>26</v>
      </c>
      <c r="B225" s="6">
        <v>20</v>
      </c>
      <c r="C225" s="7" t="s">
        <v>79</v>
      </c>
      <c r="D225" s="7" t="s">
        <v>79</v>
      </c>
      <c r="E225" s="5"/>
      <c r="F225" s="4"/>
      <c r="G225" s="7" t="s">
        <v>92</v>
      </c>
      <c r="H225" s="5"/>
      <c r="I225" s="7" t="s">
        <v>40</v>
      </c>
      <c r="J225" s="7" t="s">
        <v>93</v>
      </c>
      <c r="K225" s="7" t="s">
        <v>24</v>
      </c>
      <c r="L225" s="7" t="s">
        <v>94</v>
      </c>
      <c r="M225" s="109">
        <v>0</v>
      </c>
      <c r="N225" s="111"/>
      <c r="O225" s="74"/>
      <c r="P225" s="110"/>
      <c r="Q225" s="109">
        <f>M225+N225+O225+P225</f>
        <v>0</v>
      </c>
      <c r="R225" s="6">
        <v>0</v>
      </c>
      <c r="S225" s="5"/>
      <c r="T225" s="31"/>
      <c r="U225" s="5"/>
      <c r="V225" s="5"/>
      <c r="W225" s="28"/>
      <c r="X225" s="28">
        <f>N225-S225</f>
        <v>0</v>
      </c>
      <c r="Y225" s="28">
        <f>O225-T225</f>
        <v>0</v>
      </c>
      <c r="Z225" s="28">
        <f>P225-U225</f>
        <v>0</v>
      </c>
      <c r="AA225" s="4"/>
      <c r="AB225" s="4"/>
      <c r="AC225">
        <f>IF(AB225=G225,1,2)</f>
        <v>2</v>
      </c>
    </row>
    <row r="226" spans="1:30" customFormat="1" ht="31.2" hidden="1" x14ac:dyDescent="0.3">
      <c r="A226" s="7" t="s">
        <v>18</v>
      </c>
      <c r="B226" s="6">
        <v>21</v>
      </c>
      <c r="C226" s="7" t="s">
        <v>79</v>
      </c>
      <c r="D226" s="7" t="s">
        <v>79</v>
      </c>
      <c r="E226" s="5"/>
      <c r="F226" s="4"/>
      <c r="G226" s="7" t="s">
        <v>95</v>
      </c>
      <c r="H226" s="5"/>
      <c r="I226" s="5"/>
      <c r="J226" s="7" t="s">
        <v>96</v>
      </c>
      <c r="K226" s="7" t="s">
        <v>24</v>
      </c>
      <c r="L226" s="7" t="s">
        <v>97</v>
      </c>
      <c r="M226" s="109">
        <v>402447024</v>
      </c>
      <c r="N226" s="111"/>
      <c r="O226" s="109">
        <v>7500000</v>
      </c>
      <c r="P226" s="110"/>
      <c r="Q226" s="109">
        <f>M226+N226+O226+P226</f>
        <v>409947024</v>
      </c>
      <c r="R226" s="36">
        <v>402447024</v>
      </c>
      <c r="S226" s="5"/>
      <c r="T226" s="30">
        <v>7500000</v>
      </c>
      <c r="U226" s="5"/>
      <c r="V226" s="5"/>
      <c r="W226" s="28"/>
      <c r="X226" s="28">
        <f>N226-S226</f>
        <v>0</v>
      </c>
      <c r="Y226" s="28">
        <f>O226-T226</f>
        <v>0</v>
      </c>
      <c r="Z226" s="28">
        <f>P226-U226</f>
        <v>0</v>
      </c>
      <c r="AA226" s="4"/>
      <c r="AB226" s="4"/>
      <c r="AC226">
        <f>IF(AB226=G226,1,2)</f>
        <v>2</v>
      </c>
    </row>
    <row r="227" spans="1:30" customFormat="1" ht="31.2" hidden="1" x14ac:dyDescent="0.3">
      <c r="A227" s="7" t="s">
        <v>26</v>
      </c>
      <c r="B227" s="6">
        <v>22</v>
      </c>
      <c r="C227" s="7" t="s">
        <v>79</v>
      </c>
      <c r="D227" s="7" t="s">
        <v>79</v>
      </c>
      <c r="E227" s="5"/>
      <c r="F227" s="4"/>
      <c r="G227" s="7" t="s">
        <v>98</v>
      </c>
      <c r="H227" s="5"/>
      <c r="I227" s="7" t="s">
        <v>28</v>
      </c>
      <c r="J227" s="7" t="s">
        <v>99</v>
      </c>
      <c r="K227" s="7" t="s">
        <v>24</v>
      </c>
      <c r="L227" s="7" t="s">
        <v>100</v>
      </c>
      <c r="M227" s="109">
        <v>0</v>
      </c>
      <c r="N227" s="111"/>
      <c r="O227" s="74"/>
      <c r="P227" s="110"/>
      <c r="Q227" s="109">
        <f>M227+N227+O227+P227</f>
        <v>0</v>
      </c>
      <c r="R227" s="6">
        <v>0</v>
      </c>
      <c r="S227" s="5"/>
      <c r="T227" s="31"/>
      <c r="U227" s="5"/>
      <c r="V227" s="5"/>
      <c r="W227" s="28"/>
      <c r="X227" s="28">
        <f>N227-S227</f>
        <v>0</v>
      </c>
      <c r="Y227" s="28">
        <f>O227-T227</f>
        <v>0</v>
      </c>
      <c r="Z227" s="28">
        <f>P227-U227</f>
        <v>0</v>
      </c>
      <c r="AA227" s="4"/>
      <c r="AB227" s="4"/>
      <c r="AC227">
        <f>IF(AB227=G227,1,2)</f>
        <v>2</v>
      </c>
    </row>
    <row r="228" spans="1:30" customFormat="1" ht="31.2" hidden="1" x14ac:dyDescent="0.3">
      <c r="A228" s="7" t="s">
        <v>62</v>
      </c>
      <c r="B228" s="6">
        <v>23</v>
      </c>
      <c r="C228" s="7" t="s">
        <v>79</v>
      </c>
      <c r="D228" s="7" t="s">
        <v>79</v>
      </c>
      <c r="E228" s="5"/>
      <c r="F228" s="4"/>
      <c r="G228" s="7" t="s">
        <v>101</v>
      </c>
      <c r="H228" s="5"/>
      <c r="I228" s="5"/>
      <c r="J228" s="7" t="s">
        <v>102</v>
      </c>
      <c r="K228" s="7" t="s">
        <v>24</v>
      </c>
      <c r="L228" s="7" t="s">
        <v>103</v>
      </c>
      <c r="M228" s="109">
        <v>655613400</v>
      </c>
      <c r="N228" s="111"/>
      <c r="O228" s="109">
        <v>7500000</v>
      </c>
      <c r="P228" s="110"/>
      <c r="Q228" s="109">
        <f>M228+N228+O228+P228</f>
        <v>663113400</v>
      </c>
      <c r="R228" s="36">
        <v>655613400</v>
      </c>
      <c r="S228" s="5"/>
      <c r="T228" s="30">
        <v>7500000</v>
      </c>
      <c r="U228" s="5"/>
      <c r="V228" s="5"/>
      <c r="W228" s="28"/>
      <c r="X228" s="28">
        <f>N228-S228</f>
        <v>0</v>
      </c>
      <c r="Y228" s="28">
        <f>O228-T228</f>
        <v>0</v>
      </c>
      <c r="Z228" s="28">
        <f>P228-U228</f>
        <v>0</v>
      </c>
      <c r="AA228" s="4"/>
      <c r="AB228" s="4"/>
      <c r="AC228">
        <f>IF(AB228=G228,1,2)</f>
        <v>2</v>
      </c>
    </row>
    <row r="229" spans="1:30" customFormat="1" ht="46.8" hidden="1" x14ac:dyDescent="0.3">
      <c r="A229" s="7" t="s">
        <v>26</v>
      </c>
      <c r="B229" s="6">
        <v>24</v>
      </c>
      <c r="C229" s="7" t="s">
        <v>79</v>
      </c>
      <c r="D229" s="7" t="s">
        <v>79</v>
      </c>
      <c r="E229" s="5"/>
      <c r="F229" s="4"/>
      <c r="G229" s="7" t="s">
        <v>104</v>
      </c>
      <c r="H229" s="5"/>
      <c r="I229" s="7" t="s">
        <v>40</v>
      </c>
      <c r="J229" s="7" t="s">
        <v>105</v>
      </c>
      <c r="K229" s="7" t="s">
        <v>24</v>
      </c>
      <c r="L229" s="7" t="s">
        <v>106</v>
      </c>
      <c r="M229" s="109">
        <v>0</v>
      </c>
      <c r="N229" s="111"/>
      <c r="O229" s="74"/>
      <c r="P229" s="110"/>
      <c r="Q229" s="109">
        <f>M229+N229+O229+P229</f>
        <v>0</v>
      </c>
      <c r="R229" s="6">
        <v>0</v>
      </c>
      <c r="S229" s="5"/>
      <c r="T229" s="31"/>
      <c r="U229" s="5"/>
      <c r="V229" s="5"/>
      <c r="W229" s="28"/>
      <c r="X229" s="28">
        <f>N229-S229</f>
        <v>0</v>
      </c>
      <c r="Y229" s="28">
        <f>O229-T229</f>
        <v>0</v>
      </c>
      <c r="Z229" s="28">
        <f>P229-U229</f>
        <v>0</v>
      </c>
      <c r="AA229" s="4"/>
      <c r="AB229" s="4"/>
      <c r="AC229">
        <f>IF(AB229=G229,1,2)</f>
        <v>2</v>
      </c>
    </row>
    <row r="230" spans="1:30" customFormat="1" ht="31.2" hidden="1" x14ac:dyDescent="0.3">
      <c r="A230" s="7" t="s">
        <v>18</v>
      </c>
      <c r="B230" s="6">
        <v>25</v>
      </c>
      <c r="C230" s="7" t="s">
        <v>79</v>
      </c>
      <c r="D230" s="7" t="s">
        <v>79</v>
      </c>
      <c r="E230" s="5"/>
      <c r="F230" s="4"/>
      <c r="G230" s="7" t="s">
        <v>107</v>
      </c>
      <c r="H230" s="5"/>
      <c r="I230" s="5"/>
      <c r="J230" s="7" t="s">
        <v>108</v>
      </c>
      <c r="K230" s="7" t="s">
        <v>24</v>
      </c>
      <c r="L230" s="7" t="s">
        <v>109</v>
      </c>
      <c r="M230" s="109">
        <v>1685363872</v>
      </c>
      <c r="N230" s="111"/>
      <c r="O230" s="109">
        <v>15000000</v>
      </c>
      <c r="P230" s="110"/>
      <c r="Q230" s="109">
        <f>M230+N230+O230+P230</f>
        <v>1700363872</v>
      </c>
      <c r="R230" s="36">
        <v>1685363872</v>
      </c>
      <c r="S230" s="5"/>
      <c r="T230" s="30">
        <v>15000000</v>
      </c>
      <c r="U230" s="5"/>
      <c r="V230" s="5"/>
      <c r="W230" s="28"/>
      <c r="X230" s="28">
        <f>N230-S230</f>
        <v>0</v>
      </c>
      <c r="Y230" s="28">
        <f>O230-T230</f>
        <v>0</v>
      </c>
      <c r="Z230" s="28">
        <f>P230-U230</f>
        <v>0</v>
      </c>
      <c r="AA230" s="4"/>
      <c r="AB230" s="4"/>
      <c r="AC230">
        <f>IF(AB230=G230,1,2)</f>
        <v>2</v>
      </c>
    </row>
    <row r="231" spans="1:30" customFormat="1" ht="31.2" hidden="1" x14ac:dyDescent="0.3">
      <c r="A231" s="7" t="s">
        <v>26</v>
      </c>
      <c r="B231" s="6">
        <v>26</v>
      </c>
      <c r="C231" s="7" t="s">
        <v>79</v>
      </c>
      <c r="D231" s="7" t="s">
        <v>79</v>
      </c>
      <c r="E231" s="5"/>
      <c r="F231" s="4"/>
      <c r="G231" s="7" t="s">
        <v>110</v>
      </c>
      <c r="H231" s="5"/>
      <c r="I231" s="7" t="s">
        <v>28</v>
      </c>
      <c r="J231" s="7" t="s">
        <v>111</v>
      </c>
      <c r="K231" s="7" t="s">
        <v>24</v>
      </c>
      <c r="L231" s="7" t="s">
        <v>112</v>
      </c>
      <c r="M231" s="109">
        <v>0</v>
      </c>
      <c r="N231" s="111"/>
      <c r="O231" s="74"/>
      <c r="P231" s="110"/>
      <c r="Q231" s="109">
        <f>M231+N231+O231+P231</f>
        <v>0</v>
      </c>
      <c r="R231" s="6">
        <v>0</v>
      </c>
      <c r="S231" s="5"/>
      <c r="T231" s="31"/>
      <c r="U231" s="5"/>
      <c r="V231" s="5"/>
      <c r="W231" s="28"/>
      <c r="X231" s="28">
        <f>N231-S231</f>
        <v>0</v>
      </c>
      <c r="Y231" s="28">
        <f>O231-T231</f>
        <v>0</v>
      </c>
      <c r="Z231" s="28">
        <f>P231-U231</f>
        <v>0</v>
      </c>
      <c r="AA231" s="4"/>
      <c r="AB231" s="4"/>
      <c r="AC231">
        <f>IF(AB231=G231,1,2)</f>
        <v>2</v>
      </c>
    </row>
    <row r="232" spans="1:30" customFormat="1" ht="31.2" hidden="1" x14ac:dyDescent="0.3">
      <c r="A232" s="7" t="s">
        <v>26</v>
      </c>
      <c r="B232" s="6">
        <v>27</v>
      </c>
      <c r="C232" s="7" t="s">
        <v>113</v>
      </c>
      <c r="D232" s="7" t="s">
        <v>113</v>
      </c>
      <c r="E232" s="5"/>
      <c r="F232" s="4"/>
      <c r="G232" s="7" t="s">
        <v>114</v>
      </c>
      <c r="H232" s="5"/>
      <c r="I232" s="7" t="s">
        <v>40</v>
      </c>
      <c r="J232" s="7" t="s">
        <v>111</v>
      </c>
      <c r="K232" s="7" t="s">
        <v>24</v>
      </c>
      <c r="L232" s="7" t="s">
        <v>115</v>
      </c>
      <c r="M232" s="109">
        <v>0</v>
      </c>
      <c r="N232" s="111"/>
      <c r="O232" s="74"/>
      <c r="P232" s="110"/>
      <c r="Q232" s="109">
        <f>M232+N232+O232+P232</f>
        <v>0</v>
      </c>
      <c r="R232" s="6">
        <v>0</v>
      </c>
      <c r="S232" s="5"/>
      <c r="T232" s="31"/>
      <c r="U232" s="5"/>
      <c r="V232" s="5"/>
      <c r="W232" s="28"/>
      <c r="X232" s="28">
        <f>N232-S232</f>
        <v>0</v>
      </c>
      <c r="Y232" s="28">
        <f>O232-T232</f>
        <v>0</v>
      </c>
      <c r="Z232" s="28">
        <f>P232-U232</f>
        <v>0</v>
      </c>
      <c r="AA232" s="4"/>
      <c r="AB232" s="4"/>
      <c r="AC232">
        <f>IF(AB232=G232,1,2)</f>
        <v>2</v>
      </c>
    </row>
    <row r="233" spans="1:30" customFormat="1" ht="31.2" hidden="1" x14ac:dyDescent="0.3">
      <c r="A233" s="7" t="s">
        <v>46</v>
      </c>
      <c r="B233" s="6">
        <v>28</v>
      </c>
      <c r="C233" s="7" t="s">
        <v>113</v>
      </c>
      <c r="D233" s="7" t="s">
        <v>113</v>
      </c>
      <c r="E233" s="5"/>
      <c r="F233" s="4"/>
      <c r="G233" s="7" t="s">
        <v>116</v>
      </c>
      <c r="H233" s="5"/>
      <c r="I233" s="5"/>
      <c r="J233" s="7" t="s">
        <v>117</v>
      </c>
      <c r="K233" s="7" t="s">
        <v>24</v>
      </c>
      <c r="L233" s="7" t="s">
        <v>118</v>
      </c>
      <c r="M233" s="109">
        <v>5297512200</v>
      </c>
      <c r="N233" s="111"/>
      <c r="O233" s="109">
        <v>7500000</v>
      </c>
      <c r="P233" s="110"/>
      <c r="Q233" s="109">
        <f>M233+N233+O233+P233</f>
        <v>5305012200</v>
      </c>
      <c r="R233" s="3">
        <v>5297512200</v>
      </c>
      <c r="S233" s="5"/>
      <c r="T233" s="30">
        <v>7500000</v>
      </c>
      <c r="U233" s="5"/>
      <c r="V233" s="5"/>
      <c r="W233" s="28"/>
      <c r="X233" s="28">
        <f>N233-S233</f>
        <v>0</v>
      </c>
      <c r="Y233" s="28">
        <f>O233-T233</f>
        <v>0</v>
      </c>
      <c r="Z233" s="28">
        <f>P233-U233</f>
        <v>0</v>
      </c>
      <c r="AA233" s="4"/>
      <c r="AB233" s="4"/>
      <c r="AC233">
        <f>IF(AB233=G233,1,2)</f>
        <v>2</v>
      </c>
    </row>
    <row r="234" spans="1:30" customFormat="1" ht="31.2" hidden="1" x14ac:dyDescent="0.3">
      <c r="A234" s="7" t="s">
        <v>53</v>
      </c>
      <c r="B234" s="6">
        <v>29</v>
      </c>
      <c r="C234" s="7" t="s">
        <v>113</v>
      </c>
      <c r="D234" s="7" t="s">
        <v>113</v>
      </c>
      <c r="E234" s="5"/>
      <c r="F234" s="4"/>
      <c r="G234" s="7" t="s">
        <v>119</v>
      </c>
      <c r="H234" s="5"/>
      <c r="I234" s="5"/>
      <c r="J234" s="7" t="s">
        <v>120</v>
      </c>
      <c r="K234" s="7" t="s">
        <v>24</v>
      </c>
      <c r="L234" s="7" t="s">
        <v>121</v>
      </c>
      <c r="M234" s="109">
        <v>3215919560</v>
      </c>
      <c r="N234" s="111"/>
      <c r="O234" s="109">
        <v>7500000</v>
      </c>
      <c r="P234" s="110"/>
      <c r="Q234" s="109">
        <f>M234+N234+O234+P234</f>
        <v>3223419560</v>
      </c>
      <c r="R234" s="36">
        <v>3215919560</v>
      </c>
      <c r="S234" s="5"/>
      <c r="T234" s="30">
        <v>7500000</v>
      </c>
      <c r="U234" s="5"/>
      <c r="V234" s="5"/>
      <c r="W234" s="28"/>
      <c r="X234" s="28">
        <f>N234-S234</f>
        <v>0</v>
      </c>
      <c r="Y234" s="28">
        <f>O234-T234</f>
        <v>0</v>
      </c>
      <c r="Z234" s="28">
        <f>P234-U234</f>
        <v>0</v>
      </c>
      <c r="AA234" s="4"/>
      <c r="AB234" s="4"/>
      <c r="AC234">
        <f>IF(AB234=G234,1,2)</f>
        <v>2</v>
      </c>
    </row>
    <row r="235" spans="1:30" customFormat="1" ht="31.2" hidden="1" x14ac:dyDescent="0.3">
      <c r="A235" s="7" t="s">
        <v>46</v>
      </c>
      <c r="B235" s="6">
        <v>30</v>
      </c>
      <c r="C235" s="7" t="s">
        <v>113</v>
      </c>
      <c r="D235" s="7" t="s">
        <v>113</v>
      </c>
      <c r="E235" s="5"/>
      <c r="F235" s="4"/>
      <c r="G235" s="7" t="s">
        <v>122</v>
      </c>
      <c r="H235" s="5"/>
      <c r="I235" s="5"/>
      <c r="J235" s="7" t="s">
        <v>123</v>
      </c>
      <c r="K235" s="7" t="s">
        <v>24</v>
      </c>
      <c r="L235" s="7" t="s">
        <v>124</v>
      </c>
      <c r="M235" s="109">
        <v>4662504</v>
      </c>
      <c r="N235" s="111"/>
      <c r="O235" s="109">
        <v>7500000</v>
      </c>
      <c r="P235" s="110"/>
      <c r="Q235" s="109">
        <f>M235+N235+O235+P235</f>
        <v>12162504</v>
      </c>
      <c r="R235" s="3">
        <v>4662504</v>
      </c>
      <c r="S235" s="5"/>
      <c r="T235" s="30">
        <v>7500000</v>
      </c>
      <c r="U235" s="5"/>
      <c r="V235" s="5"/>
      <c r="W235" s="28"/>
      <c r="X235" s="28">
        <f>N235-S235</f>
        <v>0</v>
      </c>
      <c r="Y235" s="28">
        <f>O235-T235</f>
        <v>0</v>
      </c>
      <c r="Z235" s="28">
        <f>P235-U235</f>
        <v>0</v>
      </c>
      <c r="AA235" s="4"/>
      <c r="AB235" s="4"/>
      <c r="AC235">
        <f>IF(AB235=G235,1,2)</f>
        <v>2</v>
      </c>
    </row>
    <row r="236" spans="1:30" customFormat="1" ht="31.2" hidden="1" x14ac:dyDescent="0.3">
      <c r="A236" s="7" t="s">
        <v>53</v>
      </c>
      <c r="B236" s="6">
        <v>31</v>
      </c>
      <c r="C236" s="7" t="s">
        <v>113</v>
      </c>
      <c r="D236" s="7" t="s">
        <v>113</v>
      </c>
      <c r="E236" s="5"/>
      <c r="F236" s="4"/>
      <c r="G236" s="7" t="s">
        <v>125</v>
      </c>
      <c r="H236" s="5"/>
      <c r="I236" s="5"/>
      <c r="J236" s="7" t="s">
        <v>126</v>
      </c>
      <c r="K236" s="7" t="s">
        <v>24</v>
      </c>
      <c r="L236" s="7" t="s">
        <v>127</v>
      </c>
      <c r="M236" s="109">
        <v>1731644540</v>
      </c>
      <c r="N236" s="111"/>
      <c r="O236" s="109">
        <v>15000000</v>
      </c>
      <c r="P236" s="110"/>
      <c r="Q236" s="109">
        <f>M236+N236+O236+P236</f>
        <v>1746644540</v>
      </c>
      <c r="R236" s="3">
        <v>1731644540</v>
      </c>
      <c r="S236" s="5"/>
      <c r="T236" s="30">
        <v>15000000</v>
      </c>
      <c r="U236" s="5"/>
      <c r="V236" s="5"/>
      <c r="W236" s="28"/>
      <c r="X236" s="28">
        <f>N236-S236</f>
        <v>0</v>
      </c>
      <c r="Y236" s="28">
        <f>O236-T236</f>
        <v>0</v>
      </c>
      <c r="Z236" s="28">
        <f>P236-U236</f>
        <v>0</v>
      </c>
      <c r="AA236" s="4"/>
      <c r="AB236" s="4"/>
      <c r="AC236">
        <f>IF(AB236=G236,1,2)</f>
        <v>2</v>
      </c>
    </row>
    <row r="237" spans="1:30" customFormat="1" ht="31.2" hidden="1" x14ac:dyDescent="0.3">
      <c r="A237" s="7" t="s">
        <v>46</v>
      </c>
      <c r="B237" s="6">
        <v>32</v>
      </c>
      <c r="C237" s="7" t="s">
        <v>113</v>
      </c>
      <c r="D237" s="7" t="s">
        <v>113</v>
      </c>
      <c r="E237" s="7"/>
      <c r="F237" s="4"/>
      <c r="G237" s="7" t="s">
        <v>128</v>
      </c>
      <c r="H237" s="7"/>
      <c r="I237" s="7"/>
      <c r="J237" s="7" t="s">
        <v>129</v>
      </c>
      <c r="K237" s="7" t="s">
        <v>24</v>
      </c>
      <c r="L237" s="7" t="s">
        <v>130</v>
      </c>
      <c r="M237" s="109">
        <v>0</v>
      </c>
      <c r="N237" s="111"/>
      <c r="O237" s="109">
        <v>7500000</v>
      </c>
      <c r="P237" s="110"/>
      <c r="Q237" s="109">
        <f>M237+N237+O237+P237</f>
        <v>7500000</v>
      </c>
      <c r="R237" s="6">
        <v>0</v>
      </c>
      <c r="S237" s="5"/>
      <c r="T237" s="72"/>
      <c r="U237" s="5"/>
      <c r="V237" s="5"/>
      <c r="W237" s="28"/>
      <c r="X237" s="28">
        <f>N237-S237</f>
        <v>0</v>
      </c>
      <c r="Y237" s="36">
        <f>O237-T237</f>
        <v>7500000</v>
      </c>
      <c r="Z237" s="28">
        <f>P237-U237</f>
        <v>0</v>
      </c>
      <c r="AA237" s="4"/>
      <c r="AB237" s="40"/>
      <c r="AC237" s="121">
        <f>IF(AB237=G237,1,2)</f>
        <v>2</v>
      </c>
      <c r="AD237" s="121"/>
    </row>
    <row r="238" spans="1:30" customFormat="1" ht="31.2" hidden="1" x14ac:dyDescent="0.3">
      <c r="A238" s="7" t="s">
        <v>26</v>
      </c>
      <c r="B238" s="6">
        <v>33</v>
      </c>
      <c r="C238" s="7" t="s">
        <v>113</v>
      </c>
      <c r="D238" s="7" t="s">
        <v>113</v>
      </c>
      <c r="E238" s="5"/>
      <c r="F238" s="4"/>
      <c r="G238" s="7" t="s">
        <v>131</v>
      </c>
      <c r="H238" s="5"/>
      <c r="I238" s="5"/>
      <c r="J238" s="7" t="s">
        <v>132</v>
      </c>
      <c r="K238" s="7" t="s">
        <v>24</v>
      </c>
      <c r="L238" s="7" t="s">
        <v>133</v>
      </c>
      <c r="M238" s="109">
        <v>0</v>
      </c>
      <c r="N238" s="111"/>
      <c r="O238" s="109">
        <v>7500000</v>
      </c>
      <c r="P238" s="110"/>
      <c r="Q238" s="109">
        <f>M238+N238+O238+P238</f>
        <v>7500000</v>
      </c>
      <c r="R238" s="6">
        <v>0</v>
      </c>
      <c r="S238" s="5"/>
      <c r="T238" s="30">
        <v>7500000</v>
      </c>
      <c r="U238" s="5"/>
      <c r="V238" s="5"/>
      <c r="W238" s="28"/>
      <c r="X238" s="28">
        <f>N238-S238</f>
        <v>0</v>
      </c>
      <c r="Y238" s="28">
        <f>O238-T238</f>
        <v>0</v>
      </c>
      <c r="Z238" s="28">
        <f>P238-U238</f>
        <v>0</v>
      </c>
      <c r="AA238" s="4"/>
      <c r="AB238" s="4"/>
      <c r="AC238">
        <f>IF(AB238=G238,1,2)</f>
        <v>2</v>
      </c>
    </row>
    <row r="239" spans="1:30" customFormat="1" ht="31.2" hidden="1" x14ac:dyDescent="0.3">
      <c r="A239" s="7" t="s">
        <v>62</v>
      </c>
      <c r="B239" s="6">
        <v>34</v>
      </c>
      <c r="C239" s="7" t="s">
        <v>113</v>
      </c>
      <c r="D239" s="7" t="s">
        <v>113</v>
      </c>
      <c r="E239" s="5"/>
      <c r="F239" s="4"/>
      <c r="G239" s="7" t="s">
        <v>134</v>
      </c>
      <c r="H239" s="5"/>
      <c r="I239" s="5"/>
      <c r="J239" s="7" t="s">
        <v>135</v>
      </c>
      <c r="K239" s="7" t="s">
        <v>24</v>
      </c>
      <c r="L239" s="7" t="s">
        <v>136</v>
      </c>
      <c r="M239" s="109">
        <v>772775010</v>
      </c>
      <c r="N239" s="111"/>
      <c r="O239" s="109">
        <v>7500000</v>
      </c>
      <c r="P239" s="110"/>
      <c r="Q239" s="109">
        <f>M239+N239+O239+P239</f>
        <v>780275010</v>
      </c>
      <c r="R239" s="3">
        <v>772775010</v>
      </c>
      <c r="S239" s="5"/>
      <c r="T239" s="30">
        <v>7500000</v>
      </c>
      <c r="U239" s="5"/>
      <c r="V239" s="5"/>
      <c r="W239" s="28"/>
      <c r="X239" s="28">
        <f>N239-S239</f>
        <v>0</v>
      </c>
      <c r="Y239" s="28">
        <f>O239-T239</f>
        <v>0</v>
      </c>
      <c r="Z239" s="28">
        <f>P239-U239</f>
        <v>0</v>
      </c>
      <c r="AA239" s="4"/>
      <c r="AB239" s="4"/>
      <c r="AC239">
        <f>IF(AB239=G239,1,2)</f>
        <v>2</v>
      </c>
    </row>
    <row r="240" spans="1:30" customFormat="1" ht="31.2" hidden="1" x14ac:dyDescent="0.3">
      <c r="A240" s="7" t="s">
        <v>62</v>
      </c>
      <c r="B240" s="6">
        <v>35</v>
      </c>
      <c r="C240" s="7" t="s">
        <v>113</v>
      </c>
      <c r="D240" s="7" t="s">
        <v>113</v>
      </c>
      <c r="E240" s="5"/>
      <c r="F240" s="4"/>
      <c r="G240" s="7" t="s">
        <v>137</v>
      </c>
      <c r="H240" s="5"/>
      <c r="I240" s="7" t="s">
        <v>138</v>
      </c>
      <c r="J240" s="7" t="s">
        <v>139</v>
      </c>
      <c r="K240" s="7" t="s">
        <v>24</v>
      </c>
      <c r="L240" s="7" t="s">
        <v>140</v>
      </c>
      <c r="M240" s="109">
        <v>5472774600</v>
      </c>
      <c r="N240" s="111"/>
      <c r="O240" s="109">
        <v>15000000</v>
      </c>
      <c r="P240" s="110"/>
      <c r="Q240" s="109">
        <f>M240+N240+O240+P240</f>
        <v>5487774600</v>
      </c>
      <c r="R240" s="3">
        <v>5472774600</v>
      </c>
      <c r="S240" s="5"/>
      <c r="T240" s="30">
        <v>15000000</v>
      </c>
      <c r="U240" s="5"/>
      <c r="V240" s="5"/>
      <c r="W240" s="28"/>
      <c r="X240" s="28">
        <f>N240-S240</f>
        <v>0</v>
      </c>
      <c r="Y240" s="28">
        <f>O240-T240</f>
        <v>0</v>
      </c>
      <c r="Z240" s="28">
        <f>P240-U240</f>
        <v>0</v>
      </c>
      <c r="AA240" s="4"/>
      <c r="AB240" s="4"/>
      <c r="AC240">
        <f>IF(AB240=G240,1,2)</f>
        <v>2</v>
      </c>
    </row>
    <row r="241" spans="1:30" customFormat="1" ht="31.2" hidden="1" x14ac:dyDescent="0.3">
      <c r="A241" s="7" t="s">
        <v>62</v>
      </c>
      <c r="B241" s="6">
        <v>36</v>
      </c>
      <c r="C241" s="7" t="s">
        <v>113</v>
      </c>
      <c r="D241" s="7" t="s">
        <v>113</v>
      </c>
      <c r="E241" s="5"/>
      <c r="F241" s="4"/>
      <c r="G241" s="7" t="s">
        <v>141</v>
      </c>
      <c r="H241" s="5"/>
      <c r="I241" s="5"/>
      <c r="J241" s="7" t="s">
        <v>142</v>
      </c>
      <c r="K241" s="7" t="s">
        <v>24</v>
      </c>
      <c r="L241" s="7" t="s">
        <v>143</v>
      </c>
      <c r="M241" s="109">
        <v>792875600</v>
      </c>
      <c r="N241" s="111"/>
      <c r="O241" s="109">
        <v>7500000</v>
      </c>
      <c r="P241" s="110"/>
      <c r="Q241" s="109">
        <f>M241+N241+O241+P241</f>
        <v>800375600</v>
      </c>
      <c r="R241" s="3">
        <v>792875600</v>
      </c>
      <c r="S241" s="5"/>
      <c r="T241" s="30">
        <v>7500000</v>
      </c>
      <c r="U241" s="5"/>
      <c r="V241" s="5"/>
      <c r="W241" s="28"/>
      <c r="X241" s="28">
        <f>N241-S241</f>
        <v>0</v>
      </c>
      <c r="Y241" s="28">
        <f>O241-T241</f>
        <v>0</v>
      </c>
      <c r="Z241" s="28">
        <f>P241-U241</f>
        <v>0</v>
      </c>
      <c r="AA241" s="4"/>
      <c r="AB241" s="4"/>
      <c r="AC241">
        <f>IF(AB241=G241,1,2)</f>
        <v>2</v>
      </c>
    </row>
    <row r="242" spans="1:30" customFormat="1" ht="31.2" hidden="1" x14ac:dyDescent="0.3">
      <c r="A242" s="7" t="s">
        <v>46</v>
      </c>
      <c r="B242" s="6">
        <v>37</v>
      </c>
      <c r="C242" s="7" t="s">
        <v>144</v>
      </c>
      <c r="D242" s="7" t="s">
        <v>144</v>
      </c>
      <c r="E242" s="5"/>
      <c r="F242" s="4"/>
      <c r="G242" s="7" t="s">
        <v>145</v>
      </c>
      <c r="H242" s="5"/>
      <c r="I242" s="5"/>
      <c r="J242" s="7" t="s">
        <v>146</v>
      </c>
      <c r="K242" s="7" t="s">
        <v>24</v>
      </c>
      <c r="L242" s="7" t="s">
        <v>147</v>
      </c>
      <c r="M242" s="109">
        <v>423059200</v>
      </c>
      <c r="N242" s="111"/>
      <c r="O242" s="109">
        <v>7500000</v>
      </c>
      <c r="P242" s="110"/>
      <c r="Q242" s="109">
        <f>M242+N242+O242+P242</f>
        <v>430559200</v>
      </c>
      <c r="R242" s="36">
        <v>423059200</v>
      </c>
      <c r="S242" s="5"/>
      <c r="T242" s="30">
        <v>7500000</v>
      </c>
      <c r="U242" s="5"/>
      <c r="V242" s="5"/>
      <c r="W242" s="28"/>
      <c r="X242" s="28">
        <f>N242-S242</f>
        <v>0</v>
      </c>
      <c r="Y242" s="28">
        <f>O242-T242</f>
        <v>0</v>
      </c>
      <c r="Z242" s="28">
        <f>P242-U242</f>
        <v>0</v>
      </c>
      <c r="AA242" s="4"/>
      <c r="AB242" s="4"/>
      <c r="AC242">
        <f>IF(AB242=G242,1,2)</f>
        <v>2</v>
      </c>
    </row>
    <row r="243" spans="1:30" customFormat="1" ht="31.2" hidden="1" x14ac:dyDescent="0.3">
      <c r="A243" s="7" t="s">
        <v>18</v>
      </c>
      <c r="B243" s="6">
        <v>38</v>
      </c>
      <c r="C243" s="7" t="s">
        <v>144</v>
      </c>
      <c r="D243" s="7" t="s">
        <v>144</v>
      </c>
      <c r="E243" s="5"/>
      <c r="F243" s="4"/>
      <c r="G243" s="7" t="s">
        <v>148</v>
      </c>
      <c r="H243" s="5"/>
      <c r="I243" s="5"/>
      <c r="J243" s="7" t="s">
        <v>149</v>
      </c>
      <c r="K243" s="7" t="s">
        <v>24</v>
      </c>
      <c r="L243" s="7" t="s">
        <v>150</v>
      </c>
      <c r="M243" s="109">
        <v>2853192406</v>
      </c>
      <c r="N243" s="111"/>
      <c r="O243" s="109">
        <v>7500000</v>
      </c>
      <c r="P243" s="110"/>
      <c r="Q243" s="109">
        <f>M243+N243+O243+P243</f>
        <v>2860692406</v>
      </c>
      <c r="R243" s="36">
        <v>2853192406</v>
      </c>
      <c r="S243" s="5"/>
      <c r="T243" s="30">
        <v>7500000</v>
      </c>
      <c r="U243" s="5"/>
      <c r="V243" s="5"/>
      <c r="W243" s="28"/>
      <c r="X243" s="28">
        <f>N243-S243</f>
        <v>0</v>
      </c>
      <c r="Y243" s="28">
        <f>O243-T243</f>
        <v>0</v>
      </c>
      <c r="Z243" s="28">
        <f>P243-U243</f>
        <v>0</v>
      </c>
      <c r="AA243" s="4"/>
      <c r="AB243" s="4"/>
      <c r="AC243">
        <f>IF(AB243=G243,1,2)</f>
        <v>2</v>
      </c>
    </row>
    <row r="244" spans="1:30" customFormat="1" ht="62.4" hidden="1" customHeight="1" x14ac:dyDescent="0.3">
      <c r="A244" s="7" t="s">
        <v>46</v>
      </c>
      <c r="B244" s="6">
        <v>39</v>
      </c>
      <c r="C244" s="7" t="s">
        <v>144</v>
      </c>
      <c r="D244" s="7" t="s">
        <v>144</v>
      </c>
      <c r="E244" s="5"/>
      <c r="F244" s="4"/>
      <c r="G244" s="7" t="s">
        <v>151</v>
      </c>
      <c r="H244" s="5"/>
      <c r="I244" s="5"/>
      <c r="J244" s="7" t="s">
        <v>152</v>
      </c>
      <c r="K244" s="7" t="s">
        <v>24</v>
      </c>
      <c r="L244" s="7" t="s">
        <v>153</v>
      </c>
      <c r="M244" s="109">
        <v>4069311354</v>
      </c>
      <c r="N244" s="111"/>
      <c r="O244" s="109">
        <v>15000000</v>
      </c>
      <c r="P244" s="110"/>
      <c r="Q244" s="109">
        <f>M244+N244+O244+P244</f>
        <v>4084311354</v>
      </c>
      <c r="R244" s="36">
        <v>4069311354</v>
      </c>
      <c r="S244" s="5"/>
      <c r="T244" s="30">
        <v>15000000</v>
      </c>
      <c r="U244" s="5"/>
      <c r="V244" s="5"/>
      <c r="W244" s="28"/>
      <c r="X244" s="28">
        <f>N244-S244</f>
        <v>0</v>
      </c>
      <c r="Y244" s="28">
        <f>O244-T244</f>
        <v>0</v>
      </c>
      <c r="Z244" s="28">
        <f>P244-U244</f>
        <v>0</v>
      </c>
      <c r="AA244" s="4"/>
      <c r="AB244" s="4"/>
      <c r="AC244">
        <f>IF(AB244=G244,1,2)</f>
        <v>2</v>
      </c>
    </row>
    <row r="245" spans="1:30" customFormat="1" ht="31.2" hidden="1" x14ac:dyDescent="0.3">
      <c r="A245" s="7" t="s">
        <v>18</v>
      </c>
      <c r="B245" s="6">
        <v>41</v>
      </c>
      <c r="C245" s="7" t="s">
        <v>144</v>
      </c>
      <c r="D245" s="7" t="s">
        <v>144</v>
      </c>
      <c r="E245" s="7" t="s">
        <v>158</v>
      </c>
      <c r="F245" s="4"/>
      <c r="G245" s="7" t="s">
        <v>159</v>
      </c>
      <c r="H245" s="7" t="s">
        <v>160</v>
      </c>
      <c r="I245" s="7"/>
      <c r="J245" s="7" t="s">
        <v>161</v>
      </c>
      <c r="K245" s="7" t="s">
        <v>24</v>
      </c>
      <c r="L245" s="7" t="s">
        <v>162</v>
      </c>
      <c r="M245" s="109">
        <v>273809190</v>
      </c>
      <c r="N245" s="109">
        <v>25360128</v>
      </c>
      <c r="O245" s="109">
        <v>7500000</v>
      </c>
      <c r="P245" s="110"/>
      <c r="Q245" s="109">
        <f>M245+N245+O245+P245</f>
        <v>306669318</v>
      </c>
      <c r="R245" s="36">
        <v>273809190</v>
      </c>
      <c r="S245" s="7"/>
      <c r="T245" s="72"/>
      <c r="U245" s="5"/>
      <c r="V245" s="5"/>
      <c r="W245" s="28"/>
      <c r="X245" s="36">
        <f>N245-S245</f>
        <v>25360128</v>
      </c>
      <c r="Y245" s="36">
        <f>O245-T245</f>
        <v>7500000</v>
      </c>
      <c r="Z245" s="28">
        <f>P245-U245</f>
        <v>0</v>
      </c>
      <c r="AA245" s="40"/>
      <c r="AB245" s="40"/>
      <c r="AC245" s="121">
        <f>IF(AB245=G245,1,2)</f>
        <v>2</v>
      </c>
      <c r="AD245" s="121"/>
    </row>
    <row r="246" spans="1:30" customFormat="1" ht="31.2" hidden="1" x14ac:dyDescent="0.3">
      <c r="A246" s="7" t="s">
        <v>62</v>
      </c>
      <c r="B246" s="6">
        <v>42</v>
      </c>
      <c r="C246" s="7" t="s">
        <v>144</v>
      </c>
      <c r="D246" s="7" t="s">
        <v>144</v>
      </c>
      <c r="E246" s="5"/>
      <c r="F246" s="4"/>
      <c r="G246" s="7" t="s">
        <v>163</v>
      </c>
      <c r="H246" s="5"/>
      <c r="I246" s="5"/>
      <c r="J246" s="7" t="s">
        <v>164</v>
      </c>
      <c r="K246" s="7" t="s">
        <v>24</v>
      </c>
      <c r="L246" s="7" t="s">
        <v>165</v>
      </c>
      <c r="M246" s="109">
        <v>0</v>
      </c>
      <c r="N246" s="111"/>
      <c r="O246" s="109">
        <v>7500000</v>
      </c>
      <c r="P246" s="110"/>
      <c r="Q246" s="109">
        <f>M246+N246+O246+P246</f>
        <v>7500000</v>
      </c>
      <c r="R246" s="6">
        <v>0</v>
      </c>
      <c r="S246" s="5"/>
      <c r="T246" s="30">
        <v>7500000</v>
      </c>
      <c r="U246" s="5"/>
      <c r="V246" s="5"/>
      <c r="W246" s="28"/>
      <c r="X246" s="28">
        <f>N246-S246</f>
        <v>0</v>
      </c>
      <c r="Y246" s="28">
        <f>O246-T246</f>
        <v>0</v>
      </c>
      <c r="Z246" s="28">
        <f>P246-U246</f>
        <v>0</v>
      </c>
      <c r="AA246" s="4"/>
      <c r="AB246" s="4"/>
      <c r="AC246">
        <f>IF(AB246=G246,1,2)</f>
        <v>2</v>
      </c>
    </row>
    <row r="247" spans="1:30" customFormat="1" ht="31.2" hidden="1" x14ac:dyDescent="0.3">
      <c r="A247" s="7" t="s">
        <v>53</v>
      </c>
      <c r="B247" s="6">
        <v>43</v>
      </c>
      <c r="C247" s="7" t="s">
        <v>144</v>
      </c>
      <c r="D247" s="7" t="s">
        <v>144</v>
      </c>
      <c r="E247" s="7" t="s">
        <v>158</v>
      </c>
      <c r="F247" s="4"/>
      <c r="G247" s="7" t="s">
        <v>166</v>
      </c>
      <c r="H247" s="7" t="s">
        <v>167</v>
      </c>
      <c r="I247" s="5"/>
      <c r="J247" s="7" t="s">
        <v>168</v>
      </c>
      <c r="K247" s="7" t="s">
        <v>24</v>
      </c>
      <c r="L247" s="7" t="s">
        <v>169</v>
      </c>
      <c r="M247" s="109">
        <v>1937908151</v>
      </c>
      <c r="N247" s="109">
        <v>423068659</v>
      </c>
      <c r="O247" s="109">
        <v>7500000</v>
      </c>
      <c r="P247" s="110"/>
      <c r="Q247" s="109">
        <f>M247+N247+O247+P247</f>
        <v>2368476810</v>
      </c>
      <c r="R247" s="36">
        <v>1937908151</v>
      </c>
      <c r="S247" s="3">
        <v>423068659</v>
      </c>
      <c r="T247" s="30">
        <v>7500000</v>
      </c>
      <c r="U247" s="5"/>
      <c r="V247" s="5"/>
      <c r="W247" s="28"/>
      <c r="X247" s="28">
        <f>N247-S247</f>
        <v>0</v>
      </c>
      <c r="Y247" s="28">
        <f>O247-T247</f>
        <v>0</v>
      </c>
      <c r="Z247" s="28">
        <f>P247-U247</f>
        <v>0</v>
      </c>
      <c r="AA247" s="4"/>
      <c r="AB247" s="4"/>
      <c r="AC247">
        <f>IF(AB247=G247,1,2)</f>
        <v>2</v>
      </c>
    </row>
    <row r="248" spans="1:30" customFormat="1" ht="78" hidden="1" x14ac:dyDescent="0.3">
      <c r="A248" s="7" t="s">
        <v>46</v>
      </c>
      <c r="B248" s="6">
        <v>44</v>
      </c>
      <c r="C248" s="7" t="s">
        <v>144</v>
      </c>
      <c r="D248" s="7" t="s">
        <v>170</v>
      </c>
      <c r="E248" s="5"/>
      <c r="F248" s="4"/>
      <c r="G248" s="7" t="s">
        <v>171</v>
      </c>
      <c r="H248" s="5"/>
      <c r="I248" s="7" t="s">
        <v>28</v>
      </c>
      <c r="J248" s="7" t="s">
        <v>172</v>
      </c>
      <c r="K248" s="7" t="s">
        <v>24</v>
      </c>
      <c r="L248" s="7" t="s">
        <v>173</v>
      </c>
      <c r="M248" s="109">
        <v>2962663956</v>
      </c>
      <c r="N248" s="111"/>
      <c r="O248" s="109">
        <v>7500000</v>
      </c>
      <c r="P248" s="110"/>
      <c r="Q248" s="109">
        <f>M248+N248+O248+P248</f>
        <v>2970163956</v>
      </c>
      <c r="R248" s="36">
        <v>2962663956</v>
      </c>
      <c r="S248" s="5"/>
      <c r="T248" s="30">
        <v>7500000</v>
      </c>
      <c r="U248" s="5"/>
      <c r="V248" s="5"/>
      <c r="W248" s="28"/>
      <c r="X248" s="28">
        <f>N248-S248</f>
        <v>0</v>
      </c>
      <c r="Y248" s="28">
        <f>O248-T248</f>
        <v>0</v>
      </c>
      <c r="Z248" s="28">
        <f>P248-U248</f>
        <v>0</v>
      </c>
      <c r="AA248" s="4"/>
      <c r="AB248" s="4"/>
      <c r="AC248">
        <f>IF(AB248=G248,1,2)</f>
        <v>2</v>
      </c>
    </row>
    <row r="249" spans="1:30" customFormat="1" ht="31.2" hidden="1" x14ac:dyDescent="0.3">
      <c r="A249" s="7" t="s">
        <v>62</v>
      </c>
      <c r="B249" s="6">
        <v>45</v>
      </c>
      <c r="C249" s="7" t="s">
        <v>144</v>
      </c>
      <c r="D249" s="7" t="s">
        <v>144</v>
      </c>
      <c r="E249" s="5"/>
      <c r="F249" s="4"/>
      <c r="G249" s="7" t="s">
        <v>174</v>
      </c>
      <c r="H249" s="5"/>
      <c r="I249" s="5"/>
      <c r="J249" s="7" t="s">
        <v>175</v>
      </c>
      <c r="K249" s="7" t="s">
        <v>24</v>
      </c>
      <c r="L249" s="7" t="s">
        <v>176</v>
      </c>
      <c r="M249" s="109">
        <v>2457405327</v>
      </c>
      <c r="N249" s="111"/>
      <c r="O249" s="109">
        <v>15000000</v>
      </c>
      <c r="P249" s="110"/>
      <c r="Q249" s="109">
        <f>M249+N249+O249+P249</f>
        <v>2472405327</v>
      </c>
      <c r="R249" s="36">
        <v>2457405327</v>
      </c>
      <c r="S249" s="5"/>
      <c r="T249" s="30">
        <v>15000000</v>
      </c>
      <c r="U249" s="5"/>
      <c r="V249" s="5"/>
      <c r="W249" s="28"/>
      <c r="X249" s="28">
        <f>N249-S249</f>
        <v>0</v>
      </c>
      <c r="Y249" s="28">
        <f>O249-T249</f>
        <v>0</v>
      </c>
      <c r="Z249" s="28">
        <f>P249-U249</f>
        <v>0</v>
      </c>
      <c r="AA249" s="4"/>
      <c r="AB249" s="4"/>
      <c r="AC249">
        <f>IF(AB249=G249,1,2)</f>
        <v>2</v>
      </c>
    </row>
    <row r="250" spans="1:30" customFormat="1" ht="31.2" hidden="1" x14ac:dyDescent="0.3">
      <c r="A250" s="7" t="s">
        <v>46</v>
      </c>
      <c r="B250" s="6">
        <v>46</v>
      </c>
      <c r="C250" s="7" t="s">
        <v>144</v>
      </c>
      <c r="D250" s="7" t="s">
        <v>144</v>
      </c>
      <c r="E250" s="7" t="s">
        <v>177</v>
      </c>
      <c r="F250" s="4"/>
      <c r="G250" s="7" t="s">
        <v>178</v>
      </c>
      <c r="H250" s="7" t="s">
        <v>179</v>
      </c>
      <c r="I250" s="5"/>
      <c r="J250" s="7" t="s">
        <v>180</v>
      </c>
      <c r="K250" s="7" t="s">
        <v>24</v>
      </c>
      <c r="L250" s="7" t="s">
        <v>181</v>
      </c>
      <c r="M250" s="109">
        <v>2149999856</v>
      </c>
      <c r="N250" s="109">
        <v>166472064</v>
      </c>
      <c r="O250" s="109">
        <v>7500000</v>
      </c>
      <c r="P250" s="110"/>
      <c r="Q250" s="109">
        <f>M250+N250+O250+P250</f>
        <v>2323971920</v>
      </c>
      <c r="R250" s="36">
        <v>2149999856</v>
      </c>
      <c r="S250" s="3">
        <v>166472064</v>
      </c>
      <c r="T250" s="30">
        <v>7500000</v>
      </c>
      <c r="U250" s="5"/>
      <c r="V250" s="5"/>
      <c r="W250" s="28"/>
      <c r="X250" s="28">
        <f>N250-S250</f>
        <v>0</v>
      </c>
      <c r="Y250" s="28">
        <f>O250-T250</f>
        <v>0</v>
      </c>
      <c r="Z250" s="28">
        <f>P250-U250</f>
        <v>0</v>
      </c>
      <c r="AA250" s="4"/>
      <c r="AB250" s="4"/>
      <c r="AC250">
        <f>IF(AB250=G250,1,2)</f>
        <v>2</v>
      </c>
    </row>
    <row r="251" spans="1:30" customFormat="1" ht="31.2" hidden="1" x14ac:dyDescent="0.3">
      <c r="A251" s="7" t="s">
        <v>46</v>
      </c>
      <c r="B251" s="6">
        <v>48</v>
      </c>
      <c r="C251" s="7" t="s">
        <v>144</v>
      </c>
      <c r="D251" s="7" t="s">
        <v>144</v>
      </c>
      <c r="E251" s="7" t="s">
        <v>187</v>
      </c>
      <c r="F251" s="4"/>
      <c r="G251" s="7" t="s">
        <v>188</v>
      </c>
      <c r="H251" s="7" t="s">
        <v>189</v>
      </c>
      <c r="I251" s="7" t="s">
        <v>190</v>
      </c>
      <c r="J251" s="7" t="s">
        <v>191</v>
      </c>
      <c r="K251" s="7" t="s">
        <v>24</v>
      </c>
      <c r="L251" s="7" t="s">
        <v>192</v>
      </c>
      <c r="M251" s="109">
        <v>1487841100</v>
      </c>
      <c r="N251" s="109">
        <v>327633600</v>
      </c>
      <c r="O251" s="109">
        <v>15000000</v>
      </c>
      <c r="P251" s="110"/>
      <c r="Q251" s="109">
        <f>M251+N251+O251+P251</f>
        <v>1830474700</v>
      </c>
      <c r="R251" s="36">
        <v>1487841100</v>
      </c>
      <c r="S251" s="28">
        <v>327633600</v>
      </c>
      <c r="T251" s="30">
        <v>15000000</v>
      </c>
      <c r="U251" s="5"/>
      <c r="V251" s="5"/>
      <c r="W251" s="28"/>
      <c r="X251" s="28">
        <f>N251-S251</f>
        <v>0</v>
      </c>
      <c r="Y251" s="28">
        <f>O251-T251</f>
        <v>0</v>
      </c>
      <c r="Z251" s="28">
        <f>P251-U251</f>
        <v>0</v>
      </c>
      <c r="AA251" s="4"/>
      <c r="AB251" s="4"/>
      <c r="AC251">
        <f>IF(AB251=G251,1,2)</f>
        <v>2</v>
      </c>
    </row>
    <row r="252" spans="1:30" customFormat="1" ht="31.2" hidden="1" x14ac:dyDescent="0.3">
      <c r="A252" s="7" t="s">
        <v>18</v>
      </c>
      <c r="B252" s="6">
        <v>49</v>
      </c>
      <c r="C252" s="7" t="s">
        <v>144</v>
      </c>
      <c r="D252" s="7" t="s">
        <v>144</v>
      </c>
      <c r="E252" s="5"/>
      <c r="F252" s="4"/>
      <c r="G252" s="7" t="s">
        <v>193</v>
      </c>
      <c r="H252" s="5"/>
      <c r="I252" s="5"/>
      <c r="J252" s="7" t="s">
        <v>194</v>
      </c>
      <c r="K252" s="7" t="s">
        <v>24</v>
      </c>
      <c r="L252" s="7" t="s">
        <v>195</v>
      </c>
      <c r="M252" s="109">
        <v>555745056</v>
      </c>
      <c r="N252" s="111"/>
      <c r="O252" s="109">
        <v>7500000</v>
      </c>
      <c r="P252" s="110"/>
      <c r="Q252" s="109">
        <f>M252+N252+O252+P252</f>
        <v>563245056</v>
      </c>
      <c r="R252" s="36">
        <v>555745056</v>
      </c>
      <c r="S252" s="5"/>
      <c r="T252" s="30">
        <v>7500000</v>
      </c>
      <c r="U252" s="5"/>
      <c r="V252" s="5"/>
      <c r="W252" s="28"/>
      <c r="X252" s="28">
        <f>N252-S252</f>
        <v>0</v>
      </c>
      <c r="Y252" s="28">
        <f>O252-T252</f>
        <v>0</v>
      </c>
      <c r="Z252" s="28">
        <f>P252-U252</f>
        <v>0</v>
      </c>
      <c r="AA252" s="4"/>
      <c r="AB252" s="4"/>
      <c r="AC252">
        <f>IF(AB252=G252,1,2)</f>
        <v>2</v>
      </c>
    </row>
    <row r="253" spans="1:30" customFormat="1" ht="62.4" hidden="1" customHeight="1" x14ac:dyDescent="0.3">
      <c r="A253" s="7" t="s">
        <v>53</v>
      </c>
      <c r="B253" s="6">
        <v>50</v>
      </c>
      <c r="C253" s="7" t="s">
        <v>144</v>
      </c>
      <c r="D253" s="7" t="s">
        <v>144</v>
      </c>
      <c r="E253" s="5"/>
      <c r="F253" s="4"/>
      <c r="G253" s="7" t="s">
        <v>196</v>
      </c>
      <c r="H253" s="5"/>
      <c r="I253" s="5"/>
      <c r="J253" s="7" t="s">
        <v>197</v>
      </c>
      <c r="K253" s="7" t="s">
        <v>24</v>
      </c>
      <c r="L253" s="7" t="s">
        <v>109</v>
      </c>
      <c r="M253" s="109">
        <v>10000000</v>
      </c>
      <c r="N253" s="111"/>
      <c r="O253" s="109">
        <v>15000000</v>
      </c>
      <c r="P253" s="110"/>
      <c r="Q253" s="109">
        <f>M253+N253+O253+P253</f>
        <v>25000000</v>
      </c>
      <c r="R253" s="36">
        <v>10000000</v>
      </c>
      <c r="S253" s="5"/>
      <c r="T253" s="30">
        <v>15000000</v>
      </c>
      <c r="U253" s="5"/>
      <c r="V253" s="5"/>
      <c r="W253" s="28"/>
      <c r="X253" s="28">
        <f>N253-S253</f>
        <v>0</v>
      </c>
      <c r="Y253" s="28">
        <f>O253-T253</f>
        <v>0</v>
      </c>
      <c r="Z253" s="28">
        <f>P253-U253</f>
        <v>0</v>
      </c>
      <c r="AA253" s="4"/>
      <c r="AB253" s="4"/>
      <c r="AC253">
        <f>IF(AB253=G253,1,2)</f>
        <v>2</v>
      </c>
    </row>
    <row r="254" spans="1:30" customFormat="1" ht="31.2" hidden="1" x14ac:dyDescent="0.3">
      <c r="A254" s="7" t="s">
        <v>53</v>
      </c>
      <c r="B254" s="6">
        <v>51</v>
      </c>
      <c r="C254" s="7" t="s">
        <v>144</v>
      </c>
      <c r="D254" s="7" t="s">
        <v>144</v>
      </c>
      <c r="E254" s="5"/>
      <c r="F254" s="4"/>
      <c r="G254" s="7" t="s">
        <v>198</v>
      </c>
      <c r="H254" s="5"/>
      <c r="I254" s="7" t="s">
        <v>199</v>
      </c>
      <c r="J254" s="7" t="s">
        <v>200</v>
      </c>
      <c r="K254" s="7" t="s">
        <v>24</v>
      </c>
      <c r="L254" s="7" t="s">
        <v>201</v>
      </c>
      <c r="M254" s="109">
        <v>3606786776</v>
      </c>
      <c r="N254" s="111"/>
      <c r="O254" s="109">
        <v>15000000</v>
      </c>
      <c r="P254" s="110"/>
      <c r="Q254" s="109">
        <f>M254+N254+O254+P254</f>
        <v>3621786776</v>
      </c>
      <c r="R254" s="36">
        <v>3606786776</v>
      </c>
      <c r="S254" s="5"/>
      <c r="T254" s="30">
        <v>15000000</v>
      </c>
      <c r="U254" s="5"/>
      <c r="V254" s="5"/>
      <c r="W254" s="28"/>
      <c r="X254" s="28">
        <f>N254-S254</f>
        <v>0</v>
      </c>
      <c r="Y254" s="28">
        <f>O254-T254</f>
        <v>0</v>
      </c>
      <c r="Z254" s="28">
        <f>P254-U254</f>
        <v>0</v>
      </c>
      <c r="AA254" s="4"/>
      <c r="AB254" s="4"/>
      <c r="AC254">
        <f>IF(AB254=G254,1,2)</f>
        <v>2</v>
      </c>
    </row>
    <row r="255" spans="1:30" customFormat="1" ht="31.2" hidden="1" x14ac:dyDescent="0.3">
      <c r="A255" s="7" t="s">
        <v>53</v>
      </c>
      <c r="B255" s="6">
        <v>52</v>
      </c>
      <c r="C255" s="7" t="s">
        <v>144</v>
      </c>
      <c r="D255" s="7" t="s">
        <v>144</v>
      </c>
      <c r="E255" s="7" t="s">
        <v>3886</v>
      </c>
      <c r="F255" s="4"/>
      <c r="G255" s="7" t="s">
        <v>202</v>
      </c>
      <c r="H255" s="7" t="s">
        <v>3898</v>
      </c>
      <c r="I255" s="5"/>
      <c r="J255" s="7" t="s">
        <v>203</v>
      </c>
      <c r="K255" s="7" t="s">
        <v>24</v>
      </c>
      <c r="L255" s="7" t="s">
        <v>204</v>
      </c>
      <c r="M255" s="109">
        <v>355657340</v>
      </c>
      <c r="N255" s="74">
        <v>80851500</v>
      </c>
      <c r="O255" s="109">
        <v>7500000</v>
      </c>
      <c r="P255" s="110"/>
      <c r="Q255" s="109">
        <f>M255+N255+O255+P255</f>
        <v>444008840</v>
      </c>
      <c r="R255" s="36">
        <v>355657340</v>
      </c>
      <c r="S255" s="7"/>
      <c r="T255" s="30">
        <v>7500000</v>
      </c>
      <c r="U255" s="5"/>
      <c r="V255" s="5"/>
      <c r="W255" s="28"/>
      <c r="X255" s="36">
        <f>N255-S255</f>
        <v>80851500</v>
      </c>
      <c r="Y255" s="28">
        <f>O255-T255</f>
        <v>0</v>
      </c>
      <c r="Z255" s="28">
        <f>P255-U255</f>
        <v>0</v>
      </c>
      <c r="AA255" s="40"/>
      <c r="AB255" s="40"/>
      <c r="AC255" s="61">
        <f>IF(AB255=G255,1,2)</f>
        <v>2</v>
      </c>
      <c r="AD255" s="61"/>
    </row>
    <row r="256" spans="1:30" customFormat="1" ht="31.2" hidden="1" x14ac:dyDescent="0.3">
      <c r="A256" s="7" t="s">
        <v>62</v>
      </c>
      <c r="B256" s="6">
        <v>53</v>
      </c>
      <c r="C256" s="7" t="s">
        <v>205</v>
      </c>
      <c r="D256" s="7" t="s">
        <v>205</v>
      </c>
      <c r="E256" s="5"/>
      <c r="F256" s="4"/>
      <c r="G256" s="7" t="s">
        <v>206</v>
      </c>
      <c r="H256" s="5"/>
      <c r="I256" s="5"/>
      <c r="J256" s="7" t="s">
        <v>207</v>
      </c>
      <c r="K256" s="7" t="s">
        <v>24</v>
      </c>
      <c r="L256" s="7" t="s">
        <v>208</v>
      </c>
      <c r="M256" s="109">
        <v>7557570900</v>
      </c>
      <c r="N256" s="111"/>
      <c r="O256" s="109">
        <v>7500000</v>
      </c>
      <c r="P256" s="110"/>
      <c r="Q256" s="109">
        <f>M256+N256+O256+P256</f>
        <v>7565070900</v>
      </c>
      <c r="R256" s="36">
        <v>7557570900</v>
      </c>
      <c r="S256" s="5"/>
      <c r="T256" s="30">
        <v>7500000</v>
      </c>
      <c r="U256" s="5"/>
      <c r="V256" s="5"/>
      <c r="W256" s="28"/>
      <c r="X256" s="28">
        <f>N256-S256</f>
        <v>0</v>
      </c>
      <c r="Y256" s="28">
        <f>O256-T256</f>
        <v>0</v>
      </c>
      <c r="Z256" s="28">
        <f>P256-U256</f>
        <v>0</v>
      </c>
      <c r="AA256" s="4"/>
      <c r="AB256" s="4"/>
      <c r="AC256">
        <f>IF(AB256=G256,1,2)</f>
        <v>2</v>
      </c>
    </row>
    <row r="257" spans="1:30" customFormat="1" ht="31.2" hidden="1" x14ac:dyDescent="0.3">
      <c r="A257" s="7" t="s">
        <v>46</v>
      </c>
      <c r="B257" s="6">
        <v>54</v>
      </c>
      <c r="C257" s="7" t="s">
        <v>205</v>
      </c>
      <c r="D257" s="7" t="s">
        <v>205</v>
      </c>
      <c r="E257" s="5"/>
      <c r="F257" s="4"/>
      <c r="G257" s="7" t="s">
        <v>209</v>
      </c>
      <c r="H257" s="5"/>
      <c r="I257" s="5"/>
      <c r="J257" s="7" t="s">
        <v>210</v>
      </c>
      <c r="K257" s="7" t="s">
        <v>24</v>
      </c>
      <c r="L257" s="7" t="s">
        <v>211</v>
      </c>
      <c r="M257" s="109">
        <v>0</v>
      </c>
      <c r="N257" s="111"/>
      <c r="O257" s="109">
        <v>7500000</v>
      </c>
      <c r="P257" s="110"/>
      <c r="Q257" s="109">
        <f>M257+N257+O257+P257</f>
        <v>7500000</v>
      </c>
      <c r="R257" s="6">
        <v>0</v>
      </c>
      <c r="S257" s="5"/>
      <c r="T257" s="30">
        <v>7500000</v>
      </c>
      <c r="U257" s="5"/>
      <c r="V257" s="5"/>
      <c r="W257" s="28"/>
      <c r="X257" s="28">
        <f>N257-S257</f>
        <v>0</v>
      </c>
      <c r="Y257" s="28">
        <f>O257-T257</f>
        <v>0</v>
      </c>
      <c r="Z257" s="28">
        <f>P257-U257</f>
        <v>0</v>
      </c>
      <c r="AA257" s="4"/>
      <c r="AB257" s="4"/>
      <c r="AC257">
        <f>IF(AB257=G257,1,2)</f>
        <v>2</v>
      </c>
    </row>
    <row r="258" spans="1:30" customFormat="1" ht="31.2" hidden="1" x14ac:dyDescent="0.3">
      <c r="A258" s="7" t="s">
        <v>46</v>
      </c>
      <c r="B258" s="6">
        <v>55</v>
      </c>
      <c r="C258" s="7" t="s">
        <v>205</v>
      </c>
      <c r="D258" s="7" t="s">
        <v>205</v>
      </c>
      <c r="E258" s="7" t="s">
        <v>212</v>
      </c>
      <c r="F258" s="4"/>
      <c r="G258" s="7" t="s">
        <v>213</v>
      </c>
      <c r="H258" s="7" t="s">
        <v>214</v>
      </c>
      <c r="I258" s="5"/>
      <c r="J258" s="7" t="s">
        <v>215</v>
      </c>
      <c r="K258" s="7" t="s">
        <v>24</v>
      </c>
      <c r="L258" s="7" t="s">
        <v>216</v>
      </c>
      <c r="M258" s="109">
        <v>9203203092</v>
      </c>
      <c r="N258" s="109">
        <v>177091834</v>
      </c>
      <c r="O258" s="109">
        <v>15000000</v>
      </c>
      <c r="P258" s="110"/>
      <c r="Q258" s="109">
        <f>M258+N258+O258+P258</f>
        <v>9395294926</v>
      </c>
      <c r="R258" s="36">
        <v>9203203092</v>
      </c>
      <c r="S258" s="3">
        <v>177091834</v>
      </c>
      <c r="T258" s="30">
        <v>15000000</v>
      </c>
      <c r="U258" s="5"/>
      <c r="V258" s="5"/>
      <c r="W258" s="28"/>
      <c r="X258" s="28">
        <f>N258-S258</f>
        <v>0</v>
      </c>
      <c r="Y258" s="28">
        <f>O258-T258</f>
        <v>0</v>
      </c>
      <c r="Z258" s="28">
        <f>P258-U258</f>
        <v>0</v>
      </c>
      <c r="AA258" s="4"/>
      <c r="AB258" s="4"/>
      <c r="AC258">
        <f>IF(AB258=G258,1,2)</f>
        <v>2</v>
      </c>
    </row>
    <row r="259" spans="1:30" customFormat="1" ht="31.2" hidden="1" x14ac:dyDescent="0.3">
      <c r="A259" s="7" t="s">
        <v>62</v>
      </c>
      <c r="B259" s="6">
        <v>56</v>
      </c>
      <c r="C259" s="7" t="s">
        <v>205</v>
      </c>
      <c r="D259" s="7" t="s">
        <v>205</v>
      </c>
      <c r="E259" s="7"/>
      <c r="F259" s="4"/>
      <c r="G259" s="7" t="s">
        <v>217</v>
      </c>
      <c r="H259" s="7"/>
      <c r="I259" s="7"/>
      <c r="J259" s="7" t="s">
        <v>218</v>
      </c>
      <c r="K259" s="7" t="s">
        <v>24</v>
      </c>
      <c r="L259" s="7" t="s">
        <v>219</v>
      </c>
      <c r="M259" s="109">
        <v>436279800</v>
      </c>
      <c r="N259" s="111"/>
      <c r="O259" s="109">
        <v>7500000</v>
      </c>
      <c r="P259" s="110"/>
      <c r="Q259" s="109">
        <f>M259+N259+O259+P259</f>
        <v>443779800</v>
      </c>
      <c r="R259" s="36">
        <v>436279800</v>
      </c>
      <c r="S259" s="5"/>
      <c r="T259" s="72"/>
      <c r="U259" s="5"/>
      <c r="V259" s="5"/>
      <c r="W259" s="28"/>
      <c r="X259" s="28">
        <f>N259-S259</f>
        <v>0</v>
      </c>
      <c r="Y259" s="36">
        <f>O259-T259</f>
        <v>7500000</v>
      </c>
      <c r="Z259" s="28">
        <f>P259-U259</f>
        <v>0</v>
      </c>
      <c r="AA259" s="4"/>
      <c r="AB259" s="40"/>
      <c r="AC259" s="121">
        <f>IF(AB259=G259,1,2)</f>
        <v>2</v>
      </c>
      <c r="AD259" s="121"/>
    </row>
    <row r="260" spans="1:30" customFormat="1" ht="31.2" hidden="1" x14ac:dyDescent="0.3">
      <c r="A260" s="7" t="s">
        <v>18</v>
      </c>
      <c r="B260" s="6">
        <v>57</v>
      </c>
      <c r="C260" s="7" t="s">
        <v>205</v>
      </c>
      <c r="D260" s="7" t="s">
        <v>205</v>
      </c>
      <c r="E260" s="5"/>
      <c r="F260" s="4"/>
      <c r="G260" s="7" t="s">
        <v>220</v>
      </c>
      <c r="H260" s="5"/>
      <c r="I260" s="5"/>
      <c r="J260" s="7" t="s">
        <v>221</v>
      </c>
      <c r="K260" s="7" t="s">
        <v>24</v>
      </c>
      <c r="L260" s="7" t="s">
        <v>222</v>
      </c>
      <c r="M260" s="109">
        <v>343735600</v>
      </c>
      <c r="N260" s="111"/>
      <c r="O260" s="109">
        <v>7500000</v>
      </c>
      <c r="P260" s="110"/>
      <c r="Q260" s="109">
        <f>M260+N260+O260+P260</f>
        <v>351235600</v>
      </c>
      <c r="R260" s="36">
        <v>343735600</v>
      </c>
      <c r="S260" s="5"/>
      <c r="T260" s="30">
        <v>7500000</v>
      </c>
      <c r="U260" s="5"/>
      <c r="V260" s="5"/>
      <c r="W260" s="28"/>
      <c r="X260" s="28">
        <f>N260-S260</f>
        <v>0</v>
      </c>
      <c r="Y260" s="28">
        <f>O260-T260</f>
        <v>0</v>
      </c>
      <c r="Z260" s="28">
        <f>P260-U260</f>
        <v>0</v>
      </c>
      <c r="AA260" s="4"/>
      <c r="AB260" s="4"/>
      <c r="AC260">
        <f>IF(AB260=G260,1,2)</f>
        <v>2</v>
      </c>
    </row>
    <row r="261" spans="1:30" customFormat="1" ht="31.2" hidden="1" x14ac:dyDescent="0.3">
      <c r="A261" s="7" t="s">
        <v>53</v>
      </c>
      <c r="B261" s="6">
        <v>58</v>
      </c>
      <c r="C261" s="7" t="s">
        <v>205</v>
      </c>
      <c r="D261" s="7" t="s">
        <v>205</v>
      </c>
      <c r="E261" s="5"/>
      <c r="F261" s="4"/>
      <c r="G261" s="7" t="s">
        <v>223</v>
      </c>
      <c r="H261" s="5"/>
      <c r="I261" s="5"/>
      <c r="J261" s="7" t="s">
        <v>224</v>
      </c>
      <c r="K261" s="7" t="s">
        <v>24</v>
      </c>
      <c r="L261" s="7" t="s">
        <v>225</v>
      </c>
      <c r="M261" s="109">
        <v>102008431</v>
      </c>
      <c r="N261" s="111"/>
      <c r="O261" s="109">
        <v>7500000</v>
      </c>
      <c r="P261" s="110"/>
      <c r="Q261" s="109">
        <f>M261+N261+O261+P261</f>
        <v>109508431</v>
      </c>
      <c r="R261" s="36">
        <v>102008431</v>
      </c>
      <c r="S261" s="5"/>
      <c r="T261" s="30">
        <v>7500000</v>
      </c>
      <c r="U261" s="5"/>
      <c r="V261" s="5"/>
      <c r="W261" s="28"/>
      <c r="X261" s="28">
        <f>N261-S261</f>
        <v>0</v>
      </c>
      <c r="Y261" s="28">
        <f>O261-T261</f>
        <v>0</v>
      </c>
      <c r="Z261" s="28">
        <f>P261-U261</f>
        <v>0</v>
      </c>
      <c r="AA261" s="4"/>
      <c r="AB261" s="4"/>
      <c r="AC261">
        <f>IF(AB261=G261,1,2)</f>
        <v>2</v>
      </c>
    </row>
    <row r="262" spans="1:30" customFormat="1" ht="31.2" hidden="1" x14ac:dyDescent="0.3">
      <c r="A262" s="7" t="s">
        <v>53</v>
      </c>
      <c r="B262" s="6">
        <v>59</v>
      </c>
      <c r="C262" s="7" t="s">
        <v>205</v>
      </c>
      <c r="D262" s="7" t="s">
        <v>205</v>
      </c>
      <c r="E262" s="5"/>
      <c r="F262" s="4"/>
      <c r="G262" s="7" t="s">
        <v>226</v>
      </c>
      <c r="H262" s="5"/>
      <c r="I262" s="5"/>
      <c r="J262" s="7" t="s">
        <v>227</v>
      </c>
      <c r="K262" s="7" t="s">
        <v>24</v>
      </c>
      <c r="L262" s="7" t="s">
        <v>228</v>
      </c>
      <c r="M262" s="109">
        <v>357575520</v>
      </c>
      <c r="N262" s="111"/>
      <c r="O262" s="109">
        <v>7500000</v>
      </c>
      <c r="P262" s="110"/>
      <c r="Q262" s="109">
        <f>M262+N262+O262+P262</f>
        <v>365075520</v>
      </c>
      <c r="R262" s="36">
        <v>357575520</v>
      </c>
      <c r="S262" s="5"/>
      <c r="T262" s="30">
        <v>7500000</v>
      </c>
      <c r="U262" s="5"/>
      <c r="V262" s="5"/>
      <c r="W262" s="28"/>
      <c r="X262" s="28">
        <f>N262-S262</f>
        <v>0</v>
      </c>
      <c r="Y262" s="28">
        <f>O262-T262</f>
        <v>0</v>
      </c>
      <c r="Z262" s="28">
        <f>P262-U262</f>
        <v>0</v>
      </c>
      <c r="AA262" s="4"/>
      <c r="AB262" s="4"/>
      <c r="AC262">
        <f>IF(AB262=G262,1,2)</f>
        <v>2</v>
      </c>
    </row>
    <row r="263" spans="1:30" customFormat="1" ht="31.2" hidden="1" x14ac:dyDescent="0.3">
      <c r="A263" s="7" t="s">
        <v>53</v>
      </c>
      <c r="B263" s="6">
        <v>60</v>
      </c>
      <c r="C263" s="7" t="s">
        <v>205</v>
      </c>
      <c r="D263" s="7" t="s">
        <v>205</v>
      </c>
      <c r="E263" s="7" t="s">
        <v>177</v>
      </c>
      <c r="F263" s="4"/>
      <c r="G263" s="7" t="s">
        <v>229</v>
      </c>
      <c r="H263" s="7" t="s">
        <v>230</v>
      </c>
      <c r="I263" s="5"/>
      <c r="J263" s="7" t="s">
        <v>231</v>
      </c>
      <c r="K263" s="7" t="s">
        <v>24</v>
      </c>
      <c r="L263" s="7" t="s">
        <v>232</v>
      </c>
      <c r="M263" s="109">
        <v>2000913996</v>
      </c>
      <c r="N263" s="109">
        <v>13394304</v>
      </c>
      <c r="O263" s="109">
        <v>7500000</v>
      </c>
      <c r="P263" s="110"/>
      <c r="Q263" s="109">
        <f>M263+N263+O263+P263</f>
        <v>2021808300</v>
      </c>
      <c r="R263" s="36">
        <v>2000913996</v>
      </c>
      <c r="S263" s="3">
        <v>13394304</v>
      </c>
      <c r="T263" s="30">
        <v>7500000</v>
      </c>
      <c r="U263" s="5"/>
      <c r="V263" s="5"/>
      <c r="W263" s="28"/>
      <c r="X263" s="28">
        <f>N263-S263</f>
        <v>0</v>
      </c>
      <c r="Y263" s="28">
        <f>O263-T263</f>
        <v>0</v>
      </c>
      <c r="Z263" s="28">
        <f>P263-U263</f>
        <v>0</v>
      </c>
      <c r="AA263" s="4"/>
      <c r="AB263" s="4"/>
      <c r="AC263">
        <f>IF(AB263=G263,1,2)</f>
        <v>2</v>
      </c>
    </row>
    <row r="264" spans="1:30" customFormat="1" ht="31.2" hidden="1" x14ac:dyDescent="0.3">
      <c r="A264" s="7" t="s">
        <v>62</v>
      </c>
      <c r="B264" s="6">
        <v>61</v>
      </c>
      <c r="C264" s="7" t="s">
        <v>205</v>
      </c>
      <c r="D264" s="7" t="s">
        <v>205</v>
      </c>
      <c r="E264" s="5"/>
      <c r="F264" s="4"/>
      <c r="G264" s="7" t="s">
        <v>233</v>
      </c>
      <c r="H264" s="5"/>
      <c r="I264" s="5"/>
      <c r="J264" s="7" t="s">
        <v>234</v>
      </c>
      <c r="K264" s="7" t="s">
        <v>24</v>
      </c>
      <c r="L264" s="7" t="s">
        <v>235</v>
      </c>
      <c r="M264" s="109">
        <v>11400194400</v>
      </c>
      <c r="N264" s="111"/>
      <c r="O264" s="109">
        <v>7500000</v>
      </c>
      <c r="P264" s="110"/>
      <c r="Q264" s="109">
        <f>M264+N264+O264+P264</f>
        <v>11407694400</v>
      </c>
      <c r="R264" s="36">
        <v>11400194400</v>
      </c>
      <c r="S264" s="5"/>
      <c r="T264" s="30">
        <v>7500000</v>
      </c>
      <c r="U264" s="5"/>
      <c r="V264" s="5"/>
      <c r="W264" s="28"/>
      <c r="X264" s="28">
        <f>N264-S264</f>
        <v>0</v>
      </c>
      <c r="Y264" s="28">
        <f>O264-T264</f>
        <v>0</v>
      </c>
      <c r="Z264" s="28">
        <f>P264-U264</f>
        <v>0</v>
      </c>
      <c r="AA264" s="4"/>
      <c r="AB264" s="4"/>
      <c r="AC264">
        <f>IF(AB264=G264,1,2)</f>
        <v>2</v>
      </c>
    </row>
    <row r="265" spans="1:30" customFormat="1" ht="31.2" hidden="1" x14ac:dyDescent="0.3">
      <c r="A265" s="7" t="s">
        <v>18</v>
      </c>
      <c r="B265" s="6">
        <v>62</v>
      </c>
      <c r="C265" s="7" t="s">
        <v>205</v>
      </c>
      <c r="D265" s="7" t="s">
        <v>205</v>
      </c>
      <c r="E265" s="5"/>
      <c r="F265" s="4"/>
      <c r="G265" s="7" t="s">
        <v>236</v>
      </c>
      <c r="H265" s="5"/>
      <c r="I265" s="5"/>
      <c r="J265" s="7" t="s">
        <v>237</v>
      </c>
      <c r="K265" s="7" t="s">
        <v>24</v>
      </c>
      <c r="L265" s="7" t="s">
        <v>238</v>
      </c>
      <c r="M265" s="109">
        <v>859537200</v>
      </c>
      <c r="N265" s="111"/>
      <c r="O265" s="109">
        <v>7500000</v>
      </c>
      <c r="P265" s="110"/>
      <c r="Q265" s="109">
        <f>M265+N265+O265+P265</f>
        <v>867037200</v>
      </c>
      <c r="R265" s="36">
        <v>859537200</v>
      </c>
      <c r="S265" s="5"/>
      <c r="T265" s="30">
        <v>7500000</v>
      </c>
      <c r="U265" s="5"/>
      <c r="V265" s="5"/>
      <c r="W265" s="28"/>
      <c r="X265" s="28">
        <f>N265-S265</f>
        <v>0</v>
      </c>
      <c r="Y265" s="28">
        <f>O265-T265</f>
        <v>0</v>
      </c>
      <c r="Z265" s="28">
        <f>P265-U265</f>
        <v>0</v>
      </c>
      <c r="AA265" s="4"/>
      <c r="AB265" s="4"/>
      <c r="AC265">
        <f>IF(AB265=G265,1,2)</f>
        <v>2</v>
      </c>
    </row>
    <row r="266" spans="1:30" customFormat="1" ht="31.2" hidden="1" x14ac:dyDescent="0.3">
      <c r="A266" s="7" t="s">
        <v>46</v>
      </c>
      <c r="B266" s="6">
        <v>63</v>
      </c>
      <c r="C266" s="7" t="s">
        <v>205</v>
      </c>
      <c r="D266" s="7" t="s">
        <v>205</v>
      </c>
      <c r="E266" s="7"/>
      <c r="F266" s="4"/>
      <c r="G266" s="7" t="s">
        <v>239</v>
      </c>
      <c r="H266" s="7"/>
      <c r="I266" s="7"/>
      <c r="J266" s="7" t="s">
        <v>240</v>
      </c>
      <c r="K266" s="7" t="s">
        <v>24</v>
      </c>
      <c r="L266" s="7" t="s">
        <v>241</v>
      </c>
      <c r="M266" s="109">
        <v>0</v>
      </c>
      <c r="N266" s="111"/>
      <c r="O266" s="109">
        <v>7500000</v>
      </c>
      <c r="P266" s="110"/>
      <c r="Q266" s="109">
        <f>M266+N266+O266+P266</f>
        <v>7500000</v>
      </c>
      <c r="R266" s="6">
        <v>0</v>
      </c>
      <c r="S266" s="5"/>
      <c r="T266" s="72"/>
      <c r="U266" s="5"/>
      <c r="V266" s="5"/>
      <c r="W266" s="28"/>
      <c r="X266" s="28">
        <f>N266-S266</f>
        <v>0</v>
      </c>
      <c r="Y266" s="36">
        <f>O266-T266</f>
        <v>7500000</v>
      </c>
      <c r="Z266" s="28">
        <f>P266-U266</f>
        <v>0</v>
      </c>
      <c r="AA266" s="4"/>
      <c r="AB266" s="40"/>
      <c r="AC266" s="121">
        <f>IF(AB266=G266,1,2)</f>
        <v>2</v>
      </c>
      <c r="AD266" s="121"/>
    </row>
    <row r="267" spans="1:30" customFormat="1" ht="31.2" hidden="1" x14ac:dyDescent="0.3">
      <c r="A267" s="7" t="s">
        <v>46</v>
      </c>
      <c r="B267" s="6">
        <v>64</v>
      </c>
      <c r="C267" s="7" t="s">
        <v>205</v>
      </c>
      <c r="D267" s="7" t="s">
        <v>205</v>
      </c>
      <c r="E267" s="5"/>
      <c r="F267" s="4"/>
      <c r="G267" s="7" t="s">
        <v>242</v>
      </c>
      <c r="H267" s="5"/>
      <c r="I267" s="5"/>
      <c r="J267" s="7" t="s">
        <v>243</v>
      </c>
      <c r="K267" s="7" t="s">
        <v>24</v>
      </c>
      <c r="L267" s="7" t="s">
        <v>244</v>
      </c>
      <c r="M267" s="109">
        <v>47859600</v>
      </c>
      <c r="N267" s="111"/>
      <c r="O267" s="109">
        <v>7500000</v>
      </c>
      <c r="P267" s="110"/>
      <c r="Q267" s="109">
        <f>M267+N267+O267+P267</f>
        <v>55359600</v>
      </c>
      <c r="R267" s="36">
        <v>47859600</v>
      </c>
      <c r="S267" s="5"/>
      <c r="T267" s="30">
        <v>7500000</v>
      </c>
      <c r="U267" s="5"/>
      <c r="V267" s="5"/>
      <c r="W267" s="28"/>
      <c r="X267" s="28">
        <f>N267-S267</f>
        <v>0</v>
      </c>
      <c r="Y267" s="28">
        <f>O267-T267</f>
        <v>0</v>
      </c>
      <c r="Z267" s="28">
        <f>P267-U267</f>
        <v>0</v>
      </c>
      <c r="AA267" s="4"/>
      <c r="AB267" s="4"/>
      <c r="AC267">
        <f>IF(AB267=G267,1,2)</f>
        <v>2</v>
      </c>
    </row>
    <row r="268" spans="1:30" customFormat="1" ht="31.2" hidden="1" x14ac:dyDescent="0.3">
      <c r="A268" s="7" t="s">
        <v>26</v>
      </c>
      <c r="B268" s="6">
        <v>65</v>
      </c>
      <c r="C268" s="7" t="s">
        <v>205</v>
      </c>
      <c r="D268" s="7" t="s">
        <v>205</v>
      </c>
      <c r="E268" s="5"/>
      <c r="F268" s="4"/>
      <c r="G268" s="7" t="s">
        <v>245</v>
      </c>
      <c r="H268" s="5"/>
      <c r="I268" s="7" t="s">
        <v>28</v>
      </c>
      <c r="J268" s="7" t="s">
        <v>246</v>
      </c>
      <c r="K268" s="7" t="s">
        <v>24</v>
      </c>
      <c r="L268" s="7" t="s">
        <v>247</v>
      </c>
      <c r="M268" s="109">
        <v>0</v>
      </c>
      <c r="N268" s="111"/>
      <c r="O268" s="74"/>
      <c r="P268" s="110"/>
      <c r="Q268" s="109">
        <f>M268+N268+O268+P268</f>
        <v>0</v>
      </c>
      <c r="R268" s="6">
        <v>0</v>
      </c>
      <c r="S268" s="5"/>
      <c r="T268" s="31"/>
      <c r="U268" s="5"/>
      <c r="V268" s="5"/>
      <c r="W268" s="28"/>
      <c r="X268" s="28">
        <f>N268-S268</f>
        <v>0</v>
      </c>
      <c r="Y268" s="28">
        <f>O268-T268</f>
        <v>0</v>
      </c>
      <c r="Z268" s="28">
        <f>P268-U268</f>
        <v>0</v>
      </c>
      <c r="AA268" s="4"/>
      <c r="AB268" s="4"/>
      <c r="AC268">
        <f>IF(AB268=G268,1,2)</f>
        <v>2</v>
      </c>
    </row>
    <row r="269" spans="1:30" customFormat="1" ht="31.2" hidden="1" x14ac:dyDescent="0.3">
      <c r="A269" s="7" t="s">
        <v>18</v>
      </c>
      <c r="B269" s="6">
        <v>66</v>
      </c>
      <c r="C269" s="7" t="s">
        <v>205</v>
      </c>
      <c r="D269" s="7" t="s">
        <v>205</v>
      </c>
      <c r="E269" s="5"/>
      <c r="F269" s="4"/>
      <c r="G269" s="7" t="s">
        <v>248</v>
      </c>
      <c r="H269" s="5"/>
      <c r="I269" s="5"/>
      <c r="J269" s="7" t="s">
        <v>249</v>
      </c>
      <c r="K269" s="7" t="s">
        <v>24</v>
      </c>
      <c r="L269" s="7" t="s">
        <v>250</v>
      </c>
      <c r="M269" s="109">
        <v>440907010</v>
      </c>
      <c r="N269" s="111"/>
      <c r="O269" s="109">
        <v>7500000</v>
      </c>
      <c r="P269" s="110"/>
      <c r="Q269" s="109">
        <f>M269+N269+O269+P269</f>
        <v>448407010</v>
      </c>
      <c r="R269" s="36">
        <v>440907010</v>
      </c>
      <c r="S269" s="5"/>
      <c r="T269" s="30">
        <v>7500000</v>
      </c>
      <c r="U269" s="5"/>
      <c r="V269" s="5"/>
      <c r="W269" s="28"/>
      <c r="X269" s="28">
        <f>N269-S269</f>
        <v>0</v>
      </c>
      <c r="Y269" s="28">
        <f>O269-T269</f>
        <v>0</v>
      </c>
      <c r="Z269" s="28">
        <f>P269-U269</f>
        <v>0</v>
      </c>
      <c r="AA269" s="4"/>
      <c r="AB269" s="4"/>
      <c r="AC269">
        <f>IF(AB269=G269,1,2)</f>
        <v>2</v>
      </c>
    </row>
    <row r="270" spans="1:30" customFormat="1" ht="31.2" hidden="1" x14ac:dyDescent="0.3">
      <c r="A270" s="7" t="s">
        <v>62</v>
      </c>
      <c r="B270" s="6">
        <v>67</v>
      </c>
      <c r="C270" s="7" t="s">
        <v>205</v>
      </c>
      <c r="D270" s="7" t="s">
        <v>205</v>
      </c>
      <c r="E270" s="7" t="s">
        <v>158</v>
      </c>
      <c r="F270" s="4"/>
      <c r="G270" s="7" t="s">
        <v>251</v>
      </c>
      <c r="H270" s="7" t="s">
        <v>252</v>
      </c>
      <c r="I270" s="5"/>
      <c r="J270" s="7" t="s">
        <v>253</v>
      </c>
      <c r="K270" s="7" t="s">
        <v>24</v>
      </c>
      <c r="L270" s="7" t="s">
        <v>254</v>
      </c>
      <c r="M270" s="109">
        <v>880761416</v>
      </c>
      <c r="N270" s="109">
        <v>111348888</v>
      </c>
      <c r="O270" s="109">
        <v>15000000</v>
      </c>
      <c r="P270" s="110"/>
      <c r="Q270" s="109">
        <f>M270+N270+O270+P270</f>
        <v>1007110304</v>
      </c>
      <c r="R270" s="36">
        <v>880761416</v>
      </c>
      <c r="S270" s="3">
        <v>111348888</v>
      </c>
      <c r="T270" s="30">
        <v>15000000</v>
      </c>
      <c r="U270" s="5"/>
      <c r="V270" s="5"/>
      <c r="W270" s="28"/>
      <c r="X270" s="28">
        <f>N270-S270</f>
        <v>0</v>
      </c>
      <c r="Y270" s="28">
        <f>O270-T270</f>
        <v>0</v>
      </c>
      <c r="Z270" s="28">
        <f>P270-U270</f>
        <v>0</v>
      </c>
      <c r="AA270" s="4"/>
      <c r="AB270" s="4"/>
      <c r="AC270">
        <f>IF(AB270=G270,1,2)</f>
        <v>2</v>
      </c>
    </row>
    <row r="271" spans="1:30" customFormat="1" ht="31.2" hidden="1" x14ac:dyDescent="0.3">
      <c r="A271" s="7" t="s">
        <v>53</v>
      </c>
      <c r="B271" s="6">
        <v>68</v>
      </c>
      <c r="C271" s="7" t="s">
        <v>205</v>
      </c>
      <c r="D271" s="7" t="s">
        <v>205</v>
      </c>
      <c r="E271" s="5"/>
      <c r="F271" s="4"/>
      <c r="G271" s="7" t="s">
        <v>255</v>
      </c>
      <c r="H271" s="5"/>
      <c r="I271" s="7" t="s">
        <v>256</v>
      </c>
      <c r="J271" s="7" t="s">
        <v>257</v>
      </c>
      <c r="K271" s="7" t="s">
        <v>24</v>
      </c>
      <c r="L271" s="7" t="s">
        <v>258</v>
      </c>
      <c r="M271" s="109">
        <v>3692631136</v>
      </c>
      <c r="N271" s="111"/>
      <c r="O271" s="109">
        <v>15000000</v>
      </c>
      <c r="P271" s="110"/>
      <c r="Q271" s="109">
        <f>M271+N271+O271+P271</f>
        <v>3707631136</v>
      </c>
      <c r="R271" s="36">
        <v>3692631136</v>
      </c>
      <c r="S271" s="5"/>
      <c r="T271" s="30">
        <v>15000000</v>
      </c>
      <c r="U271" s="5"/>
      <c r="V271" s="5"/>
      <c r="W271" s="28"/>
      <c r="X271" s="28">
        <f>N271-S271</f>
        <v>0</v>
      </c>
      <c r="Y271" s="28">
        <f>O271-T271</f>
        <v>0</v>
      </c>
      <c r="Z271" s="28">
        <f>P271-U271</f>
        <v>0</v>
      </c>
      <c r="AA271" s="4"/>
      <c r="AB271" s="4"/>
      <c r="AC271">
        <f>IF(AB271=G271,1,2)</f>
        <v>2</v>
      </c>
    </row>
    <row r="272" spans="1:30" customFormat="1" ht="93.6" hidden="1" x14ac:dyDescent="0.3">
      <c r="A272" s="7" t="s">
        <v>53</v>
      </c>
      <c r="B272" s="6">
        <v>69</v>
      </c>
      <c r="C272" s="7" t="s">
        <v>205</v>
      </c>
      <c r="D272" s="7" t="s">
        <v>205</v>
      </c>
      <c r="E272" s="7" t="s">
        <v>259</v>
      </c>
      <c r="F272" s="4"/>
      <c r="G272" s="7" t="s">
        <v>260</v>
      </c>
      <c r="H272" s="7" t="s">
        <v>261</v>
      </c>
      <c r="I272" s="5"/>
      <c r="J272" s="7" t="s">
        <v>262</v>
      </c>
      <c r="K272" s="7" t="s">
        <v>24</v>
      </c>
      <c r="L272" s="7" t="s">
        <v>263</v>
      </c>
      <c r="M272" s="109">
        <v>10741645000</v>
      </c>
      <c r="N272" s="109">
        <v>2472792800</v>
      </c>
      <c r="O272" s="113">
        <v>15000000</v>
      </c>
      <c r="P272" s="110"/>
      <c r="Q272" s="109">
        <f>M272+N272+O272+P272</f>
        <v>13229437800</v>
      </c>
      <c r="R272" s="36">
        <v>10741645000</v>
      </c>
      <c r="S272" s="3">
        <v>2472792800</v>
      </c>
      <c r="T272" s="32">
        <v>15000000</v>
      </c>
      <c r="U272" s="5"/>
      <c r="V272" s="5"/>
      <c r="W272" s="28"/>
      <c r="X272" s="28">
        <f>N272-S272</f>
        <v>0</v>
      </c>
      <c r="Y272" s="28">
        <f>O272-T272</f>
        <v>0</v>
      </c>
      <c r="Z272" s="28">
        <f>P272-U272</f>
        <v>0</v>
      </c>
      <c r="AA272" s="4"/>
      <c r="AB272" s="4"/>
      <c r="AC272">
        <f>IF(AB272=G272,1,2)</f>
        <v>2</v>
      </c>
    </row>
    <row r="273" spans="1:30" customFormat="1" ht="31.2" hidden="1" x14ac:dyDescent="0.3">
      <c r="A273" s="7" t="s">
        <v>53</v>
      </c>
      <c r="B273" s="6">
        <v>71</v>
      </c>
      <c r="C273" s="7" t="s">
        <v>268</v>
      </c>
      <c r="D273" s="7" t="s">
        <v>268</v>
      </c>
      <c r="E273" s="5"/>
      <c r="F273" s="4"/>
      <c r="G273" s="7" t="s">
        <v>269</v>
      </c>
      <c r="H273" s="5"/>
      <c r="I273" s="5"/>
      <c r="J273" s="7" t="s">
        <v>270</v>
      </c>
      <c r="K273" s="7" t="s">
        <v>24</v>
      </c>
      <c r="L273" s="7" t="s">
        <v>271</v>
      </c>
      <c r="M273" s="109">
        <v>4963312906</v>
      </c>
      <c r="N273" s="111"/>
      <c r="O273" s="109">
        <v>7500000</v>
      </c>
      <c r="P273" s="110"/>
      <c r="Q273" s="109">
        <f>M273+N273+O273+P273</f>
        <v>4970812906</v>
      </c>
      <c r="R273" s="3">
        <v>4963312906</v>
      </c>
      <c r="S273" s="5"/>
      <c r="T273" s="30">
        <v>7500000</v>
      </c>
      <c r="U273" s="5"/>
      <c r="V273" s="5"/>
      <c r="W273" s="28"/>
      <c r="X273" s="28">
        <f>N273-S273</f>
        <v>0</v>
      </c>
      <c r="Y273" s="28">
        <f>O273-T273</f>
        <v>0</v>
      </c>
      <c r="Z273" s="28">
        <f>P273-U273</f>
        <v>0</v>
      </c>
      <c r="AA273" s="4"/>
      <c r="AB273" s="4"/>
      <c r="AC273">
        <f>IF(AB273=G273,1,2)</f>
        <v>2</v>
      </c>
    </row>
    <row r="274" spans="1:30" customFormat="1" ht="62.4" hidden="1" customHeight="1" x14ac:dyDescent="0.3">
      <c r="A274" s="7" t="s">
        <v>53</v>
      </c>
      <c r="B274" s="6">
        <v>72</v>
      </c>
      <c r="C274" s="7" t="s">
        <v>268</v>
      </c>
      <c r="D274" s="7" t="s">
        <v>268</v>
      </c>
      <c r="E274" s="5"/>
      <c r="F274" s="4"/>
      <c r="G274" s="7" t="s">
        <v>272</v>
      </c>
      <c r="H274" s="5"/>
      <c r="I274" s="5"/>
      <c r="J274" s="7" t="s">
        <v>273</v>
      </c>
      <c r="K274" s="7" t="s">
        <v>24</v>
      </c>
      <c r="L274" s="7" t="s">
        <v>274</v>
      </c>
      <c r="M274" s="109">
        <v>456501640</v>
      </c>
      <c r="N274" s="111"/>
      <c r="O274" s="109">
        <v>7500000</v>
      </c>
      <c r="P274" s="110"/>
      <c r="Q274" s="109">
        <f>M274+N274+O274+P274</f>
        <v>464001640</v>
      </c>
      <c r="R274" s="3">
        <v>456501640</v>
      </c>
      <c r="S274" s="5"/>
      <c r="T274" s="30">
        <v>7500000</v>
      </c>
      <c r="U274" s="5"/>
      <c r="V274" s="5"/>
      <c r="W274" s="28"/>
      <c r="X274" s="28">
        <f>N274-S274</f>
        <v>0</v>
      </c>
      <c r="Y274" s="28">
        <f>O274-T274</f>
        <v>0</v>
      </c>
      <c r="Z274" s="28">
        <f>P274-U274</f>
        <v>0</v>
      </c>
      <c r="AA274" s="4"/>
      <c r="AB274" s="4"/>
      <c r="AC274">
        <f>IF(AB274=G274,1,2)</f>
        <v>2</v>
      </c>
    </row>
    <row r="275" spans="1:30" customFormat="1" ht="31.2" hidden="1" x14ac:dyDescent="0.3">
      <c r="A275" s="7" t="s">
        <v>18</v>
      </c>
      <c r="B275" s="6">
        <v>73</v>
      </c>
      <c r="C275" s="7" t="s">
        <v>268</v>
      </c>
      <c r="D275" s="7" t="s">
        <v>268</v>
      </c>
      <c r="E275" s="5"/>
      <c r="F275" s="4"/>
      <c r="G275" s="7" t="s">
        <v>275</v>
      </c>
      <c r="H275" s="5"/>
      <c r="I275" s="5"/>
      <c r="J275" s="7" t="s">
        <v>276</v>
      </c>
      <c r="K275" s="7" t="s">
        <v>24</v>
      </c>
      <c r="L275" s="7" t="s">
        <v>277</v>
      </c>
      <c r="M275" s="109">
        <v>1758077820</v>
      </c>
      <c r="N275" s="111"/>
      <c r="O275" s="109">
        <v>7500000</v>
      </c>
      <c r="P275" s="110"/>
      <c r="Q275" s="109">
        <f>M275+N275+O275+P275</f>
        <v>1765577820</v>
      </c>
      <c r="R275" s="36">
        <v>1758077820</v>
      </c>
      <c r="S275" s="5"/>
      <c r="T275" s="30">
        <v>7500000</v>
      </c>
      <c r="U275" s="5"/>
      <c r="V275" s="5"/>
      <c r="W275" s="28"/>
      <c r="X275" s="28">
        <f>N275-S275</f>
        <v>0</v>
      </c>
      <c r="Y275" s="28">
        <f>O275-T275</f>
        <v>0</v>
      </c>
      <c r="Z275" s="28">
        <f>P275-U275</f>
        <v>0</v>
      </c>
      <c r="AA275" s="4"/>
      <c r="AB275" s="4"/>
      <c r="AC275">
        <f>IF(AB275=G275,1,2)</f>
        <v>2</v>
      </c>
    </row>
    <row r="276" spans="1:30" customFormat="1" ht="31.2" hidden="1" x14ac:dyDescent="0.3">
      <c r="A276" s="7" t="s">
        <v>18</v>
      </c>
      <c r="B276" s="6">
        <v>74</v>
      </c>
      <c r="C276" s="7" t="s">
        <v>268</v>
      </c>
      <c r="D276" s="7" t="s">
        <v>268</v>
      </c>
      <c r="E276" s="5"/>
      <c r="F276" s="4"/>
      <c r="G276" s="7" t="s">
        <v>278</v>
      </c>
      <c r="H276" s="5"/>
      <c r="I276" s="5"/>
      <c r="J276" s="7" t="s">
        <v>279</v>
      </c>
      <c r="K276" s="7" t="s">
        <v>24</v>
      </c>
      <c r="L276" s="7" t="s">
        <v>280</v>
      </c>
      <c r="M276" s="109">
        <v>383790570</v>
      </c>
      <c r="N276" s="111"/>
      <c r="O276" s="109">
        <v>7500000</v>
      </c>
      <c r="P276" s="110"/>
      <c r="Q276" s="109">
        <f>M276+N276+O276+P276</f>
        <v>391290570</v>
      </c>
      <c r="R276" s="36">
        <v>383790570</v>
      </c>
      <c r="S276" s="5"/>
      <c r="T276" s="30">
        <v>7500000</v>
      </c>
      <c r="U276" s="5"/>
      <c r="V276" s="5"/>
      <c r="W276" s="28"/>
      <c r="X276" s="28">
        <f>N276-S276</f>
        <v>0</v>
      </c>
      <c r="Y276" s="28">
        <f>O276-T276</f>
        <v>0</v>
      </c>
      <c r="Z276" s="28">
        <f>P276-U276</f>
        <v>0</v>
      </c>
      <c r="AA276" s="4"/>
      <c r="AB276" s="4"/>
      <c r="AC276">
        <f>IF(AB276=G276,1,2)</f>
        <v>2</v>
      </c>
    </row>
    <row r="277" spans="1:30" customFormat="1" ht="31.2" hidden="1" x14ac:dyDescent="0.3">
      <c r="A277" s="7" t="s">
        <v>53</v>
      </c>
      <c r="B277" s="6">
        <v>75</v>
      </c>
      <c r="C277" s="7" t="s">
        <v>268</v>
      </c>
      <c r="D277" s="7" t="s">
        <v>268</v>
      </c>
      <c r="E277" s="5"/>
      <c r="F277" s="4"/>
      <c r="G277" s="7" t="s">
        <v>281</v>
      </c>
      <c r="H277" s="5"/>
      <c r="I277" s="5"/>
      <c r="J277" s="7" t="s">
        <v>282</v>
      </c>
      <c r="K277" s="7" t="s">
        <v>24</v>
      </c>
      <c r="L277" s="7" t="s">
        <v>283</v>
      </c>
      <c r="M277" s="109">
        <v>284423790</v>
      </c>
      <c r="N277" s="111"/>
      <c r="O277" s="109">
        <v>7500000</v>
      </c>
      <c r="P277" s="110"/>
      <c r="Q277" s="109">
        <f>M277+N277+O277+P277</f>
        <v>291923790</v>
      </c>
      <c r="R277" s="3">
        <v>284423790</v>
      </c>
      <c r="S277" s="5"/>
      <c r="T277" s="30">
        <v>7500000</v>
      </c>
      <c r="U277" s="5"/>
      <c r="V277" s="5"/>
      <c r="W277" s="28"/>
      <c r="X277" s="28">
        <f>N277-S277</f>
        <v>0</v>
      </c>
      <c r="Y277" s="28">
        <f>O277-T277</f>
        <v>0</v>
      </c>
      <c r="Z277" s="28">
        <f>P277-U277</f>
        <v>0</v>
      </c>
      <c r="AA277" s="4"/>
      <c r="AB277" s="4"/>
      <c r="AC277">
        <f>IF(AB277=G277,1,2)</f>
        <v>2</v>
      </c>
    </row>
    <row r="278" spans="1:30" customFormat="1" ht="31.2" hidden="1" x14ac:dyDescent="0.3">
      <c r="A278" s="7" t="s">
        <v>53</v>
      </c>
      <c r="B278" s="6">
        <v>76</v>
      </c>
      <c r="C278" s="7" t="s">
        <v>268</v>
      </c>
      <c r="D278" s="7" t="s">
        <v>268</v>
      </c>
      <c r="E278" s="5"/>
      <c r="F278" s="4"/>
      <c r="G278" s="7" t="s">
        <v>284</v>
      </c>
      <c r="H278" s="5"/>
      <c r="I278" s="5"/>
      <c r="J278" s="7" t="s">
        <v>285</v>
      </c>
      <c r="K278" s="7" t="s">
        <v>24</v>
      </c>
      <c r="L278" s="7" t="s">
        <v>286</v>
      </c>
      <c r="M278" s="109">
        <v>169129920</v>
      </c>
      <c r="N278" s="111"/>
      <c r="O278" s="109">
        <v>7500000</v>
      </c>
      <c r="P278" s="110"/>
      <c r="Q278" s="109">
        <f>M278+N278+O278+P278</f>
        <v>176629920</v>
      </c>
      <c r="R278" s="9">
        <v>169129920</v>
      </c>
      <c r="S278" s="5"/>
      <c r="T278" s="30">
        <v>7500000</v>
      </c>
      <c r="U278" s="5"/>
      <c r="V278" s="5"/>
      <c r="W278" s="28"/>
      <c r="X278" s="28">
        <f>N278-S278</f>
        <v>0</v>
      </c>
      <c r="Y278" s="28">
        <f>O278-T278</f>
        <v>0</v>
      </c>
      <c r="Z278" s="28">
        <f>P278-U278</f>
        <v>0</v>
      </c>
      <c r="AA278" s="4"/>
      <c r="AB278" s="4"/>
      <c r="AC278">
        <f>IF(AB278=G278,1,2)</f>
        <v>2</v>
      </c>
    </row>
    <row r="279" spans="1:30" customFormat="1" ht="31.2" hidden="1" x14ac:dyDescent="0.3">
      <c r="A279" s="7" t="s">
        <v>62</v>
      </c>
      <c r="B279" s="6">
        <v>77</v>
      </c>
      <c r="C279" s="7" t="s">
        <v>268</v>
      </c>
      <c r="D279" s="7" t="s">
        <v>268</v>
      </c>
      <c r="E279" s="5"/>
      <c r="F279" s="4"/>
      <c r="G279" s="7" t="s">
        <v>287</v>
      </c>
      <c r="H279" s="5"/>
      <c r="I279" s="5"/>
      <c r="J279" s="7" t="s">
        <v>288</v>
      </c>
      <c r="K279" s="7" t="s">
        <v>24</v>
      </c>
      <c r="L279" s="7" t="s">
        <v>289</v>
      </c>
      <c r="M279" s="109">
        <v>256763700</v>
      </c>
      <c r="N279" s="111"/>
      <c r="O279" s="109">
        <v>7500000</v>
      </c>
      <c r="P279" s="110"/>
      <c r="Q279" s="109">
        <f>M279+N279+O279+P279</f>
        <v>264263700</v>
      </c>
      <c r="R279" s="3">
        <v>256763700</v>
      </c>
      <c r="S279" s="5"/>
      <c r="T279" s="30">
        <v>7500000</v>
      </c>
      <c r="U279" s="5"/>
      <c r="V279" s="5"/>
      <c r="W279" s="28"/>
      <c r="X279" s="28">
        <f>N279-S279</f>
        <v>0</v>
      </c>
      <c r="Y279" s="28">
        <f>O279-T279</f>
        <v>0</v>
      </c>
      <c r="Z279" s="28">
        <f>P279-U279</f>
        <v>0</v>
      </c>
      <c r="AA279" s="4"/>
      <c r="AB279" s="4"/>
      <c r="AC279">
        <f>IF(AB279=G279,1,2)</f>
        <v>2</v>
      </c>
    </row>
    <row r="280" spans="1:30" customFormat="1" ht="31.2" hidden="1" x14ac:dyDescent="0.3">
      <c r="A280" s="7" t="s">
        <v>62</v>
      </c>
      <c r="B280" s="6">
        <v>78</v>
      </c>
      <c r="C280" s="7" t="s">
        <v>268</v>
      </c>
      <c r="D280" s="7" t="s">
        <v>268</v>
      </c>
      <c r="E280" s="5"/>
      <c r="F280" s="4"/>
      <c r="G280" s="7" t="s">
        <v>290</v>
      </c>
      <c r="H280" s="5"/>
      <c r="I280" s="5"/>
      <c r="J280" s="7" t="s">
        <v>291</v>
      </c>
      <c r="K280" s="7" t="s">
        <v>24</v>
      </c>
      <c r="L280" s="7" t="s">
        <v>292</v>
      </c>
      <c r="M280" s="109">
        <v>422510140</v>
      </c>
      <c r="N280" s="111"/>
      <c r="O280" s="109">
        <v>7500000</v>
      </c>
      <c r="P280" s="110"/>
      <c r="Q280" s="109">
        <f>M280+N280+O280+P280</f>
        <v>430010140</v>
      </c>
      <c r="R280" s="3">
        <v>422510140</v>
      </c>
      <c r="S280" s="5"/>
      <c r="T280" s="30">
        <v>7500000</v>
      </c>
      <c r="U280" s="5"/>
      <c r="V280" s="5"/>
      <c r="W280" s="28"/>
      <c r="X280" s="28">
        <f>N280-S280</f>
        <v>0</v>
      </c>
      <c r="Y280" s="28">
        <f>O280-T280</f>
        <v>0</v>
      </c>
      <c r="Z280" s="28">
        <f>P280-U280</f>
        <v>0</v>
      </c>
      <c r="AA280" s="4"/>
      <c r="AB280" s="4"/>
      <c r="AC280">
        <f>IF(AB280=G280,1,2)</f>
        <v>2</v>
      </c>
    </row>
    <row r="281" spans="1:30" customFormat="1" ht="109.2" hidden="1" customHeight="1" x14ac:dyDescent="0.3">
      <c r="A281" s="7" t="s">
        <v>53</v>
      </c>
      <c r="B281" s="6">
        <v>79</v>
      </c>
      <c r="C281" s="7" t="s">
        <v>268</v>
      </c>
      <c r="D281" s="7" t="s">
        <v>268</v>
      </c>
      <c r="E281" s="5"/>
      <c r="F281" s="4"/>
      <c r="G281" s="7" t="s">
        <v>293</v>
      </c>
      <c r="H281" s="7" t="s">
        <v>294</v>
      </c>
      <c r="I281" s="5"/>
      <c r="J281" s="7" t="s">
        <v>295</v>
      </c>
      <c r="K281" s="7" t="s">
        <v>24</v>
      </c>
      <c r="L281" s="7" t="s">
        <v>296</v>
      </c>
      <c r="M281" s="109">
        <v>3622960192</v>
      </c>
      <c r="N281" s="111"/>
      <c r="O281" s="109">
        <v>15000000</v>
      </c>
      <c r="P281" s="110"/>
      <c r="Q281" s="109">
        <f>M281+N281+O281+P281</f>
        <v>3637960192</v>
      </c>
      <c r="R281" s="3">
        <v>3622960192</v>
      </c>
      <c r="S281" s="5"/>
      <c r="T281" s="30">
        <v>15000000</v>
      </c>
      <c r="U281" s="5"/>
      <c r="V281" s="5"/>
      <c r="W281" s="28"/>
      <c r="X281" s="28">
        <f>N281-S281</f>
        <v>0</v>
      </c>
      <c r="Y281" s="28">
        <f>O281-T281</f>
        <v>0</v>
      </c>
      <c r="Z281" s="28">
        <f>P281-U281</f>
        <v>0</v>
      </c>
      <c r="AA281" s="4"/>
      <c r="AB281" s="4"/>
      <c r="AC281">
        <f>IF(AB281=G281,1,2)</f>
        <v>2</v>
      </c>
    </row>
    <row r="282" spans="1:30" customFormat="1" ht="46.8" hidden="1" customHeight="1" x14ac:dyDescent="0.3">
      <c r="A282" s="7" t="s">
        <v>18</v>
      </c>
      <c r="B282" s="6">
        <v>80</v>
      </c>
      <c r="C282" s="7" t="s">
        <v>297</v>
      </c>
      <c r="D282" s="7" t="s">
        <v>297</v>
      </c>
      <c r="E282" s="5"/>
      <c r="F282" s="4"/>
      <c r="G282" s="7" t="s">
        <v>298</v>
      </c>
      <c r="H282" s="5"/>
      <c r="I282" s="5"/>
      <c r="J282" s="7" t="s">
        <v>299</v>
      </c>
      <c r="K282" s="7" t="s">
        <v>24</v>
      </c>
      <c r="L282" s="7" t="s">
        <v>300</v>
      </c>
      <c r="M282" s="109">
        <v>416448900</v>
      </c>
      <c r="N282" s="111"/>
      <c r="O282" s="109">
        <v>7500000</v>
      </c>
      <c r="P282" s="110"/>
      <c r="Q282" s="109">
        <f>M282+N282+O282+P282</f>
        <v>423948900</v>
      </c>
      <c r="R282" s="3">
        <v>416448900</v>
      </c>
      <c r="S282" s="5"/>
      <c r="T282" s="30">
        <v>7500000</v>
      </c>
      <c r="U282" s="5"/>
      <c r="V282" s="5"/>
      <c r="W282" s="28"/>
      <c r="X282" s="28">
        <f>N282-S282</f>
        <v>0</v>
      </c>
      <c r="Y282" s="28">
        <f>O282-T282</f>
        <v>0</v>
      </c>
      <c r="Z282" s="28">
        <f>P282-U282</f>
        <v>0</v>
      </c>
      <c r="AA282" s="4"/>
      <c r="AB282" s="4"/>
      <c r="AC282">
        <f>IF(AB282=G282,1,2)</f>
        <v>2</v>
      </c>
    </row>
    <row r="283" spans="1:30" customFormat="1" ht="62.4" hidden="1" customHeight="1" x14ac:dyDescent="0.3">
      <c r="A283" s="7" t="s">
        <v>18</v>
      </c>
      <c r="B283" s="6">
        <v>81</v>
      </c>
      <c r="C283" s="7" t="s">
        <v>297</v>
      </c>
      <c r="D283" s="7" t="s">
        <v>297</v>
      </c>
      <c r="E283" s="5"/>
      <c r="F283" s="4"/>
      <c r="G283" s="7" t="s">
        <v>301</v>
      </c>
      <c r="H283" s="5"/>
      <c r="I283" s="5"/>
      <c r="J283" s="7" t="s">
        <v>302</v>
      </c>
      <c r="K283" s="7" t="s">
        <v>24</v>
      </c>
      <c r="L283" s="7" t="s">
        <v>303</v>
      </c>
      <c r="M283" s="109">
        <v>31993200</v>
      </c>
      <c r="N283" s="111"/>
      <c r="O283" s="109">
        <v>7500000</v>
      </c>
      <c r="P283" s="110"/>
      <c r="Q283" s="109">
        <f>M283+N283+O283+P283</f>
        <v>39493200</v>
      </c>
      <c r="R283" s="3">
        <v>31993200</v>
      </c>
      <c r="S283" s="5"/>
      <c r="T283" s="30">
        <v>7500000</v>
      </c>
      <c r="U283" s="5"/>
      <c r="V283" s="5"/>
      <c r="W283" s="28"/>
      <c r="X283" s="28">
        <f>N283-S283</f>
        <v>0</v>
      </c>
      <c r="Y283" s="28">
        <f>O283-T283</f>
        <v>0</v>
      </c>
      <c r="Z283" s="28">
        <f>P283-U283</f>
        <v>0</v>
      </c>
      <c r="AA283" s="4"/>
      <c r="AB283" s="4"/>
      <c r="AC283">
        <f>IF(AB283=G283,1,2)</f>
        <v>2</v>
      </c>
    </row>
    <row r="284" spans="1:30" customFormat="1" ht="31.2" hidden="1" x14ac:dyDescent="0.3">
      <c r="A284" s="7" t="s">
        <v>53</v>
      </c>
      <c r="B284" s="6">
        <v>82</v>
      </c>
      <c r="C284" s="7" t="s">
        <v>297</v>
      </c>
      <c r="D284" s="7" t="s">
        <v>297</v>
      </c>
      <c r="E284" s="7" t="s">
        <v>177</v>
      </c>
      <c r="F284" s="4"/>
      <c r="G284" s="7" t="s">
        <v>304</v>
      </c>
      <c r="H284" s="7" t="s">
        <v>305</v>
      </c>
      <c r="I284" s="5"/>
      <c r="J284" s="7" t="s">
        <v>306</v>
      </c>
      <c r="K284" s="7" t="s">
        <v>24</v>
      </c>
      <c r="L284" s="7" t="s">
        <v>307</v>
      </c>
      <c r="M284" s="109">
        <v>202213000</v>
      </c>
      <c r="N284" s="109">
        <v>38269440</v>
      </c>
      <c r="O284" s="109">
        <v>7500000</v>
      </c>
      <c r="P284" s="110"/>
      <c r="Q284" s="109">
        <f>M284+N284+O284+P284</f>
        <v>247982440</v>
      </c>
      <c r="R284" s="3">
        <v>202213000</v>
      </c>
      <c r="S284" s="3">
        <v>38269440</v>
      </c>
      <c r="T284" s="30">
        <v>7500000</v>
      </c>
      <c r="U284" s="5"/>
      <c r="V284" s="5"/>
      <c r="W284" s="28"/>
      <c r="X284" s="28">
        <f>N284-S284</f>
        <v>0</v>
      </c>
      <c r="Y284" s="28">
        <f>O284-T284</f>
        <v>0</v>
      </c>
      <c r="Z284" s="28">
        <f>P284-U284</f>
        <v>0</v>
      </c>
      <c r="AA284" s="4"/>
      <c r="AB284" s="4"/>
      <c r="AC284">
        <f>IF(AB284=G284,1,2)</f>
        <v>2</v>
      </c>
    </row>
    <row r="285" spans="1:30" customFormat="1" ht="31.2" hidden="1" x14ac:dyDescent="0.3">
      <c r="A285" s="7" t="s">
        <v>53</v>
      </c>
      <c r="B285" s="6">
        <v>84</v>
      </c>
      <c r="C285" s="7" t="s">
        <v>297</v>
      </c>
      <c r="D285" s="7" t="s">
        <v>297</v>
      </c>
      <c r="E285" s="7"/>
      <c r="F285" s="4"/>
      <c r="G285" s="7" t="s">
        <v>314</v>
      </c>
      <c r="H285" s="7"/>
      <c r="I285" s="7"/>
      <c r="J285" s="7" t="s">
        <v>315</v>
      </c>
      <c r="K285" s="7" t="s">
        <v>24</v>
      </c>
      <c r="L285" s="7" t="s">
        <v>316</v>
      </c>
      <c r="M285" s="109">
        <v>5438544033</v>
      </c>
      <c r="N285" s="111"/>
      <c r="O285" s="109">
        <v>15000000</v>
      </c>
      <c r="P285" s="110"/>
      <c r="Q285" s="109">
        <f>M285+N285+O285+P285</f>
        <v>5453544033</v>
      </c>
      <c r="R285" s="3">
        <v>5438544033</v>
      </c>
      <c r="S285" s="5"/>
      <c r="T285" s="72"/>
      <c r="U285" s="5"/>
      <c r="V285" s="5"/>
      <c r="W285" s="28"/>
      <c r="X285" s="28">
        <f>N285-S285</f>
        <v>0</v>
      </c>
      <c r="Y285" s="36">
        <f>O285-T285</f>
        <v>15000000</v>
      </c>
      <c r="Z285" s="28">
        <f>P285-U285</f>
        <v>0</v>
      </c>
      <c r="AA285" s="4"/>
      <c r="AB285" s="40"/>
      <c r="AC285" s="121">
        <f>IF(AB285=G285,1,2)</f>
        <v>2</v>
      </c>
      <c r="AD285" s="121"/>
    </row>
    <row r="286" spans="1:30" customFormat="1" ht="31.2" hidden="1" x14ac:dyDescent="0.3">
      <c r="A286" s="7" t="s">
        <v>62</v>
      </c>
      <c r="B286" s="6">
        <v>85</v>
      </c>
      <c r="C286" s="7" t="s">
        <v>297</v>
      </c>
      <c r="D286" s="7" t="s">
        <v>297</v>
      </c>
      <c r="E286" s="5"/>
      <c r="F286" s="4"/>
      <c r="G286" s="7" t="s">
        <v>317</v>
      </c>
      <c r="H286" s="5"/>
      <c r="I286" s="5"/>
      <c r="J286" s="7" t="s">
        <v>318</v>
      </c>
      <c r="K286" s="7" t="s">
        <v>24</v>
      </c>
      <c r="L286" s="7" t="s">
        <v>319</v>
      </c>
      <c r="M286" s="109">
        <v>3102018212</v>
      </c>
      <c r="N286" s="111"/>
      <c r="O286" s="109">
        <v>7500000</v>
      </c>
      <c r="P286" s="110"/>
      <c r="Q286" s="109">
        <f>M286+N286+O286+P286</f>
        <v>3109518212</v>
      </c>
      <c r="R286" s="3">
        <v>3102018212</v>
      </c>
      <c r="S286" s="5"/>
      <c r="T286" s="30">
        <v>7500000</v>
      </c>
      <c r="U286" s="5"/>
      <c r="V286" s="5"/>
      <c r="W286" s="28"/>
      <c r="X286" s="28">
        <f>N286-S286</f>
        <v>0</v>
      </c>
      <c r="Y286" s="28">
        <f>O286-T286</f>
        <v>0</v>
      </c>
      <c r="Z286" s="28">
        <f>P286-U286</f>
        <v>0</v>
      </c>
      <c r="AA286" s="4"/>
      <c r="AB286" s="4"/>
      <c r="AC286">
        <f>IF(AB286=G286,1,2)</f>
        <v>2</v>
      </c>
    </row>
    <row r="287" spans="1:30" customFormat="1" ht="62.4" hidden="1" customHeight="1" x14ac:dyDescent="0.3">
      <c r="A287" s="7" t="s">
        <v>53</v>
      </c>
      <c r="B287" s="6">
        <v>86</v>
      </c>
      <c r="C287" s="7" t="s">
        <v>297</v>
      </c>
      <c r="D287" s="7" t="s">
        <v>297</v>
      </c>
      <c r="E287" s="5"/>
      <c r="F287" s="4"/>
      <c r="G287" s="7" t="s">
        <v>320</v>
      </c>
      <c r="H287" s="5"/>
      <c r="I287" s="5"/>
      <c r="J287" s="7" t="s">
        <v>321</v>
      </c>
      <c r="K287" s="7" t="s">
        <v>24</v>
      </c>
      <c r="L287" s="7" t="s">
        <v>322</v>
      </c>
      <c r="M287" s="109">
        <v>3208417628</v>
      </c>
      <c r="N287" s="111"/>
      <c r="O287" s="109">
        <v>15000000</v>
      </c>
      <c r="P287" s="110"/>
      <c r="Q287" s="109">
        <f>M287+N287+O287+P287</f>
        <v>3223417628</v>
      </c>
      <c r="R287" s="36">
        <v>3208417628</v>
      </c>
      <c r="S287" s="5"/>
      <c r="T287" s="30">
        <v>15000000</v>
      </c>
      <c r="U287" s="5"/>
      <c r="V287" s="5"/>
      <c r="W287" s="28"/>
      <c r="X287" s="28">
        <f>N287-S287</f>
        <v>0</v>
      </c>
      <c r="Y287" s="28">
        <f>O287-T287</f>
        <v>0</v>
      </c>
      <c r="Z287" s="28">
        <f>P287-U287</f>
        <v>0</v>
      </c>
      <c r="AA287" s="4"/>
      <c r="AB287" s="4"/>
      <c r="AC287">
        <f>IF(AB287=G287,1,2)</f>
        <v>2</v>
      </c>
    </row>
    <row r="288" spans="1:30" customFormat="1" ht="31.2" hidden="1" x14ac:dyDescent="0.3">
      <c r="A288" s="7" t="s">
        <v>62</v>
      </c>
      <c r="B288" s="6">
        <v>87</v>
      </c>
      <c r="C288" s="7" t="s">
        <v>297</v>
      </c>
      <c r="D288" s="7" t="s">
        <v>297</v>
      </c>
      <c r="E288" s="5"/>
      <c r="F288" s="4"/>
      <c r="G288" s="7" t="s">
        <v>323</v>
      </c>
      <c r="H288" s="5"/>
      <c r="I288" s="5"/>
      <c r="J288" s="7" t="s">
        <v>324</v>
      </c>
      <c r="K288" s="7" t="s">
        <v>24</v>
      </c>
      <c r="L288" s="7" t="s">
        <v>325</v>
      </c>
      <c r="M288" s="109">
        <v>127625600</v>
      </c>
      <c r="N288" s="111"/>
      <c r="O288" s="109">
        <v>7500000</v>
      </c>
      <c r="P288" s="110"/>
      <c r="Q288" s="109">
        <f>M288+N288+O288+P288</f>
        <v>135125600</v>
      </c>
      <c r="R288" s="3">
        <v>127625600</v>
      </c>
      <c r="S288" s="5"/>
      <c r="T288" s="30">
        <v>7500000</v>
      </c>
      <c r="U288" s="5"/>
      <c r="V288" s="5"/>
      <c r="W288" s="28"/>
      <c r="X288" s="28">
        <f>N288-S288</f>
        <v>0</v>
      </c>
      <c r="Y288" s="28">
        <f>O288-T288</f>
        <v>0</v>
      </c>
      <c r="Z288" s="28">
        <f>P288-U288</f>
        <v>0</v>
      </c>
      <c r="AA288" s="4"/>
      <c r="AB288" s="4"/>
      <c r="AC288">
        <f>IF(AB288=G288,1,2)</f>
        <v>2</v>
      </c>
    </row>
    <row r="289" spans="1:30" customFormat="1" ht="31.2" hidden="1" x14ac:dyDescent="0.3">
      <c r="A289" s="7" t="s">
        <v>62</v>
      </c>
      <c r="B289" s="6">
        <v>88</v>
      </c>
      <c r="C289" s="7" t="s">
        <v>297</v>
      </c>
      <c r="D289" s="7" t="s">
        <v>297</v>
      </c>
      <c r="E289" s="5"/>
      <c r="F289" s="4"/>
      <c r="G289" s="7" t="s">
        <v>326</v>
      </c>
      <c r="H289" s="5"/>
      <c r="I289" s="5"/>
      <c r="J289" s="7" t="s">
        <v>327</v>
      </c>
      <c r="K289" s="7" t="s">
        <v>24</v>
      </c>
      <c r="L289" s="7" t="s">
        <v>328</v>
      </c>
      <c r="M289" s="109">
        <v>6198579980</v>
      </c>
      <c r="N289" s="111"/>
      <c r="O289" s="109">
        <v>7500000</v>
      </c>
      <c r="P289" s="110"/>
      <c r="Q289" s="109">
        <f>M289+N289+O289+P289</f>
        <v>6206079980</v>
      </c>
      <c r="R289" s="3">
        <v>6198579980</v>
      </c>
      <c r="S289" s="5"/>
      <c r="T289" s="30">
        <v>7500000</v>
      </c>
      <c r="U289" s="5"/>
      <c r="V289" s="5"/>
      <c r="W289" s="28"/>
      <c r="X289" s="28">
        <f>N289-S289</f>
        <v>0</v>
      </c>
      <c r="Y289" s="28">
        <f>O289-T289</f>
        <v>0</v>
      </c>
      <c r="Z289" s="28">
        <f>P289-U289</f>
        <v>0</v>
      </c>
      <c r="AA289" s="4"/>
      <c r="AB289" s="4"/>
      <c r="AC289">
        <f>IF(AB289=G289,1,2)</f>
        <v>2</v>
      </c>
    </row>
    <row r="290" spans="1:30" customFormat="1" ht="31.2" hidden="1" x14ac:dyDescent="0.3">
      <c r="A290" s="7" t="s">
        <v>53</v>
      </c>
      <c r="B290" s="6">
        <v>89</v>
      </c>
      <c r="C290" s="7" t="s">
        <v>297</v>
      </c>
      <c r="D290" s="7" t="s">
        <v>297</v>
      </c>
      <c r="E290" s="5"/>
      <c r="F290" s="4"/>
      <c r="G290" s="7" t="s">
        <v>329</v>
      </c>
      <c r="H290" s="5"/>
      <c r="I290" s="5"/>
      <c r="J290" s="7" t="s">
        <v>330</v>
      </c>
      <c r="K290" s="7" t="s">
        <v>24</v>
      </c>
      <c r="L290" s="7" t="s">
        <v>331</v>
      </c>
      <c r="M290" s="109">
        <v>775743160</v>
      </c>
      <c r="N290" s="111"/>
      <c r="O290" s="109">
        <v>7500000</v>
      </c>
      <c r="P290" s="110"/>
      <c r="Q290" s="109">
        <f>M290+N290+O290+P290</f>
        <v>783243160</v>
      </c>
      <c r="R290" s="36">
        <v>775743160</v>
      </c>
      <c r="S290" s="5"/>
      <c r="T290" s="30">
        <v>7500000</v>
      </c>
      <c r="U290" s="5"/>
      <c r="V290" s="5"/>
      <c r="W290" s="28"/>
      <c r="X290" s="28">
        <f>N290-S290</f>
        <v>0</v>
      </c>
      <c r="Y290" s="28">
        <f>O290-T290</f>
        <v>0</v>
      </c>
      <c r="Z290" s="28">
        <f>P290-U290</f>
        <v>0</v>
      </c>
      <c r="AA290" s="4"/>
      <c r="AB290" s="4"/>
      <c r="AC290">
        <f>IF(AB290=G290,1,2)</f>
        <v>2</v>
      </c>
    </row>
    <row r="291" spans="1:30" customFormat="1" ht="31.2" hidden="1" x14ac:dyDescent="0.3">
      <c r="A291" s="7" t="s">
        <v>46</v>
      </c>
      <c r="B291" s="6">
        <v>90</v>
      </c>
      <c r="C291" s="7" t="s">
        <v>332</v>
      </c>
      <c r="D291" s="7" t="s">
        <v>332</v>
      </c>
      <c r="E291" s="5"/>
      <c r="F291" s="4"/>
      <c r="G291" s="7" t="s">
        <v>333</v>
      </c>
      <c r="H291" s="5"/>
      <c r="I291" s="5"/>
      <c r="J291" s="7" t="s">
        <v>334</v>
      </c>
      <c r="K291" s="7" t="s">
        <v>24</v>
      </c>
      <c r="L291" s="7" t="s">
        <v>335</v>
      </c>
      <c r="M291" s="109">
        <v>260376114</v>
      </c>
      <c r="N291" s="111"/>
      <c r="O291" s="109">
        <v>7500000</v>
      </c>
      <c r="P291" s="110"/>
      <c r="Q291" s="109">
        <f>M291+N291+O291+P291</f>
        <v>267876114</v>
      </c>
      <c r="R291" s="36">
        <v>260376114</v>
      </c>
      <c r="S291" s="5"/>
      <c r="T291" s="30">
        <v>7500000</v>
      </c>
      <c r="U291" s="5"/>
      <c r="V291" s="5"/>
      <c r="W291" s="28"/>
      <c r="X291" s="28">
        <f>N291-S291</f>
        <v>0</v>
      </c>
      <c r="Y291" s="28">
        <f>O291-T291</f>
        <v>0</v>
      </c>
      <c r="Z291" s="28">
        <f>P291-U291</f>
        <v>0</v>
      </c>
      <c r="AA291" s="4"/>
      <c r="AB291" s="4"/>
      <c r="AC291">
        <f>IF(AB291=G291,1,2)</f>
        <v>2</v>
      </c>
    </row>
    <row r="292" spans="1:30" customFormat="1" ht="62.4" hidden="1" x14ac:dyDescent="0.3">
      <c r="A292" s="7" t="s">
        <v>53</v>
      </c>
      <c r="B292" s="6">
        <v>91</v>
      </c>
      <c r="C292" s="7" t="s">
        <v>332</v>
      </c>
      <c r="D292" s="7" t="s">
        <v>332</v>
      </c>
      <c r="E292" s="5"/>
      <c r="F292" s="4"/>
      <c r="G292" s="7" t="s">
        <v>336</v>
      </c>
      <c r="H292" s="5"/>
      <c r="I292" s="5"/>
      <c r="J292" s="7" t="s">
        <v>337</v>
      </c>
      <c r="K292" s="7" t="s">
        <v>24</v>
      </c>
      <c r="L292" s="7" t="s">
        <v>338</v>
      </c>
      <c r="M292" s="109">
        <v>6896806936</v>
      </c>
      <c r="N292" s="111"/>
      <c r="O292" s="109">
        <v>15000000</v>
      </c>
      <c r="P292" s="110"/>
      <c r="Q292" s="109">
        <f>M292+N292+O292+P292</f>
        <v>6911806936</v>
      </c>
      <c r="R292" s="3">
        <v>6896806936</v>
      </c>
      <c r="S292" s="5"/>
      <c r="T292" s="30">
        <v>15000000</v>
      </c>
      <c r="U292" s="5"/>
      <c r="V292" s="5"/>
      <c r="W292" s="28"/>
      <c r="X292" s="28">
        <f>N292-S292</f>
        <v>0</v>
      </c>
      <c r="Y292" s="28">
        <f>O292-T292</f>
        <v>0</v>
      </c>
      <c r="Z292" s="28">
        <f>P292-U292</f>
        <v>0</v>
      </c>
      <c r="AA292" s="4"/>
      <c r="AB292" s="4"/>
      <c r="AC292">
        <f>IF(AB292=G292,1,2)</f>
        <v>2</v>
      </c>
    </row>
    <row r="293" spans="1:30" customFormat="1" ht="46.8" hidden="1" x14ac:dyDescent="0.3">
      <c r="A293" s="7" t="s">
        <v>18</v>
      </c>
      <c r="B293" s="6">
        <v>92</v>
      </c>
      <c r="C293" s="7" t="s">
        <v>332</v>
      </c>
      <c r="D293" s="7" t="s">
        <v>332</v>
      </c>
      <c r="E293" s="5"/>
      <c r="F293" s="4"/>
      <c r="G293" s="7" t="s">
        <v>339</v>
      </c>
      <c r="H293" s="5"/>
      <c r="I293" s="5"/>
      <c r="J293" s="7" t="s">
        <v>340</v>
      </c>
      <c r="K293" s="7" t="s">
        <v>24</v>
      </c>
      <c r="L293" s="7" t="s">
        <v>341</v>
      </c>
      <c r="M293" s="109">
        <v>12013126452</v>
      </c>
      <c r="N293" s="111"/>
      <c r="O293" s="109">
        <v>15000000</v>
      </c>
      <c r="P293" s="110"/>
      <c r="Q293" s="109">
        <f>M293+N293+O293+P293</f>
        <v>12028126452</v>
      </c>
      <c r="R293" s="3">
        <v>12013126452</v>
      </c>
      <c r="S293" s="5"/>
      <c r="T293" s="30">
        <v>15000000</v>
      </c>
      <c r="U293" s="5"/>
      <c r="V293" s="5"/>
      <c r="W293" s="28"/>
      <c r="X293" s="28">
        <f>N293-S293</f>
        <v>0</v>
      </c>
      <c r="Y293" s="28">
        <f>O293-T293</f>
        <v>0</v>
      </c>
      <c r="Z293" s="28">
        <f>P293-U293</f>
        <v>0</v>
      </c>
      <c r="AA293" s="4"/>
      <c r="AB293" s="4"/>
      <c r="AC293">
        <f>IF(AB293=G293,1,2)</f>
        <v>2</v>
      </c>
    </row>
    <row r="294" spans="1:30" customFormat="1" ht="31.2" hidden="1" x14ac:dyDescent="0.3">
      <c r="A294" s="7" t="s">
        <v>53</v>
      </c>
      <c r="B294" s="6">
        <v>93</v>
      </c>
      <c r="C294" s="7" t="s">
        <v>332</v>
      </c>
      <c r="D294" s="7" t="s">
        <v>332</v>
      </c>
      <c r="E294" s="7"/>
      <c r="F294" s="4"/>
      <c r="G294" s="7" t="s">
        <v>342</v>
      </c>
      <c r="H294" s="7"/>
      <c r="I294" s="7"/>
      <c r="J294" s="7" t="s">
        <v>343</v>
      </c>
      <c r="K294" s="7" t="s">
        <v>24</v>
      </c>
      <c r="L294" s="7" t="s">
        <v>344</v>
      </c>
      <c r="M294" s="109">
        <v>36040032</v>
      </c>
      <c r="N294" s="111"/>
      <c r="O294" s="109">
        <v>7500000</v>
      </c>
      <c r="P294" s="110"/>
      <c r="Q294" s="109">
        <f>M294+N294+O294+P294</f>
        <v>43540032</v>
      </c>
      <c r="R294" s="5"/>
      <c r="S294" s="5"/>
      <c r="T294" s="72"/>
      <c r="U294" s="5"/>
      <c r="V294" s="5"/>
      <c r="W294" s="28">
        <v>36040032</v>
      </c>
      <c r="X294" s="28">
        <f>N294-S294</f>
        <v>0</v>
      </c>
      <c r="Y294" s="36">
        <f>O294-T294</f>
        <v>7500000</v>
      </c>
      <c r="Z294" s="28">
        <f>P294-U294</f>
        <v>0</v>
      </c>
      <c r="AA294" s="8">
        <v>36040032</v>
      </c>
      <c r="AB294" s="40"/>
      <c r="AC294" s="121">
        <f>IF(AB294=G294,1,2)</f>
        <v>2</v>
      </c>
      <c r="AD294" s="121"/>
    </row>
    <row r="295" spans="1:30" customFormat="1" ht="31.2" hidden="1" x14ac:dyDescent="0.3">
      <c r="A295" s="7" t="s">
        <v>53</v>
      </c>
      <c r="B295" s="6">
        <v>94</v>
      </c>
      <c r="C295" s="7" t="s">
        <v>332</v>
      </c>
      <c r="D295" s="7" t="s">
        <v>332</v>
      </c>
      <c r="E295" s="5"/>
      <c r="F295" s="4"/>
      <c r="G295" s="7" t="s">
        <v>345</v>
      </c>
      <c r="H295" s="5"/>
      <c r="I295" s="5"/>
      <c r="J295" s="7" t="s">
        <v>346</v>
      </c>
      <c r="K295" s="7" t="s">
        <v>24</v>
      </c>
      <c r="L295" s="7" t="s">
        <v>347</v>
      </c>
      <c r="M295" s="109">
        <v>204521740</v>
      </c>
      <c r="N295" s="111"/>
      <c r="O295" s="109">
        <v>7500000</v>
      </c>
      <c r="P295" s="110"/>
      <c r="Q295" s="109">
        <f>M295+N295+O295+P295</f>
        <v>212021740</v>
      </c>
      <c r="R295" s="36">
        <v>204521740</v>
      </c>
      <c r="S295" s="5"/>
      <c r="T295" s="30">
        <v>7500000</v>
      </c>
      <c r="U295" s="5"/>
      <c r="V295" s="5"/>
      <c r="W295" s="28"/>
      <c r="X295" s="28">
        <f>N295-S295</f>
        <v>0</v>
      </c>
      <c r="Y295" s="28">
        <f>O295-T295</f>
        <v>0</v>
      </c>
      <c r="Z295" s="28">
        <f>P295-U295</f>
        <v>0</v>
      </c>
      <c r="AA295" s="4"/>
      <c r="AB295" s="4"/>
      <c r="AC295">
        <f>IF(AB295=G295,1,2)</f>
        <v>2</v>
      </c>
    </row>
    <row r="296" spans="1:30" customFormat="1" ht="31.2" hidden="1" x14ac:dyDescent="0.3">
      <c r="A296" s="7" t="s">
        <v>53</v>
      </c>
      <c r="B296" s="6">
        <v>95</v>
      </c>
      <c r="C296" s="7" t="s">
        <v>332</v>
      </c>
      <c r="D296" s="7" t="s">
        <v>332</v>
      </c>
      <c r="E296" s="5"/>
      <c r="F296" s="4"/>
      <c r="G296" s="7" t="s">
        <v>348</v>
      </c>
      <c r="H296" s="5"/>
      <c r="I296" s="5"/>
      <c r="J296" s="7" t="s">
        <v>349</v>
      </c>
      <c r="K296" s="7" t="s">
        <v>24</v>
      </c>
      <c r="L296" s="7" t="s">
        <v>350</v>
      </c>
      <c r="M296" s="109">
        <v>174193488</v>
      </c>
      <c r="N296" s="111"/>
      <c r="O296" s="109">
        <v>7500000</v>
      </c>
      <c r="P296" s="110"/>
      <c r="Q296" s="109">
        <f>M296+N296+O296+P296</f>
        <v>181693488</v>
      </c>
      <c r="R296" s="36">
        <v>174193488</v>
      </c>
      <c r="S296" s="5"/>
      <c r="T296" s="30">
        <v>7500000</v>
      </c>
      <c r="U296" s="5"/>
      <c r="V296" s="5"/>
      <c r="W296" s="28"/>
      <c r="X296" s="28">
        <f>N296-S296</f>
        <v>0</v>
      </c>
      <c r="Y296" s="28">
        <f>O296-T296</f>
        <v>0</v>
      </c>
      <c r="Z296" s="28">
        <f>P296-U296</f>
        <v>0</v>
      </c>
      <c r="AA296" s="4"/>
      <c r="AB296" s="4"/>
      <c r="AC296">
        <f>IF(AB296=G296,1,2)</f>
        <v>2</v>
      </c>
    </row>
    <row r="297" spans="1:30" customFormat="1" ht="31.2" hidden="1" x14ac:dyDescent="0.3">
      <c r="A297" s="7" t="s">
        <v>18</v>
      </c>
      <c r="B297" s="6">
        <v>96</v>
      </c>
      <c r="C297" s="7" t="s">
        <v>332</v>
      </c>
      <c r="D297" s="7" t="s">
        <v>332</v>
      </c>
      <c r="E297" s="5"/>
      <c r="F297" s="4"/>
      <c r="G297" s="7" t="s">
        <v>351</v>
      </c>
      <c r="H297" s="5"/>
      <c r="I297" s="5"/>
      <c r="J297" s="7" t="s">
        <v>352</v>
      </c>
      <c r="K297" s="7" t="s">
        <v>24</v>
      </c>
      <c r="L297" s="7" t="s">
        <v>353</v>
      </c>
      <c r="M297" s="109">
        <v>561134642</v>
      </c>
      <c r="N297" s="111"/>
      <c r="O297" s="109">
        <v>7500000</v>
      </c>
      <c r="P297" s="110"/>
      <c r="Q297" s="109">
        <f>M297+N297+O297+P297</f>
        <v>568634642</v>
      </c>
      <c r="R297" s="3">
        <v>561134642</v>
      </c>
      <c r="S297" s="5"/>
      <c r="T297" s="30">
        <v>7500000</v>
      </c>
      <c r="U297" s="5"/>
      <c r="V297" s="5"/>
      <c r="W297" s="28"/>
      <c r="X297" s="28">
        <f>N297-S297</f>
        <v>0</v>
      </c>
      <c r="Y297" s="28">
        <f>O297-T297</f>
        <v>0</v>
      </c>
      <c r="Z297" s="28">
        <f>P297-U297</f>
        <v>0</v>
      </c>
      <c r="AA297" s="4"/>
      <c r="AB297" s="4"/>
      <c r="AC297">
        <f>IF(AB297=G297,1,2)</f>
        <v>2</v>
      </c>
    </row>
    <row r="298" spans="1:30" customFormat="1" ht="31.2" hidden="1" x14ac:dyDescent="0.3">
      <c r="A298" s="7" t="s">
        <v>62</v>
      </c>
      <c r="B298" s="6">
        <v>97</v>
      </c>
      <c r="C298" s="7" t="s">
        <v>332</v>
      </c>
      <c r="D298" s="7" t="s">
        <v>332</v>
      </c>
      <c r="E298" s="5"/>
      <c r="F298" s="4"/>
      <c r="G298" s="7" t="s">
        <v>354</v>
      </c>
      <c r="H298" s="5"/>
      <c r="I298" s="5"/>
      <c r="J298" s="7" t="s">
        <v>355</v>
      </c>
      <c r="K298" s="7" t="s">
        <v>24</v>
      </c>
      <c r="L298" s="7" t="s">
        <v>356</v>
      </c>
      <c r="M298" s="109">
        <v>5030906224</v>
      </c>
      <c r="N298" s="111"/>
      <c r="O298" s="109">
        <v>15000000</v>
      </c>
      <c r="P298" s="110"/>
      <c r="Q298" s="109">
        <f>M298+N298+O298+P298</f>
        <v>5045906224</v>
      </c>
      <c r="R298" s="3">
        <v>5030906224</v>
      </c>
      <c r="S298" s="5"/>
      <c r="T298" s="30">
        <v>15000000</v>
      </c>
      <c r="U298" s="5"/>
      <c r="V298" s="5"/>
      <c r="W298" s="28"/>
      <c r="X298" s="28">
        <f>N298-S298</f>
        <v>0</v>
      </c>
      <c r="Y298" s="28">
        <f>O298-T298</f>
        <v>0</v>
      </c>
      <c r="Z298" s="28">
        <f>P298-U298</f>
        <v>0</v>
      </c>
      <c r="AA298" s="4"/>
      <c r="AB298" s="4"/>
      <c r="AC298">
        <f>IF(AB298=G298,1,2)</f>
        <v>2</v>
      </c>
    </row>
    <row r="299" spans="1:30" customFormat="1" ht="78" hidden="1" customHeight="1" x14ac:dyDescent="0.3">
      <c r="A299" s="7" t="s">
        <v>46</v>
      </c>
      <c r="B299" s="6">
        <v>98</v>
      </c>
      <c r="C299" s="7" t="s">
        <v>357</v>
      </c>
      <c r="D299" s="7" t="s">
        <v>357</v>
      </c>
      <c r="E299" s="5"/>
      <c r="F299" s="4"/>
      <c r="G299" s="7" t="s">
        <v>358</v>
      </c>
      <c r="H299" s="5"/>
      <c r="I299" s="5"/>
      <c r="J299" s="7" t="s">
        <v>359</v>
      </c>
      <c r="K299" s="7" t="s">
        <v>24</v>
      </c>
      <c r="L299" s="7" t="s">
        <v>360</v>
      </c>
      <c r="M299" s="109">
        <v>5668407622</v>
      </c>
      <c r="N299" s="111"/>
      <c r="O299" s="109">
        <v>15000000</v>
      </c>
      <c r="P299" s="110"/>
      <c r="Q299" s="109">
        <f>M299+N299+O299+P299</f>
        <v>5683407622</v>
      </c>
      <c r="R299" s="36">
        <v>5668407622</v>
      </c>
      <c r="S299" s="5"/>
      <c r="T299" s="30">
        <v>15000000</v>
      </c>
      <c r="U299" s="5"/>
      <c r="V299" s="5"/>
      <c r="W299" s="28"/>
      <c r="X299" s="28">
        <f>N299-S299</f>
        <v>0</v>
      </c>
      <c r="Y299" s="28">
        <f>O299-T299</f>
        <v>0</v>
      </c>
      <c r="Z299" s="28">
        <f>P299-U299</f>
        <v>0</v>
      </c>
      <c r="AA299" s="4"/>
      <c r="AB299" s="4"/>
      <c r="AC299">
        <f>IF(AB299=G299,1,2)</f>
        <v>2</v>
      </c>
    </row>
    <row r="300" spans="1:30" customFormat="1" ht="31.2" hidden="1" x14ac:dyDescent="0.3">
      <c r="A300" s="7" t="s">
        <v>18</v>
      </c>
      <c r="B300" s="6">
        <v>99</v>
      </c>
      <c r="C300" s="7" t="s">
        <v>357</v>
      </c>
      <c r="D300" s="7" t="s">
        <v>357</v>
      </c>
      <c r="E300" s="5"/>
      <c r="F300" s="4"/>
      <c r="G300" s="7" t="s">
        <v>361</v>
      </c>
      <c r="H300" s="5"/>
      <c r="I300" s="5"/>
      <c r="J300" s="7" t="s">
        <v>362</v>
      </c>
      <c r="K300" s="7" t="s">
        <v>24</v>
      </c>
      <c r="L300" s="7" t="s">
        <v>363</v>
      </c>
      <c r="M300" s="109">
        <v>3310083600</v>
      </c>
      <c r="N300" s="111"/>
      <c r="O300" s="109">
        <v>7500000</v>
      </c>
      <c r="P300" s="110"/>
      <c r="Q300" s="109">
        <f>M300+N300+O300+P300</f>
        <v>3317583600</v>
      </c>
      <c r="R300" s="36">
        <v>3310083600</v>
      </c>
      <c r="S300" s="5"/>
      <c r="T300" s="31">
        <v>7500000</v>
      </c>
      <c r="U300" s="5"/>
      <c r="V300" s="5"/>
      <c r="W300" s="28"/>
      <c r="X300" s="28">
        <f>N300-S300</f>
        <v>0</v>
      </c>
      <c r="Y300" s="28">
        <f>O300-T300</f>
        <v>0</v>
      </c>
      <c r="Z300" s="28">
        <f>P300-U300</f>
        <v>0</v>
      </c>
      <c r="AA300" s="4"/>
      <c r="AB300" s="4"/>
      <c r="AC300">
        <f>IF(AB300=G300,1,2)</f>
        <v>2</v>
      </c>
    </row>
    <row r="301" spans="1:30" customFormat="1" ht="31.2" hidden="1" x14ac:dyDescent="0.3">
      <c r="A301" s="7" t="s">
        <v>53</v>
      </c>
      <c r="B301" s="6">
        <v>100</v>
      </c>
      <c r="C301" s="7" t="s">
        <v>357</v>
      </c>
      <c r="D301" s="7" t="s">
        <v>357</v>
      </c>
      <c r="E301" s="5"/>
      <c r="F301" s="4"/>
      <c r="G301" s="7" t="s">
        <v>364</v>
      </c>
      <c r="H301" s="5"/>
      <c r="I301" s="5"/>
      <c r="J301" s="7" t="s">
        <v>365</v>
      </c>
      <c r="K301" s="7" t="s">
        <v>24</v>
      </c>
      <c r="L301" s="7" t="s">
        <v>366</v>
      </c>
      <c r="M301" s="109">
        <v>1175040216</v>
      </c>
      <c r="N301" s="111"/>
      <c r="O301" s="109">
        <v>7500000</v>
      </c>
      <c r="P301" s="110"/>
      <c r="Q301" s="109">
        <f>M301+N301+O301+P301</f>
        <v>1182540216</v>
      </c>
      <c r="R301" s="3">
        <v>1175040216</v>
      </c>
      <c r="S301" s="5"/>
      <c r="T301" s="30">
        <v>7500000</v>
      </c>
      <c r="U301" s="5"/>
      <c r="V301" s="5"/>
      <c r="W301" s="28"/>
      <c r="X301" s="28">
        <f>N301-S301</f>
        <v>0</v>
      </c>
      <c r="Y301" s="28">
        <f>O301-T301</f>
        <v>0</v>
      </c>
      <c r="Z301" s="28">
        <f>P301-U301</f>
        <v>0</v>
      </c>
      <c r="AA301" s="4"/>
      <c r="AB301" s="4"/>
      <c r="AC301">
        <f>IF(AB301=G301,1,2)</f>
        <v>2</v>
      </c>
    </row>
    <row r="302" spans="1:30" customFormat="1" ht="31.2" hidden="1" x14ac:dyDescent="0.3">
      <c r="A302" s="7" t="s">
        <v>62</v>
      </c>
      <c r="B302" s="6">
        <v>101</v>
      </c>
      <c r="C302" s="7" t="s">
        <v>357</v>
      </c>
      <c r="D302" s="7" t="s">
        <v>357</v>
      </c>
      <c r="E302" s="5"/>
      <c r="F302" s="4"/>
      <c r="G302" s="7" t="s">
        <v>367</v>
      </c>
      <c r="H302" s="5"/>
      <c r="I302" s="5"/>
      <c r="J302" s="7" t="s">
        <v>368</v>
      </c>
      <c r="K302" s="7" t="s">
        <v>24</v>
      </c>
      <c r="L302" s="7" t="s">
        <v>369</v>
      </c>
      <c r="M302" s="109">
        <v>284424800</v>
      </c>
      <c r="N302" s="111"/>
      <c r="O302" s="109">
        <v>7500000</v>
      </c>
      <c r="P302" s="110"/>
      <c r="Q302" s="109">
        <f>M302+N302+O302+P302</f>
        <v>291924800</v>
      </c>
      <c r="R302" s="3">
        <v>284424800</v>
      </c>
      <c r="S302" s="5"/>
      <c r="T302" s="30">
        <v>7500000</v>
      </c>
      <c r="U302" s="5"/>
      <c r="V302" s="5"/>
      <c r="W302" s="28"/>
      <c r="X302" s="28">
        <f>N302-S302</f>
        <v>0</v>
      </c>
      <c r="Y302" s="28">
        <f>O302-T302</f>
        <v>0</v>
      </c>
      <c r="Z302" s="28">
        <f>P302-U302</f>
        <v>0</v>
      </c>
      <c r="AA302" s="4"/>
      <c r="AB302" s="4"/>
      <c r="AC302">
        <f>IF(AB302=G302,1,2)</f>
        <v>2</v>
      </c>
    </row>
    <row r="303" spans="1:30" customFormat="1" ht="31.2" hidden="1" x14ac:dyDescent="0.3">
      <c r="A303" s="7" t="s">
        <v>53</v>
      </c>
      <c r="B303" s="6">
        <v>102</v>
      </c>
      <c r="C303" s="7" t="s">
        <v>357</v>
      </c>
      <c r="D303" s="7" t="s">
        <v>357</v>
      </c>
      <c r="E303" s="5"/>
      <c r="F303" s="4"/>
      <c r="G303" s="7" t="s">
        <v>370</v>
      </c>
      <c r="H303" s="5"/>
      <c r="I303" s="5"/>
      <c r="J303" s="7" t="s">
        <v>371</v>
      </c>
      <c r="K303" s="7" t="s">
        <v>24</v>
      </c>
      <c r="L303" s="7" t="s">
        <v>372</v>
      </c>
      <c r="M303" s="109">
        <v>3150363430</v>
      </c>
      <c r="N303" s="111"/>
      <c r="O303" s="109">
        <v>15000000</v>
      </c>
      <c r="P303" s="110"/>
      <c r="Q303" s="109">
        <f>M303+N303+O303+P303</f>
        <v>3165363430</v>
      </c>
      <c r="R303" s="3">
        <v>3150363430</v>
      </c>
      <c r="S303" s="5"/>
      <c r="T303" s="30">
        <v>15000000</v>
      </c>
      <c r="U303" s="5"/>
      <c r="V303" s="5"/>
      <c r="W303" s="28"/>
      <c r="X303" s="28">
        <f>N303-S303</f>
        <v>0</v>
      </c>
      <c r="Y303" s="28">
        <f>O303-T303</f>
        <v>0</v>
      </c>
      <c r="Z303" s="28">
        <f>P303-U303</f>
        <v>0</v>
      </c>
      <c r="AA303" s="4"/>
      <c r="AB303" s="4"/>
      <c r="AC303">
        <f>IF(AB303=G303,1,2)</f>
        <v>2</v>
      </c>
    </row>
    <row r="304" spans="1:30" customFormat="1" ht="46.8" hidden="1" x14ac:dyDescent="0.3">
      <c r="A304" s="7" t="s">
        <v>53</v>
      </c>
      <c r="B304" s="6">
        <v>103</v>
      </c>
      <c r="C304" s="7" t="s">
        <v>357</v>
      </c>
      <c r="D304" s="7" t="s">
        <v>357</v>
      </c>
      <c r="E304" s="7" t="s">
        <v>373</v>
      </c>
      <c r="F304" s="4"/>
      <c r="G304" s="7" t="s">
        <v>374</v>
      </c>
      <c r="H304" s="7" t="s">
        <v>375</v>
      </c>
      <c r="I304" s="5"/>
      <c r="J304" s="7" t="s">
        <v>376</v>
      </c>
      <c r="K304" s="7" t="s">
        <v>24</v>
      </c>
      <c r="L304" s="7" t="s">
        <v>377</v>
      </c>
      <c r="M304" s="109">
        <v>1346007746</v>
      </c>
      <c r="N304" s="109">
        <v>80365824</v>
      </c>
      <c r="O304" s="109">
        <v>15000000</v>
      </c>
      <c r="P304" s="110"/>
      <c r="Q304" s="109">
        <f>M304+N304+O304+P304</f>
        <v>1441373570</v>
      </c>
      <c r="R304" s="3">
        <v>1346007746</v>
      </c>
      <c r="S304" s="3">
        <v>80365824</v>
      </c>
      <c r="T304" s="30">
        <v>15000000</v>
      </c>
      <c r="U304" s="5"/>
      <c r="V304" s="5"/>
      <c r="W304" s="28"/>
      <c r="X304" s="28">
        <f>N304-S304</f>
        <v>0</v>
      </c>
      <c r="Y304" s="28">
        <f>O304-T304</f>
        <v>0</v>
      </c>
      <c r="Z304" s="28">
        <f>P304-U304</f>
        <v>0</v>
      </c>
      <c r="AA304" s="4"/>
      <c r="AB304" s="4"/>
      <c r="AC304">
        <f>IF(AB304=G304,1,2)</f>
        <v>2</v>
      </c>
    </row>
    <row r="305" spans="1:30" customFormat="1" ht="31.2" hidden="1" x14ac:dyDescent="0.3">
      <c r="A305" s="7" t="s">
        <v>53</v>
      </c>
      <c r="B305" s="6">
        <v>105</v>
      </c>
      <c r="C305" s="7" t="s">
        <v>357</v>
      </c>
      <c r="D305" s="7" t="s">
        <v>357</v>
      </c>
      <c r="E305" s="7" t="s">
        <v>177</v>
      </c>
      <c r="F305" s="4"/>
      <c r="G305" s="7" t="s">
        <v>382</v>
      </c>
      <c r="H305" s="7" t="s">
        <v>383</v>
      </c>
      <c r="I305" s="5"/>
      <c r="J305" s="7" t="s">
        <v>384</v>
      </c>
      <c r="K305" s="7" t="s">
        <v>24</v>
      </c>
      <c r="L305" s="7" t="s">
        <v>385</v>
      </c>
      <c r="M305" s="109">
        <v>897636048</v>
      </c>
      <c r="N305" s="109">
        <v>250664832</v>
      </c>
      <c r="O305" s="109">
        <v>7500000</v>
      </c>
      <c r="P305" s="110"/>
      <c r="Q305" s="109">
        <f>M305+N305+O305+P305</f>
        <v>1155800880</v>
      </c>
      <c r="R305" s="3">
        <v>897636048</v>
      </c>
      <c r="S305" s="3">
        <v>250664832</v>
      </c>
      <c r="T305" s="30">
        <v>7500000</v>
      </c>
      <c r="U305" s="5"/>
      <c r="V305" s="5"/>
      <c r="W305" s="28"/>
      <c r="X305" s="28">
        <f>N305-S305</f>
        <v>0</v>
      </c>
      <c r="Y305" s="28">
        <f>O305-T305</f>
        <v>0</v>
      </c>
      <c r="Z305" s="28">
        <f>P305-U305</f>
        <v>0</v>
      </c>
      <c r="AA305" s="4"/>
      <c r="AB305" s="4"/>
      <c r="AC305">
        <f>IF(AB305=G305,1,2)</f>
        <v>2</v>
      </c>
    </row>
    <row r="306" spans="1:30" customFormat="1" ht="31.2" hidden="1" x14ac:dyDescent="0.3">
      <c r="A306" s="7" t="s">
        <v>62</v>
      </c>
      <c r="B306" s="6">
        <v>106</v>
      </c>
      <c r="C306" s="7" t="s">
        <v>357</v>
      </c>
      <c r="D306" s="7" t="s">
        <v>357</v>
      </c>
      <c r="E306" s="5"/>
      <c r="F306" s="4"/>
      <c r="G306" s="7" t="s">
        <v>386</v>
      </c>
      <c r="H306" s="5"/>
      <c r="I306" s="5"/>
      <c r="J306" s="7" t="s">
        <v>387</v>
      </c>
      <c r="K306" s="7" t="s">
        <v>24</v>
      </c>
      <c r="L306" s="7" t="s">
        <v>388</v>
      </c>
      <c r="M306" s="109">
        <v>4231623100</v>
      </c>
      <c r="N306" s="111"/>
      <c r="O306" s="109">
        <v>7500000</v>
      </c>
      <c r="P306" s="110"/>
      <c r="Q306" s="109">
        <f>M306+N306+O306+P306</f>
        <v>4239123100</v>
      </c>
      <c r="R306" s="3">
        <v>4231623100</v>
      </c>
      <c r="S306" s="5"/>
      <c r="T306" s="30">
        <v>7500000</v>
      </c>
      <c r="U306" s="5"/>
      <c r="V306" s="5"/>
      <c r="W306" s="28"/>
      <c r="X306" s="28">
        <f>N306-S306</f>
        <v>0</v>
      </c>
      <c r="Y306" s="28">
        <f>O306-T306</f>
        <v>0</v>
      </c>
      <c r="Z306" s="28">
        <f>P306-U306</f>
        <v>0</v>
      </c>
      <c r="AA306" s="4"/>
      <c r="AB306" s="4"/>
      <c r="AC306">
        <f>IF(AB306=G306,1,2)</f>
        <v>2</v>
      </c>
    </row>
    <row r="307" spans="1:30" customFormat="1" ht="31.2" hidden="1" x14ac:dyDescent="0.3">
      <c r="A307" s="7" t="s">
        <v>18</v>
      </c>
      <c r="B307" s="6">
        <v>107</v>
      </c>
      <c r="C307" s="7" t="s">
        <v>357</v>
      </c>
      <c r="D307" s="7" t="s">
        <v>357</v>
      </c>
      <c r="E307" s="7" t="s">
        <v>389</v>
      </c>
      <c r="F307" s="4"/>
      <c r="G307" s="7" t="s">
        <v>390</v>
      </c>
      <c r="H307" s="7" t="s">
        <v>391</v>
      </c>
      <c r="I307" s="5"/>
      <c r="J307" s="7" t="s">
        <v>392</v>
      </c>
      <c r="K307" s="7" t="s">
        <v>24</v>
      </c>
      <c r="L307" s="7" t="s">
        <v>393</v>
      </c>
      <c r="M307" s="109">
        <v>10867091933</v>
      </c>
      <c r="N307" s="109">
        <v>156002688</v>
      </c>
      <c r="O307" s="109">
        <v>15000000</v>
      </c>
      <c r="P307" s="110"/>
      <c r="Q307" s="109">
        <f>M307+N307+O307+P307</f>
        <v>11038094621</v>
      </c>
      <c r="R307" s="3">
        <v>10867091933</v>
      </c>
      <c r="S307" s="3">
        <v>156002688</v>
      </c>
      <c r="T307" s="30">
        <v>15000000</v>
      </c>
      <c r="U307" s="5"/>
      <c r="V307" s="5"/>
      <c r="W307" s="28"/>
      <c r="X307" s="28">
        <f>N307-S307</f>
        <v>0</v>
      </c>
      <c r="Y307" s="28">
        <f>O307-T307</f>
        <v>0</v>
      </c>
      <c r="Z307" s="28">
        <f>P307-U307</f>
        <v>0</v>
      </c>
      <c r="AA307" s="4"/>
      <c r="AB307" s="4"/>
      <c r="AC307">
        <f>IF(AB307=G307,1,2)</f>
        <v>2</v>
      </c>
    </row>
    <row r="308" spans="1:30" customFormat="1" ht="62.4" hidden="1" x14ac:dyDescent="0.3">
      <c r="A308" s="7" t="s">
        <v>53</v>
      </c>
      <c r="B308" s="6">
        <v>108</v>
      </c>
      <c r="C308" s="7" t="s">
        <v>357</v>
      </c>
      <c r="D308" s="7" t="s">
        <v>357</v>
      </c>
      <c r="E308" s="5"/>
      <c r="F308" s="4"/>
      <c r="G308" s="7" t="s">
        <v>394</v>
      </c>
      <c r="H308" s="7" t="s">
        <v>395</v>
      </c>
      <c r="I308" s="5"/>
      <c r="J308" s="7" t="s">
        <v>396</v>
      </c>
      <c r="K308" s="7" t="s">
        <v>24</v>
      </c>
      <c r="L308" s="7" t="s">
        <v>397</v>
      </c>
      <c r="M308" s="109">
        <v>724953680</v>
      </c>
      <c r="N308" s="111"/>
      <c r="O308" s="109">
        <v>7500000</v>
      </c>
      <c r="P308" s="110"/>
      <c r="Q308" s="109">
        <f>M308+N308+O308+P308</f>
        <v>732453680</v>
      </c>
      <c r="R308" s="3">
        <v>724953680</v>
      </c>
      <c r="S308" s="5"/>
      <c r="T308" s="30">
        <v>7500000</v>
      </c>
      <c r="U308" s="5"/>
      <c r="V308" s="5"/>
      <c r="W308" s="28"/>
      <c r="X308" s="28">
        <f>N308-S308</f>
        <v>0</v>
      </c>
      <c r="Y308" s="28">
        <f>O308-T308</f>
        <v>0</v>
      </c>
      <c r="Z308" s="28">
        <f>P308-U308</f>
        <v>0</v>
      </c>
      <c r="AA308" s="4"/>
      <c r="AB308" s="4"/>
      <c r="AC308">
        <f>IF(AB308=G308,1,2)</f>
        <v>2</v>
      </c>
    </row>
    <row r="309" spans="1:30" customFormat="1" ht="31.2" hidden="1" x14ac:dyDescent="0.3">
      <c r="A309" s="7" t="s">
        <v>18</v>
      </c>
      <c r="B309" s="6">
        <v>109</v>
      </c>
      <c r="C309" s="7" t="s">
        <v>398</v>
      </c>
      <c r="D309" s="7" t="s">
        <v>398</v>
      </c>
      <c r="E309" s="5"/>
      <c r="F309" s="4"/>
      <c r="G309" s="7" t="s">
        <v>399</v>
      </c>
      <c r="H309" s="7" t="s">
        <v>400</v>
      </c>
      <c r="I309" s="5"/>
      <c r="J309" s="7" t="s">
        <v>401</v>
      </c>
      <c r="K309" s="7" t="s">
        <v>24</v>
      </c>
      <c r="L309" s="7" t="s">
        <v>402</v>
      </c>
      <c r="M309" s="109">
        <v>181108800</v>
      </c>
      <c r="N309" s="111"/>
      <c r="O309" s="109">
        <v>7500000</v>
      </c>
      <c r="P309" s="110"/>
      <c r="Q309" s="109">
        <f>M309+N309+O309+P309</f>
        <v>188608800</v>
      </c>
      <c r="R309" s="3">
        <v>181108800</v>
      </c>
      <c r="S309" s="5"/>
      <c r="T309" s="30">
        <v>7500000</v>
      </c>
      <c r="U309" s="5"/>
      <c r="V309" s="5"/>
      <c r="W309" s="28"/>
      <c r="X309" s="28">
        <f>N309-S309</f>
        <v>0</v>
      </c>
      <c r="Y309" s="28">
        <f>O309-T309</f>
        <v>0</v>
      </c>
      <c r="Z309" s="28">
        <f>P309-U309</f>
        <v>0</v>
      </c>
      <c r="AA309" s="4"/>
      <c r="AB309" s="4"/>
      <c r="AC309">
        <f>IF(AB309=G309,1,2)</f>
        <v>2</v>
      </c>
    </row>
    <row r="310" spans="1:30" customFormat="1" ht="31.2" hidden="1" x14ac:dyDescent="0.3">
      <c r="A310" s="7" t="s">
        <v>62</v>
      </c>
      <c r="B310" s="6">
        <v>110</v>
      </c>
      <c r="C310" s="7" t="s">
        <v>398</v>
      </c>
      <c r="D310" s="7" t="s">
        <v>398</v>
      </c>
      <c r="E310" s="7" t="s">
        <v>158</v>
      </c>
      <c r="F310" s="4"/>
      <c r="G310" s="7" t="s">
        <v>403</v>
      </c>
      <c r="H310" s="7" t="s">
        <v>404</v>
      </c>
      <c r="I310" s="5"/>
      <c r="J310" s="7" t="s">
        <v>405</v>
      </c>
      <c r="K310" s="7" t="s">
        <v>24</v>
      </c>
      <c r="L310" s="7" t="s">
        <v>406</v>
      </c>
      <c r="M310" s="109">
        <v>175354039</v>
      </c>
      <c r="N310" s="109">
        <v>21563136</v>
      </c>
      <c r="O310" s="109">
        <v>7500000</v>
      </c>
      <c r="P310" s="110"/>
      <c r="Q310" s="109">
        <f>M310+N310+O310+P310</f>
        <v>204417175</v>
      </c>
      <c r="R310" s="3">
        <v>175354039</v>
      </c>
      <c r="S310" s="3">
        <v>21563136</v>
      </c>
      <c r="T310" s="30">
        <v>7500000</v>
      </c>
      <c r="U310" s="5"/>
      <c r="V310" s="5"/>
      <c r="W310" s="28"/>
      <c r="X310" s="28">
        <f>N310-S310</f>
        <v>0</v>
      </c>
      <c r="Y310" s="28">
        <f>O310-T310</f>
        <v>0</v>
      </c>
      <c r="Z310" s="28">
        <f>P310-U310</f>
        <v>0</v>
      </c>
      <c r="AA310" s="4"/>
      <c r="AB310" s="4"/>
      <c r="AC310">
        <f>IF(AB310=G310,1,2)</f>
        <v>2</v>
      </c>
    </row>
    <row r="311" spans="1:30" customFormat="1" ht="31.2" hidden="1" x14ac:dyDescent="0.3">
      <c r="A311" s="7" t="s">
        <v>53</v>
      </c>
      <c r="B311" s="6">
        <v>111</v>
      </c>
      <c r="C311" s="7" t="s">
        <v>398</v>
      </c>
      <c r="D311" s="7" t="s">
        <v>398</v>
      </c>
      <c r="E311" s="7"/>
      <c r="F311" s="4"/>
      <c r="G311" s="7" t="s">
        <v>407</v>
      </c>
      <c r="H311" s="7"/>
      <c r="I311" s="7"/>
      <c r="J311" s="7" t="s">
        <v>408</v>
      </c>
      <c r="K311" s="7" t="s">
        <v>24</v>
      </c>
      <c r="L311" s="7" t="s">
        <v>409</v>
      </c>
      <c r="M311" s="109">
        <v>4822077237</v>
      </c>
      <c r="N311" s="111"/>
      <c r="O311" s="109">
        <v>7500000</v>
      </c>
      <c r="P311" s="110"/>
      <c r="Q311" s="109">
        <f>M311+N311+O311+P311</f>
        <v>4829577237</v>
      </c>
      <c r="R311" s="3">
        <v>4822077237</v>
      </c>
      <c r="S311" s="5"/>
      <c r="T311" s="72"/>
      <c r="U311" s="5"/>
      <c r="V311" s="5"/>
      <c r="W311" s="28"/>
      <c r="X311" s="28">
        <f>N311-S311</f>
        <v>0</v>
      </c>
      <c r="Y311" s="36">
        <f>O311-T311</f>
        <v>7500000</v>
      </c>
      <c r="Z311" s="28">
        <f>P311-U311</f>
        <v>0</v>
      </c>
      <c r="AA311" s="4"/>
      <c r="AB311" s="40"/>
      <c r="AC311" s="121">
        <f>IF(AB311=G311,1,2)</f>
        <v>2</v>
      </c>
      <c r="AD311" s="121"/>
    </row>
    <row r="312" spans="1:30" customFormat="1" ht="62.4" hidden="1" x14ac:dyDescent="0.3">
      <c r="A312" s="7" t="s">
        <v>53</v>
      </c>
      <c r="B312" s="6">
        <v>112</v>
      </c>
      <c r="C312" s="7" t="s">
        <v>398</v>
      </c>
      <c r="D312" s="7" t="s">
        <v>398</v>
      </c>
      <c r="E312" s="5"/>
      <c r="F312" s="4"/>
      <c r="G312" s="7" t="s">
        <v>410</v>
      </c>
      <c r="H312" s="5"/>
      <c r="I312" s="5"/>
      <c r="J312" s="7" t="s">
        <v>411</v>
      </c>
      <c r="K312" s="7" t="s">
        <v>24</v>
      </c>
      <c r="L312" s="7" t="s">
        <v>412</v>
      </c>
      <c r="M312" s="109">
        <v>216787032</v>
      </c>
      <c r="N312" s="111"/>
      <c r="O312" s="109">
        <v>7500000</v>
      </c>
      <c r="P312" s="110"/>
      <c r="Q312" s="109">
        <f>M312+N312+O312+P312</f>
        <v>224287032</v>
      </c>
      <c r="R312" s="3">
        <v>216787032</v>
      </c>
      <c r="S312" s="5"/>
      <c r="T312" s="30">
        <v>7500000</v>
      </c>
      <c r="U312" s="5"/>
      <c r="V312" s="5"/>
      <c r="W312" s="28"/>
      <c r="X312" s="28">
        <f>N312-S312</f>
        <v>0</v>
      </c>
      <c r="Y312" s="28">
        <f>O312-T312</f>
        <v>0</v>
      </c>
      <c r="Z312" s="28">
        <f>P312-U312</f>
        <v>0</v>
      </c>
      <c r="AA312" s="4"/>
      <c r="AB312" s="4"/>
      <c r="AC312">
        <f>IF(AB312=G312,1,2)</f>
        <v>2</v>
      </c>
    </row>
    <row r="313" spans="1:30" customFormat="1" ht="31.2" hidden="1" x14ac:dyDescent="0.3">
      <c r="A313" s="7" t="s">
        <v>18</v>
      </c>
      <c r="B313" s="6">
        <v>113</v>
      </c>
      <c r="C313" s="7" t="s">
        <v>398</v>
      </c>
      <c r="D313" s="7" t="s">
        <v>398</v>
      </c>
      <c r="E313" s="5"/>
      <c r="F313" s="4"/>
      <c r="G313" s="7" t="s">
        <v>413</v>
      </c>
      <c r="H313" s="5"/>
      <c r="I313" s="5"/>
      <c r="J313" s="7" t="s">
        <v>414</v>
      </c>
      <c r="K313" s="7" t="s">
        <v>24</v>
      </c>
      <c r="L313" s="7" t="s">
        <v>415</v>
      </c>
      <c r="M313" s="109">
        <v>5253286196</v>
      </c>
      <c r="N313" s="111"/>
      <c r="O313" s="109">
        <v>15000000</v>
      </c>
      <c r="P313" s="110"/>
      <c r="Q313" s="109">
        <f>M313+N313+O313+P313</f>
        <v>5268286196</v>
      </c>
      <c r="R313" s="36">
        <v>5253286196</v>
      </c>
      <c r="S313" s="5"/>
      <c r="T313" s="30">
        <v>15000000</v>
      </c>
      <c r="U313" s="5"/>
      <c r="V313" s="5"/>
      <c r="W313" s="28"/>
      <c r="X313" s="28">
        <f>N313-S313</f>
        <v>0</v>
      </c>
      <c r="Y313" s="28">
        <f>O313-T313</f>
        <v>0</v>
      </c>
      <c r="Z313" s="28">
        <f>P313-U313</f>
        <v>0</v>
      </c>
      <c r="AA313" s="4"/>
      <c r="AB313" s="4"/>
      <c r="AC313">
        <f>IF(AB313=G313,1,2)</f>
        <v>2</v>
      </c>
    </row>
    <row r="314" spans="1:30" customFormat="1" ht="31.2" hidden="1" x14ac:dyDescent="0.3">
      <c r="A314" s="7" t="s">
        <v>46</v>
      </c>
      <c r="B314" s="6">
        <v>114</v>
      </c>
      <c r="C314" s="7" t="s">
        <v>398</v>
      </c>
      <c r="D314" s="7" t="s">
        <v>398</v>
      </c>
      <c r="E314" s="7" t="s">
        <v>389</v>
      </c>
      <c r="F314" s="4"/>
      <c r="G314" s="7" t="s">
        <v>416</v>
      </c>
      <c r="H314" s="7" t="s">
        <v>417</v>
      </c>
      <c r="I314" s="5"/>
      <c r="J314" s="7" t="s">
        <v>418</v>
      </c>
      <c r="K314" s="7" t="s">
        <v>24</v>
      </c>
      <c r="L314" s="7" t="s">
        <v>419</v>
      </c>
      <c r="M314" s="109">
        <v>2790170557</v>
      </c>
      <c r="N314" s="109">
        <v>608177941</v>
      </c>
      <c r="O314" s="109">
        <v>15000000</v>
      </c>
      <c r="P314" s="110"/>
      <c r="Q314" s="109">
        <f>M314+N314+O314+P314</f>
        <v>3413348498</v>
      </c>
      <c r="R314" s="36">
        <v>2790170557</v>
      </c>
      <c r="S314" s="3">
        <v>608177941</v>
      </c>
      <c r="T314" s="30">
        <v>15000000</v>
      </c>
      <c r="U314" s="5"/>
      <c r="V314" s="5"/>
      <c r="W314" s="28"/>
      <c r="X314" s="28">
        <f>N314-S314</f>
        <v>0</v>
      </c>
      <c r="Y314" s="28">
        <f>O314-T314</f>
        <v>0</v>
      </c>
      <c r="Z314" s="28">
        <f>P314-U314</f>
        <v>0</v>
      </c>
      <c r="AA314" s="4"/>
      <c r="AB314" s="4"/>
      <c r="AC314">
        <f>IF(AB314=G314,1,2)</f>
        <v>2</v>
      </c>
    </row>
    <row r="315" spans="1:30" customFormat="1" ht="31.2" hidden="1" x14ac:dyDescent="0.3">
      <c r="A315" s="7" t="s">
        <v>53</v>
      </c>
      <c r="B315" s="6">
        <v>115</v>
      </c>
      <c r="C315" s="7" t="s">
        <v>398</v>
      </c>
      <c r="D315" s="7" t="s">
        <v>398</v>
      </c>
      <c r="E315" s="5"/>
      <c r="F315" s="4"/>
      <c r="G315" s="7" t="s">
        <v>420</v>
      </c>
      <c r="H315" s="7" t="s">
        <v>421</v>
      </c>
      <c r="I315" s="5"/>
      <c r="J315" s="7" t="s">
        <v>422</v>
      </c>
      <c r="K315" s="7" t="s">
        <v>24</v>
      </c>
      <c r="L315" s="7" t="s">
        <v>423</v>
      </c>
      <c r="M315" s="109">
        <v>2695621120</v>
      </c>
      <c r="N315" s="111"/>
      <c r="O315" s="109">
        <v>15000000</v>
      </c>
      <c r="P315" s="110"/>
      <c r="Q315" s="109">
        <f>M315+N315+O315+P315</f>
        <v>2710621120</v>
      </c>
      <c r="R315" s="3">
        <v>2695621120</v>
      </c>
      <c r="S315" s="5"/>
      <c r="T315" s="30">
        <v>15000000</v>
      </c>
      <c r="U315" s="5"/>
      <c r="V315" s="5"/>
      <c r="W315" s="28"/>
      <c r="X315" s="28">
        <f>N315-S315</f>
        <v>0</v>
      </c>
      <c r="Y315" s="28">
        <f>O315-T315</f>
        <v>0</v>
      </c>
      <c r="Z315" s="28">
        <f>P315-U315</f>
        <v>0</v>
      </c>
      <c r="AA315" s="4"/>
      <c r="AB315" s="4"/>
      <c r="AC315">
        <f>IF(AB315=G315,1,2)</f>
        <v>2</v>
      </c>
    </row>
    <row r="316" spans="1:30" customFormat="1" ht="31.2" hidden="1" x14ac:dyDescent="0.3">
      <c r="A316" s="7" t="s">
        <v>46</v>
      </c>
      <c r="B316" s="6">
        <v>116</v>
      </c>
      <c r="C316" s="7" t="s">
        <v>398</v>
      </c>
      <c r="D316" s="7" t="s">
        <v>398</v>
      </c>
      <c r="E316" s="5"/>
      <c r="F316" s="4"/>
      <c r="G316" s="7" t="s">
        <v>424</v>
      </c>
      <c r="H316" s="5"/>
      <c r="I316" s="5"/>
      <c r="J316" s="7" t="s">
        <v>425</v>
      </c>
      <c r="K316" s="7" t="s">
        <v>24</v>
      </c>
      <c r="L316" s="7" t="s">
        <v>426</v>
      </c>
      <c r="M316" s="109">
        <v>1190765838</v>
      </c>
      <c r="N316" s="111"/>
      <c r="O316" s="109">
        <v>15000000</v>
      </c>
      <c r="P316" s="110"/>
      <c r="Q316" s="109">
        <f>M316+N316+O316+P316</f>
        <v>1205765838</v>
      </c>
      <c r="R316" s="36">
        <v>1190765838</v>
      </c>
      <c r="S316" s="5"/>
      <c r="T316" s="30">
        <v>15000000</v>
      </c>
      <c r="U316" s="5"/>
      <c r="V316" s="5"/>
      <c r="W316" s="28"/>
      <c r="X316" s="28">
        <f>N316-S316</f>
        <v>0</v>
      </c>
      <c r="Y316" s="28">
        <f>O316-T316</f>
        <v>0</v>
      </c>
      <c r="Z316" s="28">
        <f>P316-U316</f>
        <v>0</v>
      </c>
      <c r="AA316" s="4"/>
      <c r="AB316" s="4"/>
      <c r="AC316">
        <f>IF(AB316=G316,1,2)</f>
        <v>2</v>
      </c>
    </row>
    <row r="317" spans="1:30" customFormat="1" ht="78" hidden="1" x14ac:dyDescent="0.3">
      <c r="A317" s="7" t="s">
        <v>18</v>
      </c>
      <c r="B317" s="6">
        <v>117</v>
      </c>
      <c r="C317" s="7" t="s">
        <v>398</v>
      </c>
      <c r="D317" s="7" t="s">
        <v>398</v>
      </c>
      <c r="E317" s="7" t="s">
        <v>427</v>
      </c>
      <c r="F317" s="4"/>
      <c r="G317" s="7" t="s">
        <v>428</v>
      </c>
      <c r="H317" s="5"/>
      <c r="I317" s="7" t="s">
        <v>28</v>
      </c>
      <c r="J317" s="7" t="s">
        <v>429</v>
      </c>
      <c r="K317" s="7" t="s">
        <v>24</v>
      </c>
      <c r="L317" s="7" t="s">
        <v>430</v>
      </c>
      <c r="M317" s="109">
        <v>725498800</v>
      </c>
      <c r="N317" s="111"/>
      <c r="O317" s="109">
        <v>7500000</v>
      </c>
      <c r="P317" s="110"/>
      <c r="Q317" s="109">
        <f>M317+N317+O317+P317</f>
        <v>732998800</v>
      </c>
      <c r="R317" s="36">
        <v>725498800</v>
      </c>
      <c r="S317" s="5"/>
      <c r="T317" s="30">
        <v>7500000</v>
      </c>
      <c r="U317" s="5"/>
      <c r="V317" s="12">
        <v>-193390512</v>
      </c>
      <c r="W317" s="28"/>
      <c r="X317" s="28">
        <f>N317-S317</f>
        <v>0</v>
      </c>
      <c r="Y317" s="28">
        <f>O317-T317</f>
        <v>0</v>
      </c>
      <c r="Z317" s="28">
        <f>P317-U317</f>
        <v>0</v>
      </c>
      <c r="AA317" s="4"/>
      <c r="AB317" s="4"/>
      <c r="AC317">
        <f>IF(AB317=G317,1,2)</f>
        <v>2</v>
      </c>
    </row>
    <row r="318" spans="1:30" customFormat="1" ht="62.4" hidden="1" x14ac:dyDescent="0.3">
      <c r="A318" s="7" t="s">
        <v>46</v>
      </c>
      <c r="B318" s="6">
        <v>118</v>
      </c>
      <c r="C318" s="7" t="s">
        <v>398</v>
      </c>
      <c r="D318" s="7" t="s">
        <v>398</v>
      </c>
      <c r="E318" s="5"/>
      <c r="F318" s="4"/>
      <c r="G318" s="7" t="s">
        <v>431</v>
      </c>
      <c r="H318" s="5"/>
      <c r="I318" s="5"/>
      <c r="J318" s="7" t="s">
        <v>432</v>
      </c>
      <c r="K318" s="7" t="s">
        <v>24</v>
      </c>
      <c r="L318" s="7" t="s">
        <v>433</v>
      </c>
      <c r="M318" s="109">
        <v>0</v>
      </c>
      <c r="N318" s="111"/>
      <c r="O318" s="109">
        <v>7500000</v>
      </c>
      <c r="P318" s="110"/>
      <c r="Q318" s="109">
        <f>M318+N318+O318+P318</f>
        <v>7500000</v>
      </c>
      <c r="R318" s="6">
        <v>0</v>
      </c>
      <c r="S318" s="5"/>
      <c r="T318" s="30">
        <v>7500000</v>
      </c>
      <c r="U318" s="5"/>
      <c r="V318" s="5"/>
      <c r="W318" s="28"/>
      <c r="X318" s="28">
        <f>N318-S318</f>
        <v>0</v>
      </c>
      <c r="Y318" s="28">
        <f>O318-T318</f>
        <v>0</v>
      </c>
      <c r="Z318" s="28">
        <f>P318-U318</f>
        <v>0</v>
      </c>
      <c r="AA318" s="4"/>
      <c r="AB318" s="4"/>
      <c r="AC318">
        <f>IF(AB318=G318,1,2)</f>
        <v>2</v>
      </c>
    </row>
    <row r="319" spans="1:30" customFormat="1" ht="31.2" hidden="1" x14ac:dyDescent="0.3">
      <c r="A319" s="7" t="s">
        <v>62</v>
      </c>
      <c r="B319" s="6">
        <v>119</v>
      </c>
      <c r="C319" s="7" t="s">
        <v>398</v>
      </c>
      <c r="D319" s="7" t="s">
        <v>398</v>
      </c>
      <c r="E319" s="5"/>
      <c r="F319" s="4"/>
      <c r="G319" s="7" t="s">
        <v>434</v>
      </c>
      <c r="H319" s="5"/>
      <c r="I319" s="5"/>
      <c r="J319" s="7" t="s">
        <v>435</v>
      </c>
      <c r="K319" s="7" t="s">
        <v>24</v>
      </c>
      <c r="L319" s="7" t="s">
        <v>436</v>
      </c>
      <c r="M319" s="109">
        <v>28234674360</v>
      </c>
      <c r="N319" s="111"/>
      <c r="O319" s="109">
        <v>7500000</v>
      </c>
      <c r="P319" s="110"/>
      <c r="Q319" s="109">
        <f>M319+N319+O319+P319</f>
        <v>28242174360</v>
      </c>
      <c r="R319" s="3">
        <v>28234674360</v>
      </c>
      <c r="S319" s="5"/>
      <c r="T319" s="30">
        <v>7500000</v>
      </c>
      <c r="U319" s="5"/>
      <c r="V319" s="5"/>
      <c r="W319" s="28"/>
      <c r="X319" s="28">
        <f>N319-S319</f>
        <v>0</v>
      </c>
      <c r="Y319" s="28">
        <f>O319-T319</f>
        <v>0</v>
      </c>
      <c r="Z319" s="28">
        <f>P319-U319</f>
        <v>0</v>
      </c>
      <c r="AA319" s="4"/>
      <c r="AB319" s="4"/>
      <c r="AC319">
        <f>IF(AB319=G319,1,2)</f>
        <v>2</v>
      </c>
    </row>
    <row r="320" spans="1:30" customFormat="1" ht="31.2" hidden="1" x14ac:dyDescent="0.3">
      <c r="A320" s="7" t="s">
        <v>62</v>
      </c>
      <c r="B320" s="6">
        <v>120</v>
      </c>
      <c r="C320" s="7" t="s">
        <v>398</v>
      </c>
      <c r="D320" s="7" t="s">
        <v>398</v>
      </c>
      <c r="E320" s="5"/>
      <c r="F320" s="4"/>
      <c r="G320" s="7" t="s">
        <v>437</v>
      </c>
      <c r="H320" s="5"/>
      <c r="I320" s="5"/>
      <c r="J320" s="7" t="s">
        <v>438</v>
      </c>
      <c r="K320" s="7" t="s">
        <v>24</v>
      </c>
      <c r="L320" s="7" t="s">
        <v>439</v>
      </c>
      <c r="M320" s="109">
        <v>1810252300</v>
      </c>
      <c r="N320" s="111"/>
      <c r="O320" s="109">
        <v>15000000</v>
      </c>
      <c r="P320" s="110"/>
      <c r="Q320" s="109">
        <f>M320+N320+O320+P320</f>
        <v>1825252300</v>
      </c>
      <c r="R320" s="3">
        <v>1810252300</v>
      </c>
      <c r="S320" s="5"/>
      <c r="T320" s="30">
        <v>15000000</v>
      </c>
      <c r="U320" s="5"/>
      <c r="V320" s="5"/>
      <c r="W320" s="28"/>
      <c r="X320" s="28">
        <f>N320-S320</f>
        <v>0</v>
      </c>
      <c r="Y320" s="28">
        <f>O320-T320</f>
        <v>0</v>
      </c>
      <c r="Z320" s="28">
        <f>P320-U320</f>
        <v>0</v>
      </c>
      <c r="AA320" s="4"/>
      <c r="AB320" s="4"/>
      <c r="AC320">
        <f>IF(AB320=G320,1,2)</f>
        <v>2</v>
      </c>
    </row>
    <row r="321" spans="1:30" customFormat="1" ht="31.2" hidden="1" x14ac:dyDescent="0.3">
      <c r="A321" s="7" t="s">
        <v>62</v>
      </c>
      <c r="B321" s="6">
        <v>121</v>
      </c>
      <c r="C321" s="7" t="s">
        <v>398</v>
      </c>
      <c r="D321" s="7" t="s">
        <v>398</v>
      </c>
      <c r="E321" s="5"/>
      <c r="F321" s="4"/>
      <c r="G321" s="7" t="s">
        <v>440</v>
      </c>
      <c r="H321" s="5"/>
      <c r="I321" s="5"/>
      <c r="J321" s="7" t="s">
        <v>441</v>
      </c>
      <c r="K321" s="7" t="s">
        <v>24</v>
      </c>
      <c r="L321" s="7" t="s">
        <v>442</v>
      </c>
      <c r="M321" s="109">
        <v>547702548</v>
      </c>
      <c r="N321" s="111"/>
      <c r="O321" s="109">
        <v>7500000</v>
      </c>
      <c r="P321" s="110"/>
      <c r="Q321" s="109">
        <f>M321+N321+O321+P321</f>
        <v>555202548</v>
      </c>
      <c r="R321" s="3">
        <v>547702548</v>
      </c>
      <c r="S321" s="5"/>
      <c r="T321" s="30">
        <v>7500000</v>
      </c>
      <c r="U321" s="5"/>
      <c r="V321" s="5"/>
      <c r="W321" s="28"/>
      <c r="X321" s="28">
        <f>N321-S321</f>
        <v>0</v>
      </c>
      <c r="Y321" s="28">
        <f>O321-T321</f>
        <v>0</v>
      </c>
      <c r="Z321" s="28">
        <f>P321-U321</f>
        <v>0</v>
      </c>
      <c r="AA321" s="4"/>
      <c r="AB321" s="4"/>
      <c r="AC321">
        <f>IF(AB321=G321,1,2)</f>
        <v>2</v>
      </c>
    </row>
    <row r="322" spans="1:30" customFormat="1" ht="31.2" hidden="1" x14ac:dyDescent="0.3">
      <c r="A322" s="7" t="s">
        <v>62</v>
      </c>
      <c r="B322" s="6">
        <v>122</v>
      </c>
      <c r="C322" s="7" t="s">
        <v>398</v>
      </c>
      <c r="D322" s="7" t="s">
        <v>398</v>
      </c>
      <c r="E322" s="5"/>
      <c r="F322" s="4"/>
      <c r="G322" s="7" t="s">
        <v>443</v>
      </c>
      <c r="H322" s="5"/>
      <c r="I322" s="5"/>
      <c r="J322" s="7" t="s">
        <v>441</v>
      </c>
      <c r="K322" s="7" t="s">
        <v>24</v>
      </c>
      <c r="L322" s="7" t="s">
        <v>444</v>
      </c>
      <c r="M322" s="109">
        <v>2570795140</v>
      </c>
      <c r="N322" s="111"/>
      <c r="O322" s="109">
        <v>7500000</v>
      </c>
      <c r="P322" s="110"/>
      <c r="Q322" s="109">
        <f>M322+N322+O322+P322</f>
        <v>2578295140</v>
      </c>
      <c r="R322" s="3">
        <v>2570795140</v>
      </c>
      <c r="S322" s="5"/>
      <c r="T322" s="30">
        <v>7500000</v>
      </c>
      <c r="U322" s="5"/>
      <c r="V322" s="5"/>
      <c r="W322" s="28"/>
      <c r="X322" s="28">
        <f>N322-S322</f>
        <v>0</v>
      </c>
      <c r="Y322" s="28">
        <f>O322-T322</f>
        <v>0</v>
      </c>
      <c r="Z322" s="28">
        <f>P322-U322</f>
        <v>0</v>
      </c>
      <c r="AA322" s="4"/>
      <c r="AB322" s="4"/>
      <c r="AC322">
        <f>IF(AB322=G322,1,2)</f>
        <v>2</v>
      </c>
    </row>
    <row r="323" spans="1:30" customFormat="1" ht="62.4" hidden="1" customHeight="1" x14ac:dyDescent="0.3">
      <c r="A323" s="7" t="s">
        <v>46</v>
      </c>
      <c r="B323" s="6">
        <v>123</v>
      </c>
      <c r="C323" s="7" t="s">
        <v>398</v>
      </c>
      <c r="D323" s="7" t="s">
        <v>398</v>
      </c>
      <c r="E323" s="5"/>
      <c r="F323" s="4"/>
      <c r="G323" s="7" t="s">
        <v>445</v>
      </c>
      <c r="H323" s="5"/>
      <c r="I323" s="5"/>
      <c r="J323" s="7" t="s">
        <v>446</v>
      </c>
      <c r="K323" s="7" t="s">
        <v>24</v>
      </c>
      <c r="L323" s="7" t="s">
        <v>447</v>
      </c>
      <c r="M323" s="109">
        <v>3746087590</v>
      </c>
      <c r="N323" s="111"/>
      <c r="O323" s="109">
        <v>7500000</v>
      </c>
      <c r="P323" s="110"/>
      <c r="Q323" s="109">
        <f>M323+N323+O323+P323</f>
        <v>3753587590</v>
      </c>
      <c r="R323" s="36">
        <v>3746087590</v>
      </c>
      <c r="S323" s="5"/>
      <c r="T323" s="30">
        <v>7500000</v>
      </c>
      <c r="U323" s="5"/>
      <c r="V323" s="5"/>
      <c r="W323" s="28"/>
      <c r="X323" s="28">
        <f>N323-S323</f>
        <v>0</v>
      </c>
      <c r="Y323" s="28">
        <f>O323-T323</f>
        <v>0</v>
      </c>
      <c r="Z323" s="28">
        <f>P323-U323</f>
        <v>0</v>
      </c>
      <c r="AA323" s="4"/>
      <c r="AB323" s="4"/>
      <c r="AC323">
        <f>IF(AB323=G323,1,2)</f>
        <v>2</v>
      </c>
    </row>
    <row r="324" spans="1:30" customFormat="1" ht="31.2" hidden="1" x14ac:dyDescent="0.3">
      <c r="A324" s="7" t="s">
        <v>46</v>
      </c>
      <c r="B324" s="6">
        <v>124</v>
      </c>
      <c r="C324" s="7" t="s">
        <v>398</v>
      </c>
      <c r="D324" s="7" t="s">
        <v>398</v>
      </c>
      <c r="E324" s="5"/>
      <c r="F324" s="4"/>
      <c r="G324" s="7" t="s">
        <v>448</v>
      </c>
      <c r="H324" s="5"/>
      <c r="I324" s="5"/>
      <c r="J324" s="7" t="s">
        <v>449</v>
      </c>
      <c r="K324" s="7" t="s">
        <v>24</v>
      </c>
      <c r="L324" s="7" t="s">
        <v>450</v>
      </c>
      <c r="M324" s="109">
        <v>6045384105</v>
      </c>
      <c r="N324" s="111"/>
      <c r="O324" s="109">
        <v>15000000</v>
      </c>
      <c r="P324" s="110"/>
      <c r="Q324" s="109">
        <f>M324+N324+O324+P324</f>
        <v>6060384105</v>
      </c>
      <c r="R324" s="36">
        <v>6045384105</v>
      </c>
      <c r="S324" s="5"/>
      <c r="T324" s="30">
        <v>15000000</v>
      </c>
      <c r="U324" s="5"/>
      <c r="V324" s="5"/>
      <c r="W324" s="28"/>
      <c r="X324" s="28">
        <f>N324-S324</f>
        <v>0</v>
      </c>
      <c r="Y324" s="28">
        <f>O324-T324</f>
        <v>0</v>
      </c>
      <c r="Z324" s="28">
        <f>P324-U324</f>
        <v>0</v>
      </c>
      <c r="AA324" s="4"/>
      <c r="AB324" s="4"/>
      <c r="AC324">
        <f>IF(AB324=G324,1,2)</f>
        <v>2</v>
      </c>
    </row>
    <row r="325" spans="1:30" customFormat="1" ht="31.2" hidden="1" x14ac:dyDescent="0.3">
      <c r="A325" s="7" t="s">
        <v>18</v>
      </c>
      <c r="B325" s="6">
        <v>125</v>
      </c>
      <c r="C325" s="7" t="s">
        <v>398</v>
      </c>
      <c r="D325" s="7" t="s">
        <v>398</v>
      </c>
      <c r="E325" s="5"/>
      <c r="F325" s="4"/>
      <c r="G325" s="7" t="s">
        <v>451</v>
      </c>
      <c r="H325" s="5"/>
      <c r="I325" s="7" t="s">
        <v>40</v>
      </c>
      <c r="J325" s="7" t="s">
        <v>111</v>
      </c>
      <c r="K325" s="7" t="s">
        <v>24</v>
      </c>
      <c r="L325" s="7" t="s">
        <v>452</v>
      </c>
      <c r="M325" s="109">
        <v>0</v>
      </c>
      <c r="N325" s="111"/>
      <c r="O325" s="74"/>
      <c r="P325" s="110"/>
      <c r="Q325" s="109">
        <f>M325+N325+O325+P325</f>
        <v>0</v>
      </c>
      <c r="R325" s="6">
        <v>0</v>
      </c>
      <c r="S325" s="5"/>
      <c r="T325" s="31"/>
      <c r="U325" s="5"/>
      <c r="V325" s="5"/>
      <c r="W325" s="28"/>
      <c r="X325" s="28">
        <f>N325-S325</f>
        <v>0</v>
      </c>
      <c r="Y325" s="28">
        <f>O325-T325</f>
        <v>0</v>
      </c>
      <c r="Z325" s="28">
        <f>P325-U325</f>
        <v>0</v>
      </c>
      <c r="AA325" s="4"/>
      <c r="AB325" s="4"/>
      <c r="AC325">
        <f>IF(AB325=G325,1,2)</f>
        <v>2</v>
      </c>
    </row>
    <row r="326" spans="1:30" customFormat="1" ht="31.2" hidden="1" x14ac:dyDescent="0.3">
      <c r="A326" s="7" t="s">
        <v>62</v>
      </c>
      <c r="B326" s="6">
        <v>126</v>
      </c>
      <c r="C326" s="7" t="s">
        <v>398</v>
      </c>
      <c r="D326" s="7" t="s">
        <v>398</v>
      </c>
      <c r="E326" s="5"/>
      <c r="F326" s="4"/>
      <c r="G326" s="7" t="s">
        <v>453</v>
      </c>
      <c r="H326" s="5"/>
      <c r="I326" s="5"/>
      <c r="J326" s="7" t="s">
        <v>454</v>
      </c>
      <c r="K326" s="7" t="s">
        <v>24</v>
      </c>
      <c r="L326" s="7" t="s">
        <v>455</v>
      </c>
      <c r="M326" s="109">
        <v>659212100</v>
      </c>
      <c r="N326" s="111"/>
      <c r="O326" s="109">
        <v>7500000</v>
      </c>
      <c r="P326" s="110"/>
      <c r="Q326" s="109">
        <f>M326+N326+O326+P326</f>
        <v>666712100</v>
      </c>
      <c r="R326" s="3">
        <v>659212100</v>
      </c>
      <c r="S326" s="5"/>
      <c r="T326" s="31">
        <v>7500000</v>
      </c>
      <c r="U326" s="5"/>
      <c r="V326" s="5"/>
      <c r="W326" s="28"/>
      <c r="X326" s="28">
        <f>N326-S326</f>
        <v>0</v>
      </c>
      <c r="Y326" s="28">
        <f>O326-T326</f>
        <v>0</v>
      </c>
      <c r="Z326" s="28">
        <f>P326-U326</f>
        <v>0</v>
      </c>
      <c r="AA326" s="4"/>
      <c r="AB326" s="4"/>
      <c r="AC326">
        <f>IF(AB326=G326,1,2)</f>
        <v>2</v>
      </c>
    </row>
    <row r="327" spans="1:30" customFormat="1" ht="31.2" hidden="1" x14ac:dyDescent="0.3">
      <c r="A327" s="7" t="s">
        <v>18</v>
      </c>
      <c r="B327" s="6">
        <v>127</v>
      </c>
      <c r="C327" s="7" t="s">
        <v>398</v>
      </c>
      <c r="D327" s="7" t="s">
        <v>398</v>
      </c>
      <c r="E327" s="5"/>
      <c r="F327" s="4"/>
      <c r="G327" s="7" t="s">
        <v>456</v>
      </c>
      <c r="H327" s="5"/>
      <c r="I327" s="5"/>
      <c r="J327" s="7" t="s">
        <v>457</v>
      </c>
      <c r="K327" s="7" t="s">
        <v>24</v>
      </c>
      <c r="L327" s="7" t="s">
        <v>458</v>
      </c>
      <c r="M327" s="109">
        <v>99800000</v>
      </c>
      <c r="N327" s="111"/>
      <c r="O327" s="109">
        <v>7500000</v>
      </c>
      <c r="P327" s="110"/>
      <c r="Q327" s="109">
        <f>M327+N327+O327+P327</f>
        <v>107300000</v>
      </c>
      <c r="R327" s="3">
        <v>99800000</v>
      </c>
      <c r="S327" s="5"/>
      <c r="T327" s="30">
        <v>7500000</v>
      </c>
      <c r="U327" s="5"/>
      <c r="V327" s="5"/>
      <c r="W327" s="28"/>
      <c r="X327" s="28">
        <f>N327-S327</f>
        <v>0</v>
      </c>
      <c r="Y327" s="28">
        <f>O327-T327</f>
        <v>0</v>
      </c>
      <c r="Z327" s="28">
        <f>P327-U327</f>
        <v>0</v>
      </c>
      <c r="AA327" s="4"/>
      <c r="AB327" s="4"/>
      <c r="AC327">
        <f>IF(AB327=G327,1,2)</f>
        <v>2</v>
      </c>
    </row>
    <row r="328" spans="1:30" customFormat="1" ht="31.2" hidden="1" x14ac:dyDescent="0.3">
      <c r="A328" s="7" t="s">
        <v>53</v>
      </c>
      <c r="B328" s="6">
        <v>128</v>
      </c>
      <c r="C328" s="7" t="s">
        <v>398</v>
      </c>
      <c r="D328" s="7" t="s">
        <v>398</v>
      </c>
      <c r="E328" s="7" t="s">
        <v>212</v>
      </c>
      <c r="F328" s="4"/>
      <c r="G328" s="7" t="s">
        <v>459</v>
      </c>
      <c r="H328" s="7" t="s">
        <v>460</v>
      </c>
      <c r="I328" s="5"/>
      <c r="J328" s="7" t="s">
        <v>461</v>
      </c>
      <c r="K328" s="7" t="s">
        <v>24</v>
      </c>
      <c r="L328" s="7" t="s">
        <v>462</v>
      </c>
      <c r="M328" s="109">
        <v>3116216204</v>
      </c>
      <c r="N328" s="109">
        <v>1408896</v>
      </c>
      <c r="O328" s="109">
        <v>15000000</v>
      </c>
      <c r="P328" s="110"/>
      <c r="Q328" s="109">
        <f>M328+N328+O328+P328</f>
        <v>3132625100</v>
      </c>
      <c r="R328" s="3">
        <v>3116216204</v>
      </c>
      <c r="S328" s="3">
        <v>1408896</v>
      </c>
      <c r="T328" s="30">
        <v>15000000</v>
      </c>
      <c r="U328" s="5"/>
      <c r="V328" s="5"/>
      <c r="W328" s="28"/>
      <c r="X328" s="28">
        <f>N328-S328</f>
        <v>0</v>
      </c>
      <c r="Y328" s="28">
        <f>O328-T328</f>
        <v>0</v>
      </c>
      <c r="Z328" s="28">
        <f>P328-U328</f>
        <v>0</v>
      </c>
      <c r="AA328" s="4"/>
      <c r="AB328" s="4"/>
      <c r="AC328">
        <f>IF(AB328=G328,1,2)</f>
        <v>2</v>
      </c>
    </row>
    <row r="329" spans="1:30" customFormat="1" ht="31.2" hidden="1" x14ac:dyDescent="0.3">
      <c r="A329" s="7" t="s">
        <v>18</v>
      </c>
      <c r="B329" s="6">
        <v>129</v>
      </c>
      <c r="C329" s="7" t="s">
        <v>398</v>
      </c>
      <c r="D329" s="7" t="s">
        <v>398</v>
      </c>
      <c r="E329" s="7"/>
      <c r="F329" s="4"/>
      <c r="G329" s="7" t="s">
        <v>463</v>
      </c>
      <c r="H329" s="7"/>
      <c r="I329" s="7"/>
      <c r="J329" s="7" t="s">
        <v>464</v>
      </c>
      <c r="K329" s="7" t="s">
        <v>24</v>
      </c>
      <c r="L329" s="7" t="s">
        <v>465</v>
      </c>
      <c r="M329" s="109">
        <v>2855511110</v>
      </c>
      <c r="N329" s="111"/>
      <c r="O329" s="109">
        <v>7500000</v>
      </c>
      <c r="P329" s="110"/>
      <c r="Q329" s="109">
        <f>M329+N329+O329+P329</f>
        <v>2863011110</v>
      </c>
      <c r="R329" s="3">
        <v>2855511110</v>
      </c>
      <c r="S329" s="5"/>
      <c r="T329" s="72"/>
      <c r="U329" s="5"/>
      <c r="V329" s="5"/>
      <c r="W329" s="28"/>
      <c r="X329" s="28">
        <f>N329-S329</f>
        <v>0</v>
      </c>
      <c r="Y329" s="36">
        <f>O329-T329</f>
        <v>7500000</v>
      </c>
      <c r="Z329" s="28">
        <f>P329-U329</f>
        <v>0</v>
      </c>
      <c r="AA329" s="4"/>
      <c r="AB329" s="40"/>
      <c r="AC329" s="121">
        <f>IF(AB329=G329,1,2)</f>
        <v>2</v>
      </c>
      <c r="AD329" s="121"/>
    </row>
    <row r="330" spans="1:30" customFormat="1" ht="31.2" hidden="1" x14ac:dyDescent="0.3">
      <c r="A330" s="7" t="s">
        <v>18</v>
      </c>
      <c r="B330" s="6">
        <v>130</v>
      </c>
      <c r="C330" s="7" t="s">
        <v>466</v>
      </c>
      <c r="D330" s="7" t="s">
        <v>466</v>
      </c>
      <c r="E330" s="5"/>
      <c r="F330" s="4"/>
      <c r="G330" s="7" t="s">
        <v>467</v>
      </c>
      <c r="H330" s="5"/>
      <c r="I330" s="5"/>
      <c r="J330" s="7" t="s">
        <v>468</v>
      </c>
      <c r="K330" s="7" t="s">
        <v>24</v>
      </c>
      <c r="L330" s="7" t="s">
        <v>469</v>
      </c>
      <c r="M330" s="109">
        <v>442633200</v>
      </c>
      <c r="N330" s="111"/>
      <c r="O330" s="109">
        <v>7500000</v>
      </c>
      <c r="P330" s="110"/>
      <c r="Q330" s="109">
        <f>M330+N330+O330+P330</f>
        <v>450133200</v>
      </c>
      <c r="R330" s="3">
        <v>442633200</v>
      </c>
      <c r="S330" s="5"/>
      <c r="T330" s="30">
        <v>7500000</v>
      </c>
      <c r="U330" s="5"/>
      <c r="V330" s="5"/>
      <c r="W330" s="28"/>
      <c r="X330" s="28">
        <f>N330-S330</f>
        <v>0</v>
      </c>
      <c r="Y330" s="28">
        <f>O330-T330</f>
        <v>0</v>
      </c>
      <c r="Z330" s="28">
        <f>P330-U330</f>
        <v>0</v>
      </c>
      <c r="AA330" s="4"/>
      <c r="AB330" s="4"/>
      <c r="AC330">
        <f>IF(AB330=G330,1,2)</f>
        <v>2</v>
      </c>
    </row>
    <row r="331" spans="1:30" customFormat="1" ht="31.2" hidden="1" x14ac:dyDescent="0.3">
      <c r="A331" s="7" t="s">
        <v>18</v>
      </c>
      <c r="B331" s="6">
        <v>131</v>
      </c>
      <c r="C331" s="7" t="s">
        <v>466</v>
      </c>
      <c r="D331" s="7" t="s">
        <v>466</v>
      </c>
      <c r="E331" s="7"/>
      <c r="F331" s="4"/>
      <c r="G331" s="7" t="s">
        <v>470</v>
      </c>
      <c r="H331" s="7"/>
      <c r="I331" s="7"/>
      <c r="J331" s="7" t="s">
        <v>471</v>
      </c>
      <c r="K331" s="7" t="s">
        <v>24</v>
      </c>
      <c r="L331" s="7" t="s">
        <v>472</v>
      </c>
      <c r="M331" s="109">
        <v>4416075000</v>
      </c>
      <c r="N331" s="111"/>
      <c r="O331" s="109">
        <v>7500000</v>
      </c>
      <c r="P331" s="110"/>
      <c r="Q331" s="109">
        <f>M331+N331+O331+P331</f>
        <v>4423575000</v>
      </c>
      <c r="R331" s="3">
        <v>4416075000</v>
      </c>
      <c r="S331" s="5"/>
      <c r="T331" s="72"/>
      <c r="U331" s="5"/>
      <c r="V331" s="5"/>
      <c r="W331" s="28"/>
      <c r="X331" s="28">
        <f>N331-S331</f>
        <v>0</v>
      </c>
      <c r="Y331" s="36">
        <f>O331-T331</f>
        <v>7500000</v>
      </c>
      <c r="Z331" s="28">
        <f>P331-U331</f>
        <v>0</v>
      </c>
      <c r="AA331" s="4"/>
      <c r="AB331" s="40"/>
      <c r="AC331" s="121">
        <f>IF(AB331=G331,1,2)</f>
        <v>2</v>
      </c>
      <c r="AD331" s="121"/>
    </row>
    <row r="332" spans="1:30" customFormat="1" ht="31.2" hidden="1" x14ac:dyDescent="0.3">
      <c r="A332" s="7" t="s">
        <v>62</v>
      </c>
      <c r="B332" s="6">
        <v>132</v>
      </c>
      <c r="C332" s="7" t="s">
        <v>466</v>
      </c>
      <c r="D332" s="7" t="s">
        <v>466</v>
      </c>
      <c r="E332" s="5"/>
      <c r="F332" s="4"/>
      <c r="G332" s="7" t="s">
        <v>473</v>
      </c>
      <c r="H332" s="5"/>
      <c r="I332" s="5"/>
      <c r="J332" s="7" t="s">
        <v>474</v>
      </c>
      <c r="K332" s="7" t="s">
        <v>24</v>
      </c>
      <c r="L332" s="7" t="s">
        <v>475</v>
      </c>
      <c r="M332" s="109">
        <v>371583574</v>
      </c>
      <c r="N332" s="111"/>
      <c r="O332" s="109">
        <v>7500000</v>
      </c>
      <c r="P332" s="110"/>
      <c r="Q332" s="109">
        <f>M332+N332+O332+P332</f>
        <v>379083574</v>
      </c>
      <c r="R332" s="3">
        <v>371583574</v>
      </c>
      <c r="S332" s="5"/>
      <c r="T332" s="30">
        <v>7500000</v>
      </c>
      <c r="U332" s="5"/>
      <c r="V332" s="5"/>
      <c r="W332" s="28"/>
      <c r="X332" s="28">
        <f>N332-S332</f>
        <v>0</v>
      </c>
      <c r="Y332" s="28">
        <f>O332-T332</f>
        <v>0</v>
      </c>
      <c r="Z332" s="28">
        <f>P332-U332</f>
        <v>0</v>
      </c>
      <c r="AA332" s="4"/>
      <c r="AB332" s="4"/>
      <c r="AC332">
        <f>IF(AB332=G332,1,2)</f>
        <v>2</v>
      </c>
    </row>
    <row r="333" spans="1:30" customFormat="1" ht="31.2" hidden="1" x14ac:dyDescent="0.3">
      <c r="A333" s="7" t="s">
        <v>62</v>
      </c>
      <c r="B333" s="6">
        <v>133</v>
      </c>
      <c r="C333" s="7" t="s">
        <v>466</v>
      </c>
      <c r="D333" s="7" t="s">
        <v>466</v>
      </c>
      <c r="E333" s="5"/>
      <c r="F333" s="4"/>
      <c r="G333" s="7" t="s">
        <v>476</v>
      </c>
      <c r="H333" s="5"/>
      <c r="I333" s="5"/>
      <c r="J333" s="7" t="s">
        <v>477</v>
      </c>
      <c r="K333" s="7" t="s">
        <v>24</v>
      </c>
      <c r="L333" s="7" t="s">
        <v>478</v>
      </c>
      <c r="M333" s="109">
        <v>374522488</v>
      </c>
      <c r="N333" s="111"/>
      <c r="O333" s="109">
        <v>7500000</v>
      </c>
      <c r="P333" s="110"/>
      <c r="Q333" s="109">
        <f>M333+N333+O333+P333</f>
        <v>382022488</v>
      </c>
      <c r="R333" s="3">
        <v>374522488</v>
      </c>
      <c r="S333" s="5"/>
      <c r="T333" s="30">
        <v>7500000</v>
      </c>
      <c r="U333" s="5"/>
      <c r="V333" s="5"/>
      <c r="W333" s="28"/>
      <c r="X333" s="28">
        <f>N333-S333</f>
        <v>0</v>
      </c>
      <c r="Y333" s="28">
        <f>O333-T333</f>
        <v>0</v>
      </c>
      <c r="Z333" s="28">
        <f>P333-U333</f>
        <v>0</v>
      </c>
      <c r="AA333" s="4"/>
      <c r="AB333" s="4"/>
      <c r="AC333">
        <f>IF(AB333=G333,1,2)</f>
        <v>2</v>
      </c>
    </row>
    <row r="334" spans="1:30" customFormat="1" ht="31.2" hidden="1" x14ac:dyDescent="0.3">
      <c r="A334" s="7" t="s">
        <v>53</v>
      </c>
      <c r="B334" s="6">
        <v>134</v>
      </c>
      <c r="C334" s="7" t="s">
        <v>466</v>
      </c>
      <c r="D334" s="7" t="s">
        <v>466</v>
      </c>
      <c r="E334" s="5"/>
      <c r="F334" s="4"/>
      <c r="G334" s="7" t="s">
        <v>479</v>
      </c>
      <c r="H334" s="5"/>
      <c r="I334" s="5"/>
      <c r="J334" s="7" t="s">
        <v>480</v>
      </c>
      <c r="K334" s="7" t="s">
        <v>24</v>
      </c>
      <c r="L334" s="7" t="s">
        <v>481</v>
      </c>
      <c r="M334" s="109">
        <v>1958914892</v>
      </c>
      <c r="N334" s="111"/>
      <c r="O334" s="109">
        <v>7500000</v>
      </c>
      <c r="P334" s="110"/>
      <c r="Q334" s="109">
        <f>M334+N334+O334+P334</f>
        <v>1966414892</v>
      </c>
      <c r="R334" s="3">
        <v>1958914892</v>
      </c>
      <c r="S334" s="5"/>
      <c r="T334" s="30">
        <v>7500000</v>
      </c>
      <c r="U334" s="5"/>
      <c r="V334" s="5"/>
      <c r="W334" s="28"/>
      <c r="X334" s="28">
        <f>N334-S334</f>
        <v>0</v>
      </c>
      <c r="Y334" s="28">
        <f>O334-T334</f>
        <v>0</v>
      </c>
      <c r="Z334" s="28">
        <f>P334-U334</f>
        <v>0</v>
      </c>
      <c r="AA334" s="4"/>
      <c r="AB334" s="4"/>
      <c r="AC334">
        <f>IF(AB334=G334,1,2)</f>
        <v>2</v>
      </c>
    </row>
    <row r="335" spans="1:30" customFormat="1" ht="31.2" hidden="1" x14ac:dyDescent="0.3">
      <c r="A335" s="7" t="s">
        <v>53</v>
      </c>
      <c r="B335" s="6">
        <v>135</v>
      </c>
      <c r="C335" s="7" t="s">
        <v>466</v>
      </c>
      <c r="D335" s="7" t="s">
        <v>466</v>
      </c>
      <c r="E335" s="5"/>
      <c r="F335" s="4"/>
      <c r="G335" s="7" t="s">
        <v>482</v>
      </c>
      <c r="H335" s="5"/>
      <c r="I335" s="5"/>
      <c r="J335" s="7" t="s">
        <v>483</v>
      </c>
      <c r="K335" s="7" t="s">
        <v>24</v>
      </c>
      <c r="L335" s="7" t="s">
        <v>484</v>
      </c>
      <c r="M335" s="109">
        <v>2065538000</v>
      </c>
      <c r="N335" s="111"/>
      <c r="O335" s="109">
        <v>7500000</v>
      </c>
      <c r="P335" s="110"/>
      <c r="Q335" s="109">
        <f>M335+N335+O335+P335</f>
        <v>2073038000</v>
      </c>
      <c r="R335" s="3">
        <v>2065538000</v>
      </c>
      <c r="S335" s="5"/>
      <c r="T335" s="30">
        <v>7500000</v>
      </c>
      <c r="U335" s="5"/>
      <c r="V335" s="5"/>
      <c r="W335" s="28"/>
      <c r="X335" s="28">
        <f>N335-S335</f>
        <v>0</v>
      </c>
      <c r="Y335" s="28">
        <f>O335-T335</f>
        <v>0</v>
      </c>
      <c r="Z335" s="28">
        <f>P335-U335</f>
        <v>0</v>
      </c>
      <c r="AA335" s="4"/>
      <c r="AB335" s="4"/>
      <c r="AC335">
        <f>IF(AB335=G335,1,2)</f>
        <v>2</v>
      </c>
    </row>
    <row r="336" spans="1:30" customFormat="1" ht="31.2" hidden="1" x14ac:dyDescent="0.3">
      <c r="A336" s="7" t="s">
        <v>46</v>
      </c>
      <c r="B336" s="6">
        <v>136</v>
      </c>
      <c r="C336" s="7" t="s">
        <v>485</v>
      </c>
      <c r="D336" s="7" t="s">
        <v>485</v>
      </c>
      <c r="E336" s="5"/>
      <c r="F336" s="4"/>
      <c r="G336" s="7" t="s">
        <v>486</v>
      </c>
      <c r="H336" s="5"/>
      <c r="I336" s="5"/>
      <c r="J336" s="7" t="s">
        <v>487</v>
      </c>
      <c r="K336" s="7" t="s">
        <v>24</v>
      </c>
      <c r="L336" s="7" t="s">
        <v>488</v>
      </c>
      <c r="M336" s="109">
        <v>1293714744</v>
      </c>
      <c r="N336" s="111"/>
      <c r="O336" s="109">
        <v>7500000</v>
      </c>
      <c r="P336" s="110"/>
      <c r="Q336" s="109">
        <f>M336+N336+O336+P336</f>
        <v>1301214744</v>
      </c>
      <c r="R336" s="36">
        <v>1293714744</v>
      </c>
      <c r="S336" s="5"/>
      <c r="T336" s="30">
        <v>7500000</v>
      </c>
      <c r="U336" s="5"/>
      <c r="V336" s="5"/>
      <c r="W336" s="28"/>
      <c r="X336" s="28">
        <f>N336-S336</f>
        <v>0</v>
      </c>
      <c r="Y336" s="28">
        <f>O336-T336</f>
        <v>0</v>
      </c>
      <c r="Z336" s="28">
        <f>P336-U336</f>
        <v>0</v>
      </c>
      <c r="AA336" s="4"/>
      <c r="AB336" s="4"/>
      <c r="AC336">
        <f>IF(AB336=G336,1,2)</f>
        <v>2</v>
      </c>
    </row>
    <row r="337" spans="1:30" customFormat="1" ht="31.2" hidden="1" x14ac:dyDescent="0.3">
      <c r="A337" s="7" t="s">
        <v>46</v>
      </c>
      <c r="B337" s="6">
        <v>137</v>
      </c>
      <c r="C337" s="7" t="s">
        <v>489</v>
      </c>
      <c r="D337" s="7" t="s">
        <v>490</v>
      </c>
      <c r="E337" s="5"/>
      <c r="F337" s="4"/>
      <c r="G337" s="7" t="s">
        <v>491</v>
      </c>
      <c r="H337" s="5"/>
      <c r="I337" s="7" t="s">
        <v>492</v>
      </c>
      <c r="J337" s="7" t="s">
        <v>493</v>
      </c>
      <c r="K337" s="7" t="s">
        <v>24</v>
      </c>
      <c r="L337" s="7" t="s">
        <v>494</v>
      </c>
      <c r="M337" s="109">
        <v>4217619670</v>
      </c>
      <c r="N337" s="111"/>
      <c r="O337" s="109">
        <v>15000000</v>
      </c>
      <c r="P337" s="110"/>
      <c r="Q337" s="109">
        <f>M337+N337+O337+P337</f>
        <v>4232619670</v>
      </c>
      <c r="R337" s="3">
        <v>4217619670</v>
      </c>
      <c r="S337" s="5"/>
      <c r="T337" s="30">
        <v>15000000</v>
      </c>
      <c r="U337" s="5"/>
      <c r="V337" s="5"/>
      <c r="W337" s="28"/>
      <c r="X337" s="28">
        <f>N337-S337</f>
        <v>0</v>
      </c>
      <c r="Y337" s="28">
        <f>O337-T337</f>
        <v>0</v>
      </c>
      <c r="Z337" s="28">
        <f>P337-U337</f>
        <v>0</v>
      </c>
      <c r="AA337" s="4"/>
      <c r="AB337" s="4"/>
      <c r="AC337">
        <f>IF(AB337=G337,1,2)</f>
        <v>2</v>
      </c>
    </row>
    <row r="338" spans="1:30" customFormat="1" ht="31.2" hidden="1" x14ac:dyDescent="0.3">
      <c r="A338" s="7" t="s">
        <v>46</v>
      </c>
      <c r="B338" s="6">
        <v>138</v>
      </c>
      <c r="C338" s="7" t="s">
        <v>489</v>
      </c>
      <c r="D338" s="7" t="s">
        <v>495</v>
      </c>
      <c r="E338" s="7" t="s">
        <v>389</v>
      </c>
      <c r="F338" s="4"/>
      <c r="G338" s="7" t="s">
        <v>496</v>
      </c>
      <c r="H338" s="7" t="s">
        <v>497</v>
      </c>
      <c r="I338" s="7"/>
      <c r="J338" s="7" t="s">
        <v>498</v>
      </c>
      <c r="K338" s="7" t="s">
        <v>24</v>
      </c>
      <c r="L338" s="7" t="s">
        <v>499</v>
      </c>
      <c r="M338" s="109">
        <v>3194338952</v>
      </c>
      <c r="N338" s="109">
        <v>41139648</v>
      </c>
      <c r="O338" s="109">
        <v>15000000</v>
      </c>
      <c r="P338" s="110"/>
      <c r="Q338" s="109">
        <f>M338+N338+O338+P338</f>
        <v>3250478600</v>
      </c>
      <c r="R338" s="3">
        <v>3194338952</v>
      </c>
      <c r="S338" s="3">
        <v>41139648</v>
      </c>
      <c r="T338" s="72"/>
      <c r="U338" s="5"/>
      <c r="V338" s="5"/>
      <c r="W338" s="28"/>
      <c r="X338" s="28">
        <f>N338-S338</f>
        <v>0</v>
      </c>
      <c r="Y338" s="36">
        <f>O338-T338</f>
        <v>15000000</v>
      </c>
      <c r="Z338" s="28">
        <f>P338-U338</f>
        <v>0</v>
      </c>
      <c r="AA338" s="4"/>
      <c r="AB338" s="40"/>
      <c r="AC338" s="121">
        <f>IF(AB338=G338,1,2)</f>
        <v>2</v>
      </c>
      <c r="AD338" s="121"/>
    </row>
    <row r="339" spans="1:30" customFormat="1" ht="31.2" hidden="1" x14ac:dyDescent="0.3">
      <c r="A339" s="7" t="s">
        <v>53</v>
      </c>
      <c r="B339" s="6">
        <v>139</v>
      </c>
      <c r="C339" s="7" t="s">
        <v>489</v>
      </c>
      <c r="D339" s="7" t="s">
        <v>500</v>
      </c>
      <c r="E339" s="5"/>
      <c r="F339" s="4"/>
      <c r="G339" s="7" t="s">
        <v>501</v>
      </c>
      <c r="H339" s="5"/>
      <c r="I339" s="5"/>
      <c r="J339" s="7" t="s">
        <v>502</v>
      </c>
      <c r="K339" s="7" t="s">
        <v>24</v>
      </c>
      <c r="L339" s="7" t="s">
        <v>503</v>
      </c>
      <c r="M339" s="109">
        <v>1616275160</v>
      </c>
      <c r="N339" s="111"/>
      <c r="O339" s="109">
        <v>7500000</v>
      </c>
      <c r="P339" s="110"/>
      <c r="Q339" s="109">
        <f>M339+N339+O339+P339</f>
        <v>1623775160</v>
      </c>
      <c r="R339" s="3">
        <v>1616275160</v>
      </c>
      <c r="S339" s="5"/>
      <c r="T339" s="30">
        <v>7500000</v>
      </c>
      <c r="U339" s="5"/>
      <c r="V339" s="5"/>
      <c r="W339" s="28"/>
      <c r="X339" s="28">
        <f>N339-S339</f>
        <v>0</v>
      </c>
      <c r="Y339" s="28">
        <f>O339-T339</f>
        <v>0</v>
      </c>
      <c r="Z339" s="28">
        <f>P339-U339</f>
        <v>0</v>
      </c>
      <c r="AA339" s="4"/>
      <c r="AB339" s="4"/>
      <c r="AC339">
        <f>IF(AB339=G339,1,2)</f>
        <v>2</v>
      </c>
    </row>
    <row r="340" spans="1:30" customFormat="1" ht="31.2" hidden="1" x14ac:dyDescent="0.3">
      <c r="A340" s="7" t="s">
        <v>18</v>
      </c>
      <c r="B340" s="6">
        <v>141</v>
      </c>
      <c r="C340" s="7" t="s">
        <v>489</v>
      </c>
      <c r="D340" s="7" t="s">
        <v>509</v>
      </c>
      <c r="E340" s="5"/>
      <c r="F340" s="4"/>
      <c r="G340" s="7" t="s">
        <v>510</v>
      </c>
      <c r="H340" s="5"/>
      <c r="I340" s="5"/>
      <c r="J340" s="7" t="s">
        <v>511</v>
      </c>
      <c r="K340" s="7" t="s">
        <v>24</v>
      </c>
      <c r="L340" s="7" t="s">
        <v>512</v>
      </c>
      <c r="M340" s="109">
        <v>1739119796</v>
      </c>
      <c r="N340" s="111"/>
      <c r="O340" s="109">
        <v>7500000</v>
      </c>
      <c r="P340" s="110"/>
      <c r="Q340" s="109">
        <f>M340+N340+O340+P340</f>
        <v>1746619796</v>
      </c>
      <c r="R340" s="3">
        <v>1739119796</v>
      </c>
      <c r="S340" s="5"/>
      <c r="T340" s="30">
        <v>7500000</v>
      </c>
      <c r="U340" s="5"/>
      <c r="V340" s="5"/>
      <c r="W340" s="28"/>
      <c r="X340" s="28">
        <f>N340-S340</f>
        <v>0</v>
      </c>
      <c r="Y340" s="28">
        <f>O340-T340</f>
        <v>0</v>
      </c>
      <c r="Z340" s="28">
        <f>P340-U340</f>
        <v>0</v>
      </c>
      <c r="AA340" s="4"/>
      <c r="AB340" s="4"/>
      <c r="AC340">
        <f>IF(AB340=G340,1,2)</f>
        <v>2</v>
      </c>
    </row>
    <row r="341" spans="1:30" customFormat="1" ht="31.2" hidden="1" x14ac:dyDescent="0.3">
      <c r="A341" s="7" t="s">
        <v>18</v>
      </c>
      <c r="B341" s="6">
        <v>142</v>
      </c>
      <c r="C341" s="7" t="s">
        <v>489</v>
      </c>
      <c r="D341" s="7" t="s">
        <v>513</v>
      </c>
      <c r="E341" s="5"/>
      <c r="F341" s="4"/>
      <c r="G341" s="7" t="s">
        <v>514</v>
      </c>
      <c r="H341" s="5"/>
      <c r="I341" s="5"/>
      <c r="J341" s="7" t="s">
        <v>515</v>
      </c>
      <c r="K341" s="7" t="s">
        <v>24</v>
      </c>
      <c r="L341" s="7" t="s">
        <v>250</v>
      </c>
      <c r="M341" s="109">
        <v>1019168200</v>
      </c>
      <c r="N341" s="111"/>
      <c r="O341" s="109">
        <v>7500000</v>
      </c>
      <c r="P341" s="110"/>
      <c r="Q341" s="109">
        <f>M341+N341+O341+P341</f>
        <v>1026668200</v>
      </c>
      <c r="R341" s="3">
        <v>1019168200</v>
      </c>
      <c r="S341" s="5"/>
      <c r="T341" s="30">
        <v>7500000</v>
      </c>
      <c r="U341" s="5"/>
      <c r="V341" s="5"/>
      <c r="W341" s="28"/>
      <c r="X341" s="28">
        <f>N341-S341</f>
        <v>0</v>
      </c>
      <c r="Y341" s="28">
        <f>O341-T341</f>
        <v>0</v>
      </c>
      <c r="Z341" s="28">
        <f>P341-U341</f>
        <v>0</v>
      </c>
      <c r="AA341" s="4"/>
      <c r="AB341" s="4"/>
      <c r="AC341">
        <f>IF(AB341=G341,1,2)</f>
        <v>2</v>
      </c>
    </row>
    <row r="342" spans="1:30" customFormat="1" ht="31.2" hidden="1" x14ac:dyDescent="0.3">
      <c r="A342" s="7" t="s">
        <v>18</v>
      </c>
      <c r="B342" s="6">
        <v>143</v>
      </c>
      <c r="C342" s="7" t="s">
        <v>489</v>
      </c>
      <c r="D342" s="7" t="s">
        <v>516</v>
      </c>
      <c r="E342" s="7" t="s">
        <v>158</v>
      </c>
      <c r="F342" s="4"/>
      <c r="G342" s="7" t="s">
        <v>517</v>
      </c>
      <c r="H342" s="7" t="s">
        <v>518</v>
      </c>
      <c r="I342" s="5"/>
      <c r="J342" s="7" t="s">
        <v>519</v>
      </c>
      <c r="K342" s="7" t="s">
        <v>24</v>
      </c>
      <c r="L342" s="7" t="s">
        <v>520</v>
      </c>
      <c r="M342" s="109">
        <v>7965890968</v>
      </c>
      <c r="N342" s="109">
        <v>161187840</v>
      </c>
      <c r="O342" s="109">
        <v>15000000</v>
      </c>
      <c r="P342" s="110"/>
      <c r="Q342" s="109">
        <f>M342+N342+O342+P342</f>
        <v>8142078808</v>
      </c>
      <c r="R342" s="3">
        <v>7965890968</v>
      </c>
      <c r="S342" s="7"/>
      <c r="T342" s="30">
        <v>15000000</v>
      </c>
      <c r="U342" s="5"/>
      <c r="V342" s="5"/>
      <c r="W342" s="28"/>
      <c r="X342" s="36">
        <f>N342-S342</f>
        <v>161187840</v>
      </c>
      <c r="Y342" s="28">
        <f>O342-T342</f>
        <v>0</v>
      </c>
      <c r="Z342" s="28">
        <f>P342-U342</f>
        <v>0</v>
      </c>
      <c r="AA342" s="40"/>
      <c r="AB342" s="40"/>
      <c r="AC342" s="61">
        <f>IF(AB342=G342,1,2)</f>
        <v>2</v>
      </c>
      <c r="AD342" s="61"/>
    </row>
    <row r="343" spans="1:30" customFormat="1" ht="31.2" hidden="1" x14ac:dyDescent="0.3">
      <c r="A343" s="7" t="s">
        <v>18</v>
      </c>
      <c r="B343" s="6">
        <v>145</v>
      </c>
      <c r="C343" s="7" t="s">
        <v>489</v>
      </c>
      <c r="D343" s="7" t="s">
        <v>524</v>
      </c>
      <c r="E343" s="5"/>
      <c r="F343" s="4"/>
      <c r="G343" s="7" t="s">
        <v>525</v>
      </c>
      <c r="H343" s="5"/>
      <c r="I343" s="5"/>
      <c r="J343" s="7" t="s">
        <v>526</v>
      </c>
      <c r="K343" s="7" t="s">
        <v>24</v>
      </c>
      <c r="L343" s="7" t="s">
        <v>527</v>
      </c>
      <c r="M343" s="109">
        <v>1620845726</v>
      </c>
      <c r="N343" s="111"/>
      <c r="O343" s="109">
        <v>7500000</v>
      </c>
      <c r="P343" s="110"/>
      <c r="Q343" s="109">
        <f>M343+N343+O343+P343</f>
        <v>1628345726</v>
      </c>
      <c r="R343" s="3">
        <v>1620845726</v>
      </c>
      <c r="S343" s="5"/>
      <c r="T343" s="30">
        <v>7500000</v>
      </c>
      <c r="U343" s="5"/>
      <c r="V343" s="5"/>
      <c r="W343" s="28"/>
      <c r="X343" s="28">
        <f>N343-S343</f>
        <v>0</v>
      </c>
      <c r="Y343" s="28">
        <f>O343-T343</f>
        <v>0</v>
      </c>
      <c r="Z343" s="28">
        <f>P343-U343</f>
        <v>0</v>
      </c>
      <c r="AA343" s="4"/>
      <c r="AB343" s="4"/>
      <c r="AC343">
        <f>IF(AB343=G343,1,2)</f>
        <v>2</v>
      </c>
    </row>
    <row r="344" spans="1:30" customFormat="1" ht="31.2" hidden="1" x14ac:dyDescent="0.3">
      <c r="A344" s="7" t="s">
        <v>62</v>
      </c>
      <c r="B344" s="6">
        <v>147</v>
      </c>
      <c r="C344" s="7" t="s">
        <v>489</v>
      </c>
      <c r="D344" s="7" t="s">
        <v>533</v>
      </c>
      <c r="E344" s="5"/>
      <c r="F344" s="4"/>
      <c r="G344" s="7" t="s">
        <v>534</v>
      </c>
      <c r="H344" s="5"/>
      <c r="I344" s="5"/>
      <c r="J344" s="7" t="s">
        <v>535</v>
      </c>
      <c r="K344" s="7" t="s">
        <v>24</v>
      </c>
      <c r="L344" s="7" t="s">
        <v>536</v>
      </c>
      <c r="M344" s="109">
        <v>1686837440</v>
      </c>
      <c r="N344" s="111"/>
      <c r="O344" s="109">
        <v>7500000</v>
      </c>
      <c r="P344" s="110"/>
      <c r="Q344" s="109">
        <f>M344+N344+O344+P344</f>
        <v>1694337440</v>
      </c>
      <c r="R344" s="3">
        <v>1686837440</v>
      </c>
      <c r="S344" s="5"/>
      <c r="T344" s="30">
        <v>7500000</v>
      </c>
      <c r="U344" s="5"/>
      <c r="V344" s="5"/>
      <c r="W344" s="28"/>
      <c r="X344" s="28">
        <f>N344-S344</f>
        <v>0</v>
      </c>
      <c r="Y344" s="28">
        <f>O344-T344</f>
        <v>0</v>
      </c>
      <c r="Z344" s="28">
        <f>P344-U344</f>
        <v>0</v>
      </c>
      <c r="AA344" s="4"/>
      <c r="AB344" s="4"/>
      <c r="AC344">
        <f>IF(AB344=G344,1,2)</f>
        <v>2</v>
      </c>
    </row>
    <row r="345" spans="1:30" customFormat="1" ht="31.2" hidden="1" x14ac:dyDescent="0.3">
      <c r="A345" s="7" t="s">
        <v>53</v>
      </c>
      <c r="B345" s="6">
        <v>148</v>
      </c>
      <c r="C345" s="7" t="s">
        <v>537</v>
      </c>
      <c r="D345" s="7" t="s">
        <v>538</v>
      </c>
      <c r="E345" s="5"/>
      <c r="F345" s="4"/>
      <c r="G345" s="7" t="s">
        <v>539</v>
      </c>
      <c r="H345" s="5"/>
      <c r="I345" s="5"/>
      <c r="J345" s="7" t="s">
        <v>540</v>
      </c>
      <c r="K345" s="7" t="s">
        <v>24</v>
      </c>
      <c r="L345" s="7" t="s">
        <v>541</v>
      </c>
      <c r="M345" s="109">
        <v>437187740</v>
      </c>
      <c r="N345" s="111"/>
      <c r="O345" s="109">
        <v>7500000</v>
      </c>
      <c r="P345" s="110"/>
      <c r="Q345" s="109">
        <f>M345+N345+O345+P345</f>
        <v>444687740</v>
      </c>
      <c r="R345" s="3">
        <v>437187740</v>
      </c>
      <c r="S345" s="5"/>
      <c r="T345" s="31">
        <v>7500000</v>
      </c>
      <c r="U345" s="5"/>
      <c r="V345" s="5"/>
      <c r="W345" s="28"/>
      <c r="X345" s="28">
        <f>N345-S345</f>
        <v>0</v>
      </c>
      <c r="Y345" s="28">
        <f>O345-T345</f>
        <v>0</v>
      </c>
      <c r="Z345" s="28">
        <f>P345-U345</f>
        <v>0</v>
      </c>
      <c r="AA345" s="4"/>
      <c r="AB345" s="4"/>
      <c r="AC345">
        <f>IF(AB345=G345,1,2)</f>
        <v>2</v>
      </c>
    </row>
    <row r="346" spans="1:30" customFormat="1" ht="31.2" hidden="1" x14ac:dyDescent="0.3">
      <c r="A346" s="7" t="s">
        <v>46</v>
      </c>
      <c r="B346" s="6">
        <v>149</v>
      </c>
      <c r="C346" s="7" t="s">
        <v>537</v>
      </c>
      <c r="D346" s="7" t="s">
        <v>542</v>
      </c>
      <c r="E346" s="5"/>
      <c r="F346" s="4"/>
      <c r="G346" s="7" t="s">
        <v>543</v>
      </c>
      <c r="H346" s="5"/>
      <c r="I346" s="5"/>
      <c r="J346" s="7" t="s">
        <v>544</v>
      </c>
      <c r="K346" s="7" t="s">
        <v>24</v>
      </c>
      <c r="L346" s="7" t="s">
        <v>545</v>
      </c>
      <c r="M346" s="109">
        <v>1573408200</v>
      </c>
      <c r="N346" s="111"/>
      <c r="O346" s="109">
        <v>7500000</v>
      </c>
      <c r="P346" s="110"/>
      <c r="Q346" s="109">
        <f>M346+N346+O346+P346</f>
        <v>1580908200</v>
      </c>
      <c r="R346" s="36">
        <v>1573408200</v>
      </c>
      <c r="S346" s="5"/>
      <c r="T346" s="30">
        <v>7500000</v>
      </c>
      <c r="U346" s="5"/>
      <c r="V346" s="5"/>
      <c r="W346" s="28"/>
      <c r="X346" s="28">
        <f>N346-S346</f>
        <v>0</v>
      </c>
      <c r="Y346" s="28">
        <f>O346-T346</f>
        <v>0</v>
      </c>
      <c r="Z346" s="28">
        <f>P346-U346</f>
        <v>0</v>
      </c>
      <c r="AA346" s="4"/>
      <c r="AB346" s="4"/>
      <c r="AC346">
        <f>IF(AB346=G346,1,2)</f>
        <v>2</v>
      </c>
    </row>
    <row r="347" spans="1:30" customFormat="1" ht="31.2" hidden="1" x14ac:dyDescent="0.3">
      <c r="A347" s="7" t="s">
        <v>62</v>
      </c>
      <c r="B347" s="6">
        <v>150</v>
      </c>
      <c r="C347" s="7" t="s">
        <v>546</v>
      </c>
      <c r="D347" s="7" t="s">
        <v>547</v>
      </c>
      <c r="E347" s="5"/>
      <c r="F347" s="4"/>
      <c r="G347" s="7" t="s">
        <v>548</v>
      </c>
      <c r="H347" s="5"/>
      <c r="I347" s="5"/>
      <c r="J347" s="7" t="s">
        <v>549</v>
      </c>
      <c r="K347" s="7" t="s">
        <v>24</v>
      </c>
      <c r="L347" s="7" t="s">
        <v>550</v>
      </c>
      <c r="M347" s="109">
        <v>861004700</v>
      </c>
      <c r="N347" s="111"/>
      <c r="O347" s="109">
        <v>7500000</v>
      </c>
      <c r="P347" s="110"/>
      <c r="Q347" s="109">
        <f>M347+N347+O347+P347</f>
        <v>868504700</v>
      </c>
      <c r="R347" s="3">
        <v>861004700</v>
      </c>
      <c r="S347" s="5"/>
      <c r="T347" s="30">
        <v>7500000</v>
      </c>
      <c r="U347" s="5"/>
      <c r="V347" s="5"/>
      <c r="W347" s="28"/>
      <c r="X347" s="28">
        <f>N347-S347</f>
        <v>0</v>
      </c>
      <c r="Y347" s="28">
        <f>O347-T347</f>
        <v>0</v>
      </c>
      <c r="Z347" s="28">
        <f>P347-U347</f>
        <v>0</v>
      </c>
      <c r="AA347" s="4"/>
      <c r="AB347" s="4"/>
      <c r="AC347">
        <f>IF(AB347=G347,1,2)</f>
        <v>2</v>
      </c>
    </row>
    <row r="348" spans="1:30" customFormat="1" ht="31.2" hidden="1" x14ac:dyDescent="0.3">
      <c r="A348" s="7" t="s">
        <v>18</v>
      </c>
      <c r="B348" s="6">
        <v>151</v>
      </c>
      <c r="C348" s="7" t="s">
        <v>546</v>
      </c>
      <c r="D348" s="7" t="s">
        <v>551</v>
      </c>
      <c r="E348" s="5"/>
      <c r="F348" s="4"/>
      <c r="G348" s="7" t="s">
        <v>552</v>
      </c>
      <c r="H348" s="5"/>
      <c r="I348" s="5"/>
      <c r="J348" s="7" t="s">
        <v>553</v>
      </c>
      <c r="K348" s="7" t="s">
        <v>24</v>
      </c>
      <c r="L348" s="7" t="s">
        <v>554</v>
      </c>
      <c r="M348" s="109">
        <v>151014160</v>
      </c>
      <c r="N348" s="111"/>
      <c r="O348" s="109">
        <v>7500000</v>
      </c>
      <c r="P348" s="110"/>
      <c r="Q348" s="109">
        <f>M348+N348+O348+P348</f>
        <v>158514160</v>
      </c>
      <c r="R348" s="3">
        <v>151014160</v>
      </c>
      <c r="S348" s="5"/>
      <c r="T348" s="30">
        <v>7500000</v>
      </c>
      <c r="U348" s="5"/>
      <c r="V348" s="5"/>
      <c r="W348" s="28"/>
      <c r="X348" s="28">
        <f>N348-S348</f>
        <v>0</v>
      </c>
      <c r="Y348" s="28">
        <f>O348-T348</f>
        <v>0</v>
      </c>
      <c r="Z348" s="28">
        <f>P348-U348</f>
        <v>0</v>
      </c>
      <c r="AA348" s="4"/>
      <c r="AB348" s="4"/>
      <c r="AC348">
        <f>IF(AB348=G348,1,2)</f>
        <v>2</v>
      </c>
    </row>
    <row r="349" spans="1:30" customFormat="1" ht="31.2" hidden="1" x14ac:dyDescent="0.3">
      <c r="A349" s="7" t="s">
        <v>46</v>
      </c>
      <c r="B349" s="6">
        <v>153</v>
      </c>
      <c r="C349" s="7" t="s">
        <v>555</v>
      </c>
      <c r="D349" s="7" t="s">
        <v>561</v>
      </c>
      <c r="E349" s="7" t="s">
        <v>158</v>
      </c>
      <c r="F349" s="4"/>
      <c r="G349" s="7" t="s">
        <v>562</v>
      </c>
      <c r="H349" s="7" t="s">
        <v>563</v>
      </c>
      <c r="I349" s="5"/>
      <c r="J349" s="7" t="s">
        <v>564</v>
      </c>
      <c r="K349" s="7" t="s">
        <v>24</v>
      </c>
      <c r="L349" s="7" t="s">
        <v>565</v>
      </c>
      <c r="M349" s="109">
        <v>3584065926</v>
      </c>
      <c r="N349" s="109">
        <v>76538880</v>
      </c>
      <c r="O349" s="109">
        <v>7500000</v>
      </c>
      <c r="P349" s="110"/>
      <c r="Q349" s="109">
        <f>M349+N349+O349+P349</f>
        <v>3668104806</v>
      </c>
      <c r="R349" s="36">
        <v>3584065926</v>
      </c>
      <c r="S349" s="3">
        <v>76538880</v>
      </c>
      <c r="T349" s="30">
        <v>7500000</v>
      </c>
      <c r="U349" s="5"/>
      <c r="V349" s="5"/>
      <c r="W349" s="28"/>
      <c r="X349" s="28">
        <f>N349-S349</f>
        <v>0</v>
      </c>
      <c r="Y349" s="28">
        <f>O349-T349</f>
        <v>0</v>
      </c>
      <c r="Z349" s="28">
        <f>P349-U349</f>
        <v>0</v>
      </c>
      <c r="AA349" s="4"/>
      <c r="AB349" s="4"/>
      <c r="AC349">
        <f>IF(AB349=G349,1,2)</f>
        <v>2</v>
      </c>
    </row>
    <row r="350" spans="1:30" customFormat="1" ht="31.2" hidden="1" x14ac:dyDescent="0.3">
      <c r="A350" s="7" t="s">
        <v>18</v>
      </c>
      <c r="B350" s="6">
        <v>154</v>
      </c>
      <c r="C350" s="7" t="s">
        <v>555</v>
      </c>
      <c r="D350" s="7" t="s">
        <v>566</v>
      </c>
      <c r="E350" s="5"/>
      <c r="F350" s="4"/>
      <c r="G350" s="7" t="s">
        <v>567</v>
      </c>
      <c r="H350" s="5"/>
      <c r="I350" s="5"/>
      <c r="J350" s="7" t="s">
        <v>568</v>
      </c>
      <c r="K350" s="7" t="s">
        <v>24</v>
      </c>
      <c r="L350" s="7" t="s">
        <v>569</v>
      </c>
      <c r="M350" s="109">
        <v>628833560</v>
      </c>
      <c r="N350" s="111"/>
      <c r="O350" s="109">
        <v>7500000</v>
      </c>
      <c r="P350" s="110"/>
      <c r="Q350" s="109">
        <f>M350+N350+O350+P350</f>
        <v>636333560</v>
      </c>
      <c r="R350" s="3">
        <v>628833560</v>
      </c>
      <c r="S350" s="5"/>
      <c r="T350" s="30">
        <v>7500000</v>
      </c>
      <c r="U350" s="5"/>
      <c r="V350" s="5"/>
      <c r="W350" s="28"/>
      <c r="X350" s="28">
        <f>N350-S350</f>
        <v>0</v>
      </c>
      <c r="Y350" s="28">
        <f>O350-T350</f>
        <v>0</v>
      </c>
      <c r="Z350" s="28">
        <f>P350-U350</f>
        <v>0</v>
      </c>
      <c r="AA350" s="4"/>
      <c r="AB350" s="4"/>
      <c r="AC350">
        <f>IF(AB350=G350,1,2)</f>
        <v>2</v>
      </c>
    </row>
    <row r="351" spans="1:30" customFormat="1" ht="31.2" hidden="1" x14ac:dyDescent="0.3">
      <c r="A351" s="7" t="s">
        <v>62</v>
      </c>
      <c r="B351" s="6">
        <v>155</v>
      </c>
      <c r="C351" s="7" t="s">
        <v>555</v>
      </c>
      <c r="D351" s="7" t="s">
        <v>570</v>
      </c>
      <c r="E351" s="5"/>
      <c r="F351" s="4"/>
      <c r="G351" s="7" t="s">
        <v>571</v>
      </c>
      <c r="H351" s="5"/>
      <c r="I351" s="5"/>
      <c r="J351" s="7" t="s">
        <v>572</v>
      </c>
      <c r="K351" s="7" t="s">
        <v>24</v>
      </c>
      <c r="L351" s="7" t="s">
        <v>573</v>
      </c>
      <c r="M351" s="109">
        <v>1176606588</v>
      </c>
      <c r="N351" s="111"/>
      <c r="O351" s="109">
        <v>15000000</v>
      </c>
      <c r="P351" s="110"/>
      <c r="Q351" s="109">
        <f>M351+N351+O351+P351</f>
        <v>1191606588</v>
      </c>
      <c r="R351" s="3">
        <v>1176606588</v>
      </c>
      <c r="S351" s="5"/>
      <c r="T351" s="30">
        <v>15000000</v>
      </c>
      <c r="U351" s="5"/>
      <c r="V351" s="5"/>
      <c r="W351" s="28"/>
      <c r="X351" s="28">
        <f>N351-S351</f>
        <v>0</v>
      </c>
      <c r="Y351" s="28">
        <f>O351-T351</f>
        <v>0</v>
      </c>
      <c r="Z351" s="28">
        <f>P351-U351</f>
        <v>0</v>
      </c>
      <c r="AA351" s="4"/>
      <c r="AB351" s="4"/>
      <c r="AC351">
        <f>IF(AB351=G351,1,2)</f>
        <v>2</v>
      </c>
    </row>
    <row r="352" spans="1:30" customFormat="1" ht="31.2" hidden="1" x14ac:dyDescent="0.3">
      <c r="A352" s="7" t="s">
        <v>53</v>
      </c>
      <c r="B352" s="6">
        <v>156</v>
      </c>
      <c r="C352" s="7" t="s">
        <v>574</v>
      </c>
      <c r="D352" s="7" t="s">
        <v>575</v>
      </c>
      <c r="E352" s="5"/>
      <c r="F352" s="4"/>
      <c r="G352" s="7" t="s">
        <v>576</v>
      </c>
      <c r="H352" s="5"/>
      <c r="I352" s="5"/>
      <c r="J352" s="7" t="s">
        <v>577</v>
      </c>
      <c r="K352" s="7" t="s">
        <v>24</v>
      </c>
      <c r="L352" s="7" t="s">
        <v>578</v>
      </c>
      <c r="M352" s="109">
        <v>4803560172</v>
      </c>
      <c r="N352" s="111"/>
      <c r="O352" s="109">
        <v>7500000</v>
      </c>
      <c r="P352" s="110"/>
      <c r="Q352" s="109">
        <f>M352+N352+O352+P352</f>
        <v>4811060172</v>
      </c>
      <c r="R352" s="3">
        <v>4803560172</v>
      </c>
      <c r="S352" s="5"/>
      <c r="T352" s="30">
        <v>7500000</v>
      </c>
      <c r="U352" s="5"/>
      <c r="V352" s="5"/>
      <c r="W352" s="28"/>
      <c r="X352" s="28">
        <f>N352-S352</f>
        <v>0</v>
      </c>
      <c r="Y352" s="28">
        <f>O352-T352</f>
        <v>0</v>
      </c>
      <c r="Z352" s="28">
        <f>P352-U352</f>
        <v>0</v>
      </c>
      <c r="AA352" s="4"/>
      <c r="AB352" s="4"/>
      <c r="AC352">
        <f>IF(AB352=G352,1,2)</f>
        <v>2</v>
      </c>
    </row>
    <row r="353" spans="1:30" customFormat="1" ht="31.2" hidden="1" x14ac:dyDescent="0.3">
      <c r="A353" s="7" t="s">
        <v>62</v>
      </c>
      <c r="B353" s="6">
        <v>158</v>
      </c>
      <c r="C353" s="7" t="s">
        <v>574</v>
      </c>
      <c r="D353" s="7" t="s">
        <v>583</v>
      </c>
      <c r="E353" s="5"/>
      <c r="F353" s="4"/>
      <c r="G353" s="7" t="s">
        <v>584</v>
      </c>
      <c r="H353" s="5"/>
      <c r="I353" s="5"/>
      <c r="J353" s="7" t="s">
        <v>585</v>
      </c>
      <c r="K353" s="7" t="s">
        <v>24</v>
      </c>
      <c r="L353" s="7" t="s">
        <v>586</v>
      </c>
      <c r="M353" s="109">
        <v>3339426044</v>
      </c>
      <c r="N353" s="111"/>
      <c r="O353" s="109">
        <v>7500000</v>
      </c>
      <c r="P353" s="110"/>
      <c r="Q353" s="109">
        <f>M353+N353+O353+P353</f>
        <v>3346926044</v>
      </c>
      <c r="R353" s="3">
        <v>3339426044</v>
      </c>
      <c r="S353" s="5"/>
      <c r="T353" s="30">
        <v>7500000</v>
      </c>
      <c r="U353" s="5"/>
      <c r="V353" s="5"/>
      <c r="W353" s="28"/>
      <c r="X353" s="28">
        <f>N353-S353</f>
        <v>0</v>
      </c>
      <c r="Y353" s="28">
        <f>O353-T353</f>
        <v>0</v>
      </c>
      <c r="Z353" s="28">
        <f>P353-U353</f>
        <v>0</v>
      </c>
      <c r="AA353" s="4"/>
      <c r="AB353" s="4"/>
      <c r="AC353">
        <f>IF(AB353=G353,1,2)</f>
        <v>2</v>
      </c>
    </row>
    <row r="354" spans="1:30" customFormat="1" ht="31.2" hidden="1" x14ac:dyDescent="0.3">
      <c r="A354" s="7" t="s">
        <v>46</v>
      </c>
      <c r="B354" s="6">
        <v>159</v>
      </c>
      <c r="C354" s="7" t="s">
        <v>574</v>
      </c>
      <c r="D354" s="7" t="s">
        <v>587</v>
      </c>
      <c r="E354" s="5"/>
      <c r="F354" s="4"/>
      <c r="G354" s="7" t="s">
        <v>588</v>
      </c>
      <c r="H354" s="5"/>
      <c r="I354" s="5"/>
      <c r="J354" s="7" t="s">
        <v>589</v>
      </c>
      <c r="K354" s="7" t="s">
        <v>24</v>
      </c>
      <c r="L354" s="7" t="s">
        <v>590</v>
      </c>
      <c r="M354" s="109">
        <v>1480854756</v>
      </c>
      <c r="N354" s="111"/>
      <c r="O354" s="109">
        <v>15000000</v>
      </c>
      <c r="P354" s="110"/>
      <c r="Q354" s="109">
        <f>M354+N354+O354+P354</f>
        <v>1495854756</v>
      </c>
      <c r="R354" s="36">
        <v>1480854756</v>
      </c>
      <c r="S354" s="5"/>
      <c r="T354" s="30">
        <v>15000000</v>
      </c>
      <c r="U354" s="5"/>
      <c r="V354" s="5"/>
      <c r="W354" s="28"/>
      <c r="X354" s="28">
        <f>N354-S354</f>
        <v>0</v>
      </c>
      <c r="Y354" s="28">
        <f>O354-T354</f>
        <v>0</v>
      </c>
      <c r="Z354" s="28">
        <f>P354-U354</f>
        <v>0</v>
      </c>
      <c r="AA354" s="4"/>
      <c r="AB354" s="4"/>
      <c r="AC354">
        <f>IF(AB354=G354,1,2)</f>
        <v>2</v>
      </c>
    </row>
    <row r="355" spans="1:30" customFormat="1" ht="31.2" hidden="1" x14ac:dyDescent="0.3">
      <c r="A355" s="7" t="s">
        <v>53</v>
      </c>
      <c r="B355" s="6">
        <v>160</v>
      </c>
      <c r="C355" s="7" t="s">
        <v>591</v>
      </c>
      <c r="D355" s="7" t="s">
        <v>592</v>
      </c>
      <c r="E355" s="7" t="s">
        <v>593</v>
      </c>
      <c r="F355" s="4"/>
      <c r="G355" s="7" t="s">
        <v>594</v>
      </c>
      <c r="H355" s="7" t="s">
        <v>595</v>
      </c>
      <c r="I355" s="5"/>
      <c r="J355" s="7" t="s">
        <v>596</v>
      </c>
      <c r="K355" s="7" t="s">
        <v>24</v>
      </c>
      <c r="L355" s="7" t="s">
        <v>597</v>
      </c>
      <c r="M355" s="109">
        <v>4073141200</v>
      </c>
      <c r="N355" s="109">
        <v>43408140</v>
      </c>
      <c r="O355" s="109">
        <v>7500000</v>
      </c>
      <c r="P355" s="110"/>
      <c r="Q355" s="109">
        <f>M355+N355+O355+P355</f>
        <v>4124049340</v>
      </c>
      <c r="R355" s="3">
        <v>4073141200</v>
      </c>
      <c r="S355" s="28">
        <v>43408140</v>
      </c>
      <c r="T355" s="30">
        <v>7500000</v>
      </c>
      <c r="U355" s="5"/>
      <c r="V355" s="5"/>
      <c r="W355" s="28"/>
      <c r="X355" s="28">
        <f>N355-S355</f>
        <v>0</v>
      </c>
      <c r="Y355" s="28">
        <f>O355-T355</f>
        <v>0</v>
      </c>
      <c r="Z355" s="28">
        <f>P355-U355</f>
        <v>0</v>
      </c>
      <c r="AA355" s="4"/>
      <c r="AB355" s="4"/>
      <c r="AC355">
        <f>IF(AB355=G355,1,2)</f>
        <v>2</v>
      </c>
    </row>
    <row r="356" spans="1:30" customFormat="1" ht="31.2" hidden="1" x14ac:dyDescent="0.3">
      <c r="A356" s="7" t="s">
        <v>62</v>
      </c>
      <c r="B356" s="6">
        <v>161</v>
      </c>
      <c r="C356" s="7" t="s">
        <v>591</v>
      </c>
      <c r="D356" s="7" t="s">
        <v>598</v>
      </c>
      <c r="E356" s="5"/>
      <c r="F356" s="4"/>
      <c r="G356" s="7" t="s">
        <v>599</v>
      </c>
      <c r="H356" s="5"/>
      <c r="I356" s="5"/>
      <c r="J356" s="7" t="s">
        <v>600</v>
      </c>
      <c r="K356" s="7" t="s">
        <v>24</v>
      </c>
      <c r="L356" s="7" t="s">
        <v>601</v>
      </c>
      <c r="M356" s="109">
        <v>0</v>
      </c>
      <c r="N356" s="111"/>
      <c r="O356" s="109">
        <v>7500000</v>
      </c>
      <c r="P356" s="110"/>
      <c r="Q356" s="109">
        <f>M356+N356+O356+P356</f>
        <v>7500000</v>
      </c>
      <c r="R356" s="6">
        <v>0</v>
      </c>
      <c r="S356" s="5"/>
      <c r="T356" s="30">
        <v>7500000</v>
      </c>
      <c r="U356" s="5"/>
      <c r="V356" s="5"/>
      <c r="W356" s="28"/>
      <c r="X356" s="28">
        <f>N356-S356</f>
        <v>0</v>
      </c>
      <c r="Y356" s="28">
        <f>O356-T356</f>
        <v>0</v>
      </c>
      <c r="Z356" s="28">
        <f>P356-U356</f>
        <v>0</v>
      </c>
      <c r="AA356" s="4"/>
      <c r="AB356" s="4"/>
      <c r="AC356">
        <f>IF(AB356=G356,1,2)</f>
        <v>2</v>
      </c>
    </row>
    <row r="357" spans="1:30" customFormat="1" ht="31.2" hidden="1" x14ac:dyDescent="0.3">
      <c r="A357" s="7" t="s">
        <v>18</v>
      </c>
      <c r="B357" s="6">
        <v>162</v>
      </c>
      <c r="C357" s="7" t="s">
        <v>591</v>
      </c>
      <c r="D357" s="7" t="s">
        <v>602</v>
      </c>
      <c r="E357" s="7" t="s">
        <v>158</v>
      </c>
      <c r="F357" s="4"/>
      <c r="G357" s="7" t="s">
        <v>603</v>
      </c>
      <c r="H357" s="7" t="s">
        <v>604</v>
      </c>
      <c r="I357" s="5"/>
      <c r="J357" s="7" t="s">
        <v>605</v>
      </c>
      <c r="K357" s="7" t="s">
        <v>24</v>
      </c>
      <c r="L357" s="7" t="s">
        <v>606</v>
      </c>
      <c r="M357" s="109">
        <v>1042237976</v>
      </c>
      <c r="N357" s="109">
        <v>271713024</v>
      </c>
      <c r="O357" s="109">
        <v>15000000</v>
      </c>
      <c r="P357" s="110"/>
      <c r="Q357" s="109">
        <f>M357+N357+O357+P357</f>
        <v>1328951000</v>
      </c>
      <c r="R357" s="36">
        <v>1042237976</v>
      </c>
      <c r="S357" s="3">
        <v>271713024</v>
      </c>
      <c r="T357" s="30">
        <v>15000000</v>
      </c>
      <c r="U357" s="5"/>
      <c r="V357" s="5"/>
      <c r="W357" s="28"/>
      <c r="X357" s="28">
        <f>N357-S357</f>
        <v>0</v>
      </c>
      <c r="Y357" s="28">
        <f>O357-T357</f>
        <v>0</v>
      </c>
      <c r="Z357" s="28">
        <f>P357-U357</f>
        <v>0</v>
      </c>
      <c r="AA357" s="4"/>
      <c r="AB357" s="4"/>
      <c r="AC357">
        <f>IF(AB357=G357,1,2)</f>
        <v>2</v>
      </c>
    </row>
    <row r="358" spans="1:30" customFormat="1" ht="31.2" hidden="1" x14ac:dyDescent="0.3">
      <c r="A358" s="7" t="s">
        <v>18</v>
      </c>
      <c r="B358" s="6">
        <v>163</v>
      </c>
      <c r="C358" s="7" t="s">
        <v>591</v>
      </c>
      <c r="D358" s="7" t="s">
        <v>607</v>
      </c>
      <c r="E358" s="7"/>
      <c r="F358" s="4"/>
      <c r="G358" s="7" t="s">
        <v>608</v>
      </c>
      <c r="H358" s="7"/>
      <c r="I358" s="7"/>
      <c r="J358" s="7" t="s">
        <v>609</v>
      </c>
      <c r="K358" s="7" t="s">
        <v>24</v>
      </c>
      <c r="L358" s="7" t="s">
        <v>610</v>
      </c>
      <c r="M358" s="109">
        <v>725476290</v>
      </c>
      <c r="N358" s="111"/>
      <c r="O358" s="109">
        <v>7500000</v>
      </c>
      <c r="P358" s="110"/>
      <c r="Q358" s="109">
        <f>M358+N358+O358+P358</f>
        <v>732976290</v>
      </c>
      <c r="R358" s="36">
        <v>725476290</v>
      </c>
      <c r="S358" s="5"/>
      <c r="T358" s="72"/>
      <c r="U358" s="5"/>
      <c r="V358" s="5"/>
      <c r="W358" s="28"/>
      <c r="X358" s="28">
        <f>N358-S358</f>
        <v>0</v>
      </c>
      <c r="Y358" s="36">
        <f>O358-T358</f>
        <v>7500000</v>
      </c>
      <c r="Z358" s="28">
        <f>P358-U358</f>
        <v>0</v>
      </c>
      <c r="AA358" s="4"/>
      <c r="AB358" s="40"/>
      <c r="AC358" s="121">
        <f>IF(AB358=G358,1,2)</f>
        <v>2</v>
      </c>
      <c r="AD358" s="121"/>
    </row>
    <row r="359" spans="1:30" customFormat="1" ht="31.2" hidden="1" x14ac:dyDescent="0.3">
      <c r="A359" s="7" t="s">
        <v>46</v>
      </c>
      <c r="B359" s="6">
        <v>164</v>
      </c>
      <c r="C359" s="7" t="s">
        <v>591</v>
      </c>
      <c r="D359" s="7" t="s">
        <v>611</v>
      </c>
      <c r="E359" s="7" t="s">
        <v>158</v>
      </c>
      <c r="F359" s="4"/>
      <c r="G359" s="7" t="s">
        <v>612</v>
      </c>
      <c r="H359" s="7" t="s">
        <v>613</v>
      </c>
      <c r="I359" s="5"/>
      <c r="J359" s="7" t="s">
        <v>614</v>
      </c>
      <c r="K359" s="7" t="s">
        <v>24</v>
      </c>
      <c r="L359" s="7" t="s">
        <v>615</v>
      </c>
      <c r="M359" s="109">
        <v>3565502327</v>
      </c>
      <c r="N359" s="109">
        <v>450846720</v>
      </c>
      <c r="O359" s="109">
        <v>15000000</v>
      </c>
      <c r="P359" s="110"/>
      <c r="Q359" s="109">
        <f>M359+N359+O359+P359</f>
        <v>4031349047</v>
      </c>
      <c r="R359" s="3">
        <v>3565502327</v>
      </c>
      <c r="S359" s="3">
        <v>450846720</v>
      </c>
      <c r="T359" s="30">
        <v>15000000</v>
      </c>
      <c r="U359" s="5"/>
      <c r="V359" s="5"/>
      <c r="W359" s="28"/>
      <c r="X359" s="28">
        <f>N359-S359</f>
        <v>0</v>
      </c>
      <c r="Y359" s="28">
        <f>O359-T359</f>
        <v>0</v>
      </c>
      <c r="Z359" s="28">
        <f>P359-U359</f>
        <v>0</v>
      </c>
      <c r="AA359" s="4"/>
      <c r="AB359" s="4"/>
      <c r="AC359">
        <f>IF(AB359=G359,1,2)</f>
        <v>2</v>
      </c>
    </row>
    <row r="360" spans="1:30" customFormat="1" ht="31.2" hidden="1" x14ac:dyDescent="0.3">
      <c r="A360" s="7" t="s">
        <v>53</v>
      </c>
      <c r="B360" s="6">
        <v>165</v>
      </c>
      <c r="C360" s="7" t="s">
        <v>591</v>
      </c>
      <c r="D360" s="7" t="s">
        <v>616</v>
      </c>
      <c r="E360" s="7" t="s">
        <v>389</v>
      </c>
      <c r="F360" s="4"/>
      <c r="G360" s="7" t="s">
        <v>617</v>
      </c>
      <c r="H360" s="7" t="s">
        <v>618</v>
      </c>
      <c r="I360" s="5"/>
      <c r="J360" s="7" t="s">
        <v>619</v>
      </c>
      <c r="K360" s="7" t="s">
        <v>24</v>
      </c>
      <c r="L360" s="7" t="s">
        <v>620</v>
      </c>
      <c r="M360" s="109">
        <v>1192465080</v>
      </c>
      <c r="N360" s="109">
        <v>287020800</v>
      </c>
      <c r="O360" s="109">
        <v>15000000</v>
      </c>
      <c r="P360" s="110"/>
      <c r="Q360" s="109">
        <f>M360+N360+O360+P360</f>
        <v>1494485880</v>
      </c>
      <c r="R360" s="3">
        <v>1192465080</v>
      </c>
      <c r="S360" s="3">
        <v>287020800</v>
      </c>
      <c r="T360" s="30">
        <v>15000000</v>
      </c>
      <c r="U360" s="5"/>
      <c r="V360" s="5"/>
      <c r="W360" s="28"/>
      <c r="X360" s="28">
        <f>N360-S360</f>
        <v>0</v>
      </c>
      <c r="Y360" s="28">
        <f>O360-T360</f>
        <v>0</v>
      </c>
      <c r="Z360" s="28">
        <f>P360-U360</f>
        <v>0</v>
      </c>
      <c r="AA360" s="4"/>
      <c r="AB360" s="4"/>
      <c r="AC360">
        <f>IF(AB360=G360,1,2)</f>
        <v>2</v>
      </c>
    </row>
    <row r="361" spans="1:30" customFormat="1" ht="31.2" hidden="1" x14ac:dyDescent="0.3">
      <c r="A361" s="7" t="s">
        <v>62</v>
      </c>
      <c r="B361" s="6">
        <v>166</v>
      </c>
      <c r="C361" s="7" t="s">
        <v>591</v>
      </c>
      <c r="D361" s="7" t="s">
        <v>621</v>
      </c>
      <c r="E361" s="5"/>
      <c r="F361" s="4"/>
      <c r="G361" s="7" t="s">
        <v>622</v>
      </c>
      <c r="H361" s="5"/>
      <c r="I361" s="5"/>
      <c r="J361" s="7" t="s">
        <v>623</v>
      </c>
      <c r="K361" s="7" t="s">
        <v>24</v>
      </c>
      <c r="L361" s="7" t="s">
        <v>624</v>
      </c>
      <c r="M361" s="109">
        <v>1818691780</v>
      </c>
      <c r="N361" s="111"/>
      <c r="O361" s="109">
        <v>7500000</v>
      </c>
      <c r="P361" s="110"/>
      <c r="Q361" s="109">
        <f>M361+N361+O361+P361</f>
        <v>1826191780</v>
      </c>
      <c r="R361" s="3">
        <v>1818691780</v>
      </c>
      <c r="S361" s="5"/>
      <c r="T361" s="30">
        <v>7500000</v>
      </c>
      <c r="U361" s="5"/>
      <c r="V361" s="5"/>
      <c r="W361" s="28"/>
      <c r="X361" s="28">
        <f>N361-S361</f>
        <v>0</v>
      </c>
      <c r="Y361" s="28">
        <f>O361-T361</f>
        <v>0</v>
      </c>
      <c r="Z361" s="28">
        <f>P361-U361</f>
        <v>0</v>
      </c>
      <c r="AA361" s="4"/>
      <c r="AB361" s="4"/>
      <c r="AC361">
        <f>IF(AB361=G361,1,2)</f>
        <v>2</v>
      </c>
    </row>
    <row r="362" spans="1:30" customFormat="1" ht="31.2" hidden="1" x14ac:dyDescent="0.3">
      <c r="A362" s="7" t="s">
        <v>62</v>
      </c>
      <c r="B362" s="6">
        <v>167</v>
      </c>
      <c r="C362" s="7" t="s">
        <v>625</v>
      </c>
      <c r="D362" s="7" t="s">
        <v>626</v>
      </c>
      <c r="E362" s="7" t="s">
        <v>627</v>
      </c>
      <c r="F362" s="4"/>
      <c r="G362" s="7" t="s">
        <v>628</v>
      </c>
      <c r="H362" s="7" t="s">
        <v>629</v>
      </c>
      <c r="I362" s="5"/>
      <c r="J362" s="7" t="s">
        <v>630</v>
      </c>
      <c r="K362" s="7" t="s">
        <v>24</v>
      </c>
      <c r="L362" s="7" t="s">
        <v>631</v>
      </c>
      <c r="M362" s="109">
        <v>3670953400</v>
      </c>
      <c r="N362" s="109">
        <v>858857640</v>
      </c>
      <c r="O362" s="109">
        <v>7500000</v>
      </c>
      <c r="P362" s="110"/>
      <c r="Q362" s="109">
        <f>M362+N362+O362+P362</f>
        <v>4537311040</v>
      </c>
      <c r="R362" s="3">
        <v>3670953400</v>
      </c>
      <c r="S362" s="36">
        <v>858857640</v>
      </c>
      <c r="T362" s="30">
        <v>7500000</v>
      </c>
      <c r="U362" s="5"/>
      <c r="V362" s="5"/>
      <c r="W362" s="28"/>
      <c r="X362" s="36">
        <f>N362-S362</f>
        <v>0</v>
      </c>
      <c r="Y362" s="28">
        <f>O362-T362</f>
        <v>0</v>
      </c>
      <c r="Z362" s="28">
        <f>P362-U362</f>
        <v>0</v>
      </c>
      <c r="AA362" s="40"/>
      <c r="AB362" s="40"/>
      <c r="AC362" s="61">
        <f>IF(AB362=G362,1,2)</f>
        <v>2</v>
      </c>
      <c r="AD362" s="61"/>
    </row>
    <row r="363" spans="1:30" customFormat="1" ht="31.2" hidden="1" x14ac:dyDescent="0.3">
      <c r="A363" s="7" t="s">
        <v>53</v>
      </c>
      <c r="B363" s="6">
        <v>168</v>
      </c>
      <c r="C363" s="7" t="s">
        <v>625</v>
      </c>
      <c r="D363" s="7" t="s">
        <v>632</v>
      </c>
      <c r="E363" s="7"/>
      <c r="F363" s="4"/>
      <c r="G363" s="7" t="s">
        <v>633</v>
      </c>
      <c r="H363" s="7"/>
      <c r="I363" s="7"/>
      <c r="J363" s="7" t="s">
        <v>634</v>
      </c>
      <c r="K363" s="7" t="s">
        <v>24</v>
      </c>
      <c r="L363" s="7" t="s">
        <v>635</v>
      </c>
      <c r="M363" s="109">
        <v>8433071600</v>
      </c>
      <c r="N363" s="111"/>
      <c r="O363" s="109">
        <v>7500000</v>
      </c>
      <c r="P363" s="110"/>
      <c r="Q363" s="109">
        <f>M363+N363+O363+P363</f>
        <v>8440571600</v>
      </c>
      <c r="R363" s="3">
        <v>8433071600</v>
      </c>
      <c r="S363" s="5"/>
      <c r="T363" s="72"/>
      <c r="U363" s="5"/>
      <c r="V363" s="5"/>
      <c r="W363" s="28"/>
      <c r="X363" s="28">
        <f>N363-S363</f>
        <v>0</v>
      </c>
      <c r="Y363" s="36">
        <f>O363-T363</f>
        <v>7500000</v>
      </c>
      <c r="Z363" s="28">
        <f>P363-U363</f>
        <v>0</v>
      </c>
      <c r="AA363" s="4"/>
      <c r="AB363" s="40"/>
      <c r="AC363" s="121">
        <f>IF(AB363=G363,1,2)</f>
        <v>2</v>
      </c>
      <c r="AD363" s="121"/>
    </row>
    <row r="364" spans="1:30" customFormat="1" ht="31.2" hidden="1" x14ac:dyDescent="0.3">
      <c r="A364" s="7" t="s">
        <v>53</v>
      </c>
      <c r="B364" s="6">
        <v>170</v>
      </c>
      <c r="C364" s="7" t="s">
        <v>625</v>
      </c>
      <c r="D364" s="7" t="s">
        <v>643</v>
      </c>
      <c r="E364" s="7" t="s">
        <v>644</v>
      </c>
      <c r="F364" s="4"/>
      <c r="G364" s="7" t="s">
        <v>645</v>
      </c>
      <c r="H364" s="7" t="s">
        <v>646</v>
      </c>
      <c r="I364" s="5"/>
      <c r="J364" s="7" t="s">
        <v>647</v>
      </c>
      <c r="K364" s="7" t="s">
        <v>24</v>
      </c>
      <c r="L364" s="7" t="s">
        <v>648</v>
      </c>
      <c r="M364" s="109">
        <v>2032992492</v>
      </c>
      <c r="N364" s="109">
        <v>46891008</v>
      </c>
      <c r="O364" s="109">
        <v>15000000</v>
      </c>
      <c r="P364" s="110"/>
      <c r="Q364" s="109">
        <f>M364+N364+O364+P364</f>
        <v>2094883500</v>
      </c>
      <c r="R364" s="3">
        <v>2032992492</v>
      </c>
      <c r="S364" s="28">
        <v>46891008</v>
      </c>
      <c r="T364" s="30">
        <v>15000000</v>
      </c>
      <c r="U364" s="5"/>
      <c r="V364" s="5"/>
      <c r="W364" s="28"/>
      <c r="X364" s="28">
        <f>N364-S364</f>
        <v>0</v>
      </c>
      <c r="Y364" s="28">
        <f>O364-T364</f>
        <v>0</v>
      </c>
      <c r="Z364" s="28">
        <f>P364-U364</f>
        <v>0</v>
      </c>
      <c r="AA364" s="4"/>
      <c r="AB364" s="4"/>
      <c r="AC364">
        <f>IF(AB364=G364,1,2)</f>
        <v>2</v>
      </c>
    </row>
    <row r="365" spans="1:30" customFormat="1" ht="31.2" hidden="1" x14ac:dyDescent="0.3">
      <c r="A365" s="7" t="s">
        <v>62</v>
      </c>
      <c r="B365" s="6">
        <v>171</v>
      </c>
      <c r="C365" s="7" t="s">
        <v>625</v>
      </c>
      <c r="D365" s="7" t="s">
        <v>649</v>
      </c>
      <c r="E365" s="5"/>
      <c r="F365" s="4"/>
      <c r="G365" s="7" t="s">
        <v>650</v>
      </c>
      <c r="H365" s="5"/>
      <c r="I365" s="5"/>
      <c r="J365" s="7" t="s">
        <v>651</v>
      </c>
      <c r="K365" s="7" t="s">
        <v>24</v>
      </c>
      <c r="L365" s="7" t="s">
        <v>652</v>
      </c>
      <c r="M365" s="109">
        <v>3992486323</v>
      </c>
      <c r="N365" s="111"/>
      <c r="O365" s="109">
        <v>7500000</v>
      </c>
      <c r="P365" s="110"/>
      <c r="Q365" s="109">
        <f>M365+N365+O365+P365</f>
        <v>3999986323</v>
      </c>
      <c r="R365" s="3">
        <v>3992486323</v>
      </c>
      <c r="S365" s="5"/>
      <c r="T365" s="30">
        <v>7500000</v>
      </c>
      <c r="U365" s="5"/>
      <c r="V365" s="5"/>
      <c r="W365" s="28"/>
      <c r="X365" s="28">
        <f>N365-S365</f>
        <v>0</v>
      </c>
      <c r="Y365" s="28">
        <f>O365-T365</f>
        <v>0</v>
      </c>
      <c r="Z365" s="28">
        <f>P365-U365</f>
        <v>0</v>
      </c>
      <c r="AA365" s="4"/>
      <c r="AB365" s="4"/>
      <c r="AC365">
        <f>IF(AB365=G365,1,2)</f>
        <v>2</v>
      </c>
    </row>
    <row r="366" spans="1:30" customFormat="1" ht="31.2" hidden="1" x14ac:dyDescent="0.3">
      <c r="A366" s="7" t="s">
        <v>18</v>
      </c>
      <c r="B366" s="6">
        <v>172</v>
      </c>
      <c r="C366" s="7" t="s">
        <v>625</v>
      </c>
      <c r="D366" s="7" t="s">
        <v>653</v>
      </c>
      <c r="E366" s="5"/>
      <c r="F366" s="4"/>
      <c r="G366" s="7" t="s">
        <v>654</v>
      </c>
      <c r="H366" s="5"/>
      <c r="I366" s="5"/>
      <c r="J366" s="7" t="s">
        <v>655</v>
      </c>
      <c r="K366" s="7" t="s">
        <v>24</v>
      </c>
      <c r="L366" s="7" t="s">
        <v>656</v>
      </c>
      <c r="M366" s="109">
        <v>729829000</v>
      </c>
      <c r="N366" s="111"/>
      <c r="O366" s="109">
        <v>7500000</v>
      </c>
      <c r="P366" s="110"/>
      <c r="Q366" s="109">
        <f>M366+N366+O366+P366</f>
        <v>737329000</v>
      </c>
      <c r="R366" s="3">
        <v>729829000</v>
      </c>
      <c r="S366" s="5"/>
      <c r="T366" s="30">
        <v>7500000</v>
      </c>
      <c r="U366" s="5"/>
      <c r="V366" s="5"/>
      <c r="W366" s="28"/>
      <c r="X366" s="28">
        <f>N366-S366</f>
        <v>0</v>
      </c>
      <c r="Y366" s="28">
        <f>O366-T366</f>
        <v>0</v>
      </c>
      <c r="Z366" s="28">
        <f>P366-U366</f>
        <v>0</v>
      </c>
      <c r="AA366" s="4"/>
      <c r="AB366" s="4"/>
      <c r="AC366">
        <f>IF(AB366=G366,1,2)</f>
        <v>2</v>
      </c>
    </row>
    <row r="367" spans="1:30" customFormat="1" ht="31.2" hidden="1" x14ac:dyDescent="0.3">
      <c r="A367" s="7" t="s">
        <v>53</v>
      </c>
      <c r="B367" s="6">
        <v>173</v>
      </c>
      <c r="C367" s="7" t="s">
        <v>625</v>
      </c>
      <c r="D367" s="7" t="s">
        <v>657</v>
      </c>
      <c r="E367" s="5"/>
      <c r="F367" s="4"/>
      <c r="G367" s="7" t="s">
        <v>658</v>
      </c>
      <c r="H367" s="5"/>
      <c r="I367" s="5"/>
      <c r="J367" s="7" t="s">
        <v>659</v>
      </c>
      <c r="K367" s="7" t="s">
        <v>24</v>
      </c>
      <c r="L367" s="7" t="s">
        <v>660</v>
      </c>
      <c r="M367" s="109">
        <v>124266760</v>
      </c>
      <c r="N367" s="111"/>
      <c r="O367" s="109">
        <v>7500000</v>
      </c>
      <c r="P367" s="110"/>
      <c r="Q367" s="109">
        <f>M367+N367+O367+P367</f>
        <v>131766760</v>
      </c>
      <c r="R367" s="3">
        <v>124266760</v>
      </c>
      <c r="S367" s="5"/>
      <c r="T367" s="30">
        <v>7500000</v>
      </c>
      <c r="U367" s="5"/>
      <c r="V367" s="5"/>
      <c r="W367" s="28"/>
      <c r="X367" s="28">
        <f>N367-S367</f>
        <v>0</v>
      </c>
      <c r="Y367" s="28">
        <f>O367-T367</f>
        <v>0</v>
      </c>
      <c r="Z367" s="28">
        <f>P367-U367</f>
        <v>0</v>
      </c>
      <c r="AA367" s="4"/>
      <c r="AB367" s="4"/>
      <c r="AC367">
        <f>IF(AB367=G367,1,2)</f>
        <v>2</v>
      </c>
    </row>
    <row r="368" spans="1:30" customFormat="1" ht="31.2" hidden="1" x14ac:dyDescent="0.3">
      <c r="A368" s="7" t="s">
        <v>18</v>
      </c>
      <c r="B368" s="6">
        <v>174</v>
      </c>
      <c r="C368" s="7" t="s">
        <v>625</v>
      </c>
      <c r="D368" s="7" t="s">
        <v>661</v>
      </c>
      <c r="E368" s="7"/>
      <c r="F368" s="4"/>
      <c r="G368" s="7" t="s">
        <v>662</v>
      </c>
      <c r="H368" s="7"/>
      <c r="I368" s="7"/>
      <c r="J368" s="7" t="s">
        <v>663</v>
      </c>
      <c r="K368" s="7" t="s">
        <v>24</v>
      </c>
      <c r="L368" s="7" t="s">
        <v>664</v>
      </c>
      <c r="M368" s="109">
        <v>0</v>
      </c>
      <c r="N368" s="111"/>
      <c r="O368" s="109">
        <v>7500000</v>
      </c>
      <c r="P368" s="110"/>
      <c r="Q368" s="109">
        <f>M368+N368+O368+P368</f>
        <v>7500000</v>
      </c>
      <c r="R368" s="6">
        <v>0</v>
      </c>
      <c r="S368" s="5"/>
      <c r="T368" s="72"/>
      <c r="U368" s="5"/>
      <c r="V368" s="5"/>
      <c r="W368" s="28"/>
      <c r="X368" s="28">
        <f>N368-S368</f>
        <v>0</v>
      </c>
      <c r="Y368" s="36">
        <f>O368-T368</f>
        <v>7500000</v>
      </c>
      <c r="Z368" s="28">
        <f>P368-U368</f>
        <v>0</v>
      </c>
      <c r="AA368" s="4"/>
      <c r="AB368" s="40"/>
      <c r="AC368" s="121">
        <f>IF(AB368=G368,1,2)</f>
        <v>2</v>
      </c>
      <c r="AD368" s="121"/>
    </row>
    <row r="369" spans="1:30" customFormat="1" ht="62.4" hidden="1" x14ac:dyDescent="0.3">
      <c r="A369" s="7" t="s">
        <v>62</v>
      </c>
      <c r="B369" s="6">
        <v>175</v>
      </c>
      <c r="C369" s="7" t="s">
        <v>625</v>
      </c>
      <c r="D369" s="7" t="s">
        <v>665</v>
      </c>
      <c r="E369" s="7" t="s">
        <v>666</v>
      </c>
      <c r="F369" s="4"/>
      <c r="G369" s="7" t="s">
        <v>667</v>
      </c>
      <c r="H369" s="7" t="s">
        <v>668</v>
      </c>
      <c r="I369" s="7"/>
      <c r="J369" s="7" t="s">
        <v>669</v>
      </c>
      <c r="K369" s="7" t="s">
        <v>24</v>
      </c>
      <c r="L369" s="7" t="s">
        <v>670</v>
      </c>
      <c r="M369" s="109">
        <v>2265222670</v>
      </c>
      <c r="N369" s="109">
        <v>552867384</v>
      </c>
      <c r="O369" s="109">
        <v>7500000</v>
      </c>
      <c r="P369" s="110"/>
      <c r="Q369" s="109">
        <f>M369+N369+O369+P369</f>
        <v>2825590054</v>
      </c>
      <c r="R369" s="5"/>
      <c r="S369" s="7"/>
      <c r="T369" s="72"/>
      <c r="U369" s="5"/>
      <c r="V369" s="5"/>
      <c r="W369" s="28">
        <v>2265222670</v>
      </c>
      <c r="X369" s="36">
        <f>N369-S369</f>
        <v>552867384</v>
      </c>
      <c r="Y369" s="36">
        <f>O369-T369</f>
        <v>7500000</v>
      </c>
      <c r="Z369" s="28">
        <f>P369-U369</f>
        <v>0</v>
      </c>
      <c r="AA369" s="10">
        <v>2818090054</v>
      </c>
      <c r="AB369" s="40"/>
      <c r="AC369" s="121">
        <f>IF(AB369=G369,1,2)</f>
        <v>2</v>
      </c>
      <c r="AD369" s="121"/>
    </row>
    <row r="370" spans="1:30" customFormat="1" ht="31.2" hidden="1" x14ac:dyDescent="0.3">
      <c r="A370" s="7" t="s">
        <v>53</v>
      </c>
      <c r="B370" s="6">
        <v>176</v>
      </c>
      <c r="C370" s="7" t="s">
        <v>625</v>
      </c>
      <c r="D370" s="7" t="s">
        <v>671</v>
      </c>
      <c r="E370" s="5"/>
      <c r="F370" s="4"/>
      <c r="G370" s="7" t="s">
        <v>672</v>
      </c>
      <c r="H370" s="5"/>
      <c r="I370" s="5"/>
      <c r="J370" s="7" t="s">
        <v>673</v>
      </c>
      <c r="K370" s="7" t="s">
        <v>24</v>
      </c>
      <c r="L370" s="7" t="s">
        <v>674</v>
      </c>
      <c r="M370" s="109">
        <v>10643430</v>
      </c>
      <c r="N370" s="111"/>
      <c r="O370" s="109">
        <v>7500000</v>
      </c>
      <c r="P370" s="110"/>
      <c r="Q370" s="109">
        <f>M370+N370+O370+P370</f>
        <v>18143430</v>
      </c>
      <c r="R370" s="3">
        <v>10643430</v>
      </c>
      <c r="S370" s="5"/>
      <c r="T370" s="30">
        <v>7500000</v>
      </c>
      <c r="U370" s="5"/>
      <c r="V370" s="5"/>
      <c r="W370" s="28"/>
      <c r="X370" s="28">
        <f>N370-S370</f>
        <v>0</v>
      </c>
      <c r="Y370" s="28">
        <f>O370-T370</f>
        <v>0</v>
      </c>
      <c r="Z370" s="28">
        <f>P370-U370</f>
        <v>0</v>
      </c>
      <c r="AA370" s="4"/>
      <c r="AB370" s="4"/>
      <c r="AC370">
        <f>IF(AB370=G370,1,2)</f>
        <v>2</v>
      </c>
    </row>
    <row r="371" spans="1:30" customFormat="1" ht="31.2" hidden="1" x14ac:dyDescent="0.3">
      <c r="A371" s="7" t="s">
        <v>62</v>
      </c>
      <c r="B371" s="6">
        <v>177</v>
      </c>
      <c r="C371" s="7" t="s">
        <v>625</v>
      </c>
      <c r="D371" s="7" t="s">
        <v>675</v>
      </c>
      <c r="E371" s="5"/>
      <c r="F371" s="4"/>
      <c r="G371" s="7" t="s">
        <v>676</v>
      </c>
      <c r="H371" s="5"/>
      <c r="I371" s="5"/>
      <c r="J371" s="7" t="s">
        <v>677</v>
      </c>
      <c r="K371" s="7" t="s">
        <v>24</v>
      </c>
      <c r="L371" s="7" t="s">
        <v>678</v>
      </c>
      <c r="M371" s="109">
        <v>8918600276</v>
      </c>
      <c r="N371" s="111"/>
      <c r="O371" s="109">
        <v>15000000</v>
      </c>
      <c r="P371" s="110"/>
      <c r="Q371" s="109">
        <f>M371+N371+O371+P371</f>
        <v>8933600276</v>
      </c>
      <c r="R371" s="3">
        <v>8918600276</v>
      </c>
      <c r="S371" s="5"/>
      <c r="T371" s="30">
        <v>15000000</v>
      </c>
      <c r="U371" s="5"/>
      <c r="V371" s="5"/>
      <c r="W371" s="28"/>
      <c r="X371" s="28">
        <f>N371-S371</f>
        <v>0</v>
      </c>
      <c r="Y371" s="28">
        <f>O371-T371</f>
        <v>0</v>
      </c>
      <c r="Z371" s="28">
        <f>P371-U371</f>
        <v>0</v>
      </c>
      <c r="AA371" s="4"/>
      <c r="AB371" s="4"/>
      <c r="AC371">
        <f>IF(AB371=G371,1,2)</f>
        <v>2</v>
      </c>
    </row>
    <row r="372" spans="1:30" customFormat="1" ht="31.2" hidden="1" x14ac:dyDescent="0.3">
      <c r="A372" s="7" t="s">
        <v>62</v>
      </c>
      <c r="B372" s="6">
        <v>178</v>
      </c>
      <c r="C372" s="7" t="s">
        <v>625</v>
      </c>
      <c r="D372" s="7" t="s">
        <v>679</v>
      </c>
      <c r="E372" s="7" t="s">
        <v>389</v>
      </c>
      <c r="F372" s="4"/>
      <c r="G372" s="7" t="s">
        <v>680</v>
      </c>
      <c r="H372" s="7" t="s">
        <v>681</v>
      </c>
      <c r="I372" s="5"/>
      <c r="J372" s="7" t="s">
        <v>682</v>
      </c>
      <c r="K372" s="7" t="s">
        <v>24</v>
      </c>
      <c r="L372" s="7" t="s">
        <v>683</v>
      </c>
      <c r="M372" s="109">
        <v>1981953376</v>
      </c>
      <c r="N372" s="109">
        <v>93049344</v>
      </c>
      <c r="O372" s="109">
        <v>15000000</v>
      </c>
      <c r="P372" s="110"/>
      <c r="Q372" s="109">
        <f>M372+N372+O372+P372</f>
        <v>2090002720</v>
      </c>
      <c r="R372" s="3">
        <v>1981953376</v>
      </c>
      <c r="S372" s="3">
        <v>93049344</v>
      </c>
      <c r="T372" s="30">
        <v>15000000</v>
      </c>
      <c r="U372" s="5"/>
      <c r="V372" s="5"/>
      <c r="W372" s="28"/>
      <c r="X372" s="28">
        <f>N372-S372</f>
        <v>0</v>
      </c>
      <c r="Y372" s="28">
        <f>O372-T372</f>
        <v>0</v>
      </c>
      <c r="Z372" s="28">
        <f>P372-U372</f>
        <v>0</v>
      </c>
      <c r="AA372" s="4"/>
      <c r="AB372" s="4"/>
      <c r="AC372">
        <f>IF(AB372=G372,1,2)</f>
        <v>2</v>
      </c>
    </row>
    <row r="373" spans="1:30" customFormat="1" ht="31.2" hidden="1" x14ac:dyDescent="0.3">
      <c r="A373" s="7" t="s">
        <v>18</v>
      </c>
      <c r="B373" s="6">
        <v>179</v>
      </c>
      <c r="C373" s="7" t="s">
        <v>625</v>
      </c>
      <c r="D373" s="7" t="s">
        <v>684</v>
      </c>
      <c r="E373" s="5"/>
      <c r="F373" s="4"/>
      <c r="G373" s="7" t="s">
        <v>375</v>
      </c>
      <c r="H373" s="5"/>
      <c r="I373" s="5"/>
      <c r="J373" s="7" t="s">
        <v>685</v>
      </c>
      <c r="K373" s="7" t="s">
        <v>24</v>
      </c>
      <c r="L373" s="7" t="s">
        <v>109</v>
      </c>
      <c r="M373" s="109">
        <v>10000000</v>
      </c>
      <c r="N373" s="111"/>
      <c r="O373" s="109">
        <v>15000000</v>
      </c>
      <c r="P373" s="110"/>
      <c r="Q373" s="109">
        <f>M373+N373+O373+P373</f>
        <v>25000000</v>
      </c>
      <c r="R373" s="36">
        <v>10000000</v>
      </c>
      <c r="S373" s="5"/>
      <c r="T373" s="30">
        <v>15000000</v>
      </c>
      <c r="U373" s="5"/>
      <c r="V373" s="5"/>
      <c r="W373" s="28"/>
      <c r="X373" s="28">
        <f>N373-S373</f>
        <v>0</v>
      </c>
      <c r="Y373" s="28">
        <f>O373-T373</f>
        <v>0</v>
      </c>
      <c r="Z373" s="28">
        <f>P373-U373</f>
        <v>0</v>
      </c>
      <c r="AA373" s="4"/>
      <c r="AB373" s="4"/>
      <c r="AC373">
        <f>IF(AB373=G373,1,2)</f>
        <v>2</v>
      </c>
    </row>
    <row r="374" spans="1:30" customFormat="1" ht="31.2" hidden="1" x14ac:dyDescent="0.3">
      <c r="A374" s="7" t="s">
        <v>18</v>
      </c>
      <c r="B374" s="6">
        <v>180</v>
      </c>
      <c r="C374" s="7" t="s">
        <v>625</v>
      </c>
      <c r="D374" s="7" t="s">
        <v>686</v>
      </c>
      <c r="E374" s="5"/>
      <c r="F374" s="4"/>
      <c r="G374" s="7" t="s">
        <v>687</v>
      </c>
      <c r="H374" s="5"/>
      <c r="I374" s="5"/>
      <c r="J374" s="7" t="s">
        <v>688</v>
      </c>
      <c r="K374" s="7" t="s">
        <v>24</v>
      </c>
      <c r="L374" s="7" t="s">
        <v>689</v>
      </c>
      <c r="M374" s="109">
        <v>10000000</v>
      </c>
      <c r="N374" s="111"/>
      <c r="O374" s="109">
        <v>15000000</v>
      </c>
      <c r="P374" s="110"/>
      <c r="Q374" s="109">
        <f>M374+N374+O374+P374</f>
        <v>25000000</v>
      </c>
      <c r="R374" s="36">
        <v>10000000</v>
      </c>
      <c r="S374" s="5"/>
      <c r="T374" s="30">
        <v>15000000</v>
      </c>
      <c r="U374" s="5"/>
      <c r="V374" s="5"/>
      <c r="W374" s="28"/>
      <c r="X374" s="28">
        <f>N374-S374</f>
        <v>0</v>
      </c>
      <c r="Y374" s="28">
        <f>O374-T374</f>
        <v>0</v>
      </c>
      <c r="Z374" s="28">
        <f>P374-U374</f>
        <v>0</v>
      </c>
      <c r="AA374" s="4"/>
      <c r="AB374" s="4"/>
      <c r="AC374">
        <f>IF(AB374=G374,1,2)</f>
        <v>2</v>
      </c>
    </row>
    <row r="375" spans="1:30" customFormat="1" ht="62.4" hidden="1" x14ac:dyDescent="0.3">
      <c r="A375" s="7" t="s">
        <v>18</v>
      </c>
      <c r="B375" s="6">
        <v>182</v>
      </c>
      <c r="C375" s="7" t="s">
        <v>696</v>
      </c>
      <c r="D375" s="7" t="s">
        <v>697</v>
      </c>
      <c r="E375" s="7" t="s">
        <v>698</v>
      </c>
      <c r="F375" s="4"/>
      <c r="G375" s="7" t="s">
        <v>167</v>
      </c>
      <c r="H375" s="7" t="s">
        <v>699</v>
      </c>
      <c r="I375" s="5"/>
      <c r="J375" s="7" t="s">
        <v>700</v>
      </c>
      <c r="K375" s="7" t="s">
        <v>24</v>
      </c>
      <c r="L375" s="7" t="s">
        <v>701</v>
      </c>
      <c r="M375" s="109">
        <v>336768568</v>
      </c>
      <c r="N375" s="109">
        <v>141798254</v>
      </c>
      <c r="O375" s="109">
        <v>7500000</v>
      </c>
      <c r="P375" s="110"/>
      <c r="Q375" s="109">
        <f>M375+N375+O375+P375</f>
        <v>486066822</v>
      </c>
      <c r="R375" s="3">
        <v>336768568</v>
      </c>
      <c r="S375" s="3">
        <v>141798254</v>
      </c>
      <c r="T375" s="30">
        <v>7500000</v>
      </c>
      <c r="U375" s="5"/>
      <c r="V375" s="5"/>
      <c r="W375" s="28"/>
      <c r="X375" s="36">
        <f>N375-S375</f>
        <v>0</v>
      </c>
      <c r="Y375" s="28">
        <f>O375-T375</f>
        <v>0</v>
      </c>
      <c r="Z375" s="28">
        <f>P375-U375</f>
        <v>0</v>
      </c>
      <c r="AA375" s="40"/>
      <c r="AB375" s="40"/>
      <c r="AC375" s="61">
        <f>IF(AB375=G375,1,2)</f>
        <v>2</v>
      </c>
      <c r="AD375" s="61"/>
    </row>
    <row r="376" spans="1:30" customFormat="1" ht="31.2" hidden="1" x14ac:dyDescent="0.3">
      <c r="A376" s="7" t="s">
        <v>18</v>
      </c>
      <c r="B376" s="6">
        <v>183</v>
      </c>
      <c r="C376" s="7" t="s">
        <v>696</v>
      </c>
      <c r="D376" s="7" t="s">
        <v>702</v>
      </c>
      <c r="E376" s="7"/>
      <c r="F376" s="4"/>
      <c r="G376" s="7" t="s">
        <v>703</v>
      </c>
      <c r="H376" s="7"/>
      <c r="I376" s="7"/>
      <c r="J376" s="7" t="s">
        <v>704</v>
      </c>
      <c r="K376" s="7" t="s">
        <v>24</v>
      </c>
      <c r="L376" s="7" t="s">
        <v>705</v>
      </c>
      <c r="M376" s="109">
        <v>1710548356</v>
      </c>
      <c r="N376" s="111"/>
      <c r="O376" s="109">
        <v>7500000</v>
      </c>
      <c r="P376" s="110"/>
      <c r="Q376" s="109">
        <f>M376+N376+O376+P376</f>
        <v>1718048356</v>
      </c>
      <c r="R376" s="3">
        <v>1710548356</v>
      </c>
      <c r="S376" s="5"/>
      <c r="T376" s="72"/>
      <c r="U376" s="5"/>
      <c r="V376" s="5"/>
      <c r="W376" s="28"/>
      <c r="X376" s="28">
        <f>N376-S376</f>
        <v>0</v>
      </c>
      <c r="Y376" s="36">
        <f>O376-T376</f>
        <v>7500000</v>
      </c>
      <c r="Z376" s="28">
        <f>P376-U376</f>
        <v>0</v>
      </c>
      <c r="AA376" s="4"/>
      <c r="AB376" s="40"/>
      <c r="AC376" s="121">
        <f>IF(AB376=G376,1,2)</f>
        <v>2</v>
      </c>
      <c r="AD376" s="121"/>
    </row>
    <row r="377" spans="1:30" customFormat="1" ht="31.2" hidden="1" x14ac:dyDescent="0.3">
      <c r="A377" s="7" t="s">
        <v>18</v>
      </c>
      <c r="B377" s="6">
        <v>184</v>
      </c>
      <c r="C377" s="7" t="s">
        <v>696</v>
      </c>
      <c r="D377" s="7" t="s">
        <v>706</v>
      </c>
      <c r="E377" s="5"/>
      <c r="F377" s="4"/>
      <c r="G377" s="7" t="s">
        <v>707</v>
      </c>
      <c r="H377" s="5"/>
      <c r="I377" s="5"/>
      <c r="J377" s="7" t="s">
        <v>708</v>
      </c>
      <c r="K377" s="7" t="s">
        <v>24</v>
      </c>
      <c r="L377" s="7" t="s">
        <v>709</v>
      </c>
      <c r="M377" s="109">
        <v>2940512944</v>
      </c>
      <c r="N377" s="111"/>
      <c r="O377" s="109">
        <v>7500000</v>
      </c>
      <c r="P377" s="110"/>
      <c r="Q377" s="109">
        <f>M377+N377+O377+P377</f>
        <v>2948012944</v>
      </c>
      <c r="R377" s="3">
        <v>2940512944</v>
      </c>
      <c r="S377" s="5"/>
      <c r="T377" s="30">
        <v>7500000</v>
      </c>
      <c r="U377" s="5"/>
      <c r="V377" s="5"/>
      <c r="W377" s="28"/>
      <c r="X377" s="28">
        <f>N377-S377</f>
        <v>0</v>
      </c>
      <c r="Y377" s="28">
        <f>O377-T377</f>
        <v>0</v>
      </c>
      <c r="Z377" s="28">
        <f>P377-U377</f>
        <v>0</v>
      </c>
      <c r="AA377" s="4"/>
      <c r="AB377" s="4"/>
      <c r="AC377">
        <f>IF(AB377=G377,1,2)</f>
        <v>2</v>
      </c>
    </row>
    <row r="378" spans="1:30" customFormat="1" ht="31.2" hidden="1" x14ac:dyDescent="0.3">
      <c r="A378" s="7" t="s">
        <v>18</v>
      </c>
      <c r="B378" s="6">
        <v>185</v>
      </c>
      <c r="C378" s="7" t="s">
        <v>696</v>
      </c>
      <c r="D378" s="7" t="s">
        <v>710</v>
      </c>
      <c r="E378" s="5"/>
      <c r="F378" s="4"/>
      <c r="G378" s="7" t="s">
        <v>404</v>
      </c>
      <c r="H378" s="5"/>
      <c r="I378" s="5"/>
      <c r="J378" s="7" t="s">
        <v>711</v>
      </c>
      <c r="K378" s="7" t="s">
        <v>24</v>
      </c>
      <c r="L378" s="7" t="s">
        <v>712</v>
      </c>
      <c r="M378" s="109">
        <v>1486137360</v>
      </c>
      <c r="N378" s="111"/>
      <c r="O378" s="109">
        <v>7500000</v>
      </c>
      <c r="P378" s="110"/>
      <c r="Q378" s="109">
        <f>M378+N378+O378+P378</f>
        <v>1493637360</v>
      </c>
      <c r="R378" s="36">
        <v>1486137360</v>
      </c>
      <c r="S378" s="5"/>
      <c r="T378" s="30">
        <v>7500000</v>
      </c>
      <c r="U378" s="5"/>
      <c r="V378" s="5"/>
      <c r="W378" s="28"/>
      <c r="X378" s="28">
        <f>N378-S378</f>
        <v>0</v>
      </c>
      <c r="Y378" s="28">
        <f>O378-T378</f>
        <v>0</v>
      </c>
      <c r="Z378" s="28">
        <f>P378-U378</f>
        <v>0</v>
      </c>
      <c r="AA378" s="4"/>
      <c r="AB378" s="4"/>
      <c r="AC378">
        <f>IF(AB378=G378,1,2)</f>
        <v>2</v>
      </c>
    </row>
    <row r="379" spans="1:30" customFormat="1" ht="31.2" hidden="1" x14ac:dyDescent="0.3">
      <c r="A379" s="7" t="s">
        <v>18</v>
      </c>
      <c r="B379" s="6">
        <v>186</v>
      </c>
      <c r="C379" s="7" t="s">
        <v>696</v>
      </c>
      <c r="D379" s="7" t="s">
        <v>713</v>
      </c>
      <c r="E379" s="5"/>
      <c r="F379" s="4"/>
      <c r="G379" s="7" t="s">
        <v>179</v>
      </c>
      <c r="H379" s="5"/>
      <c r="I379" s="5"/>
      <c r="J379" s="7" t="s">
        <v>714</v>
      </c>
      <c r="K379" s="7" t="s">
        <v>24</v>
      </c>
      <c r="L379" s="7" t="s">
        <v>715</v>
      </c>
      <c r="M379" s="109">
        <v>7125152398</v>
      </c>
      <c r="N379" s="111"/>
      <c r="O379" s="109">
        <v>15000000</v>
      </c>
      <c r="P379" s="110"/>
      <c r="Q379" s="109">
        <f>M379+N379+O379+P379</f>
        <v>7140152398</v>
      </c>
      <c r="R379" s="3">
        <v>7125152398</v>
      </c>
      <c r="S379" s="5"/>
      <c r="T379" s="30">
        <v>15000000</v>
      </c>
      <c r="U379" s="5"/>
      <c r="V379" s="5"/>
      <c r="W379" s="28"/>
      <c r="X379" s="28">
        <f>N379-S379</f>
        <v>0</v>
      </c>
      <c r="Y379" s="28">
        <f>O379-T379</f>
        <v>0</v>
      </c>
      <c r="Z379" s="28">
        <f>P379-U379</f>
        <v>0</v>
      </c>
      <c r="AA379" s="4"/>
      <c r="AB379" s="4"/>
      <c r="AC379">
        <f>IF(AB379=G379,1,2)</f>
        <v>2</v>
      </c>
    </row>
    <row r="380" spans="1:30" customFormat="1" ht="62.4" hidden="1" x14ac:dyDescent="0.3">
      <c r="A380" s="7" t="s">
        <v>18</v>
      </c>
      <c r="B380" s="6">
        <v>187</v>
      </c>
      <c r="C380" s="7" t="s">
        <v>696</v>
      </c>
      <c r="D380" s="7" t="s">
        <v>716</v>
      </c>
      <c r="E380" s="7" t="s">
        <v>717</v>
      </c>
      <c r="F380" s="4"/>
      <c r="G380" s="7" t="s">
        <v>718</v>
      </c>
      <c r="H380" s="7" t="s">
        <v>719</v>
      </c>
      <c r="I380" s="5"/>
      <c r="J380" s="7" t="s">
        <v>720</v>
      </c>
      <c r="K380" s="7" t="s">
        <v>24</v>
      </c>
      <c r="L380" s="7" t="s">
        <v>721</v>
      </c>
      <c r="M380" s="109">
        <v>6715150664</v>
      </c>
      <c r="N380" s="109">
        <v>15861376</v>
      </c>
      <c r="O380" s="109">
        <v>15000000</v>
      </c>
      <c r="P380" s="110"/>
      <c r="Q380" s="109">
        <f>M380+N380+O380+P380</f>
        <v>6746012040</v>
      </c>
      <c r="R380" s="3">
        <v>6715150664</v>
      </c>
      <c r="S380" s="3">
        <v>15861376</v>
      </c>
      <c r="T380" s="30">
        <v>15000000</v>
      </c>
      <c r="U380" s="5"/>
      <c r="V380" s="5"/>
      <c r="W380" s="28"/>
      <c r="X380" s="28">
        <f>N380-S380</f>
        <v>0</v>
      </c>
      <c r="Y380" s="28">
        <f>O380-T380</f>
        <v>0</v>
      </c>
      <c r="Z380" s="28">
        <f>P380-U380</f>
        <v>0</v>
      </c>
      <c r="AA380" s="4"/>
      <c r="AB380" s="4"/>
      <c r="AC380">
        <f>IF(AB380=G380,1,2)</f>
        <v>2</v>
      </c>
    </row>
    <row r="381" spans="1:30" customFormat="1" ht="31.2" hidden="1" x14ac:dyDescent="0.3">
      <c r="A381" s="7" t="s">
        <v>18</v>
      </c>
      <c r="B381" s="6">
        <v>188</v>
      </c>
      <c r="C381" s="7" t="s">
        <v>696</v>
      </c>
      <c r="D381" s="7" t="s">
        <v>722</v>
      </c>
      <c r="E381" s="5"/>
      <c r="F381" s="4"/>
      <c r="G381" s="7" t="s">
        <v>723</v>
      </c>
      <c r="H381" s="7" t="s">
        <v>724</v>
      </c>
      <c r="I381" s="5"/>
      <c r="J381" s="7" t="s">
        <v>725</v>
      </c>
      <c r="K381" s="7" t="s">
        <v>24</v>
      </c>
      <c r="L381" s="7" t="s">
        <v>726</v>
      </c>
      <c r="M381" s="109">
        <v>5835879930</v>
      </c>
      <c r="N381" s="111"/>
      <c r="O381" s="109">
        <v>15000000</v>
      </c>
      <c r="P381" s="110"/>
      <c r="Q381" s="109">
        <f>M381+N381+O381+P381</f>
        <v>5850879930</v>
      </c>
      <c r="R381" s="3">
        <v>5835879930</v>
      </c>
      <c r="S381" s="5"/>
      <c r="T381" s="30">
        <v>15000000</v>
      </c>
      <c r="U381" s="5"/>
      <c r="V381" s="5"/>
      <c r="W381" s="28"/>
      <c r="X381" s="28">
        <f>N381-S381</f>
        <v>0</v>
      </c>
      <c r="Y381" s="28">
        <f>O381-T381</f>
        <v>0</v>
      </c>
      <c r="Z381" s="28">
        <f>P381-U381</f>
        <v>0</v>
      </c>
      <c r="AA381" s="4"/>
      <c r="AB381" s="4"/>
      <c r="AC381">
        <f>IF(AB381=G381,1,2)</f>
        <v>2</v>
      </c>
    </row>
    <row r="382" spans="1:30" customFormat="1" ht="31.2" hidden="1" x14ac:dyDescent="0.3">
      <c r="A382" s="7" t="s">
        <v>18</v>
      </c>
      <c r="B382" s="6">
        <v>190</v>
      </c>
      <c r="C382" s="7" t="s">
        <v>696</v>
      </c>
      <c r="D382" s="7" t="s">
        <v>731</v>
      </c>
      <c r="E382" s="7" t="s">
        <v>389</v>
      </c>
      <c r="F382" s="4"/>
      <c r="G382" s="7" t="s">
        <v>732</v>
      </c>
      <c r="H382" s="7" t="s">
        <v>733</v>
      </c>
      <c r="I382" s="5"/>
      <c r="J382" s="7" t="s">
        <v>734</v>
      </c>
      <c r="K382" s="7" t="s">
        <v>24</v>
      </c>
      <c r="L382" s="7" t="s">
        <v>735</v>
      </c>
      <c r="M382" s="109">
        <v>3874838388</v>
      </c>
      <c r="N382" s="109">
        <v>219379565</v>
      </c>
      <c r="O382" s="109">
        <v>15000000</v>
      </c>
      <c r="P382" s="110"/>
      <c r="Q382" s="109">
        <f>M382+N382+O382+P382</f>
        <v>4109217953</v>
      </c>
      <c r="R382" s="3">
        <v>3874838388</v>
      </c>
      <c r="S382" s="3">
        <v>219379565</v>
      </c>
      <c r="T382" s="30">
        <v>15000000</v>
      </c>
      <c r="U382" s="5"/>
      <c r="V382" s="5"/>
      <c r="W382" s="28"/>
      <c r="X382" s="28">
        <f>N382-S382</f>
        <v>0</v>
      </c>
      <c r="Y382" s="28">
        <f>O382-T382</f>
        <v>0</v>
      </c>
      <c r="Z382" s="28">
        <f>P382-U382</f>
        <v>0</v>
      </c>
      <c r="AA382" s="4"/>
      <c r="AB382" s="4"/>
      <c r="AC382">
        <f>IF(AB382=G382,1,2)</f>
        <v>2</v>
      </c>
    </row>
    <row r="383" spans="1:30" customFormat="1" ht="31.2" hidden="1" x14ac:dyDescent="0.3">
      <c r="A383" s="7" t="s">
        <v>46</v>
      </c>
      <c r="B383" s="6">
        <v>191</v>
      </c>
      <c r="C383" s="7" t="s">
        <v>696</v>
      </c>
      <c r="D383" s="7" t="s">
        <v>736</v>
      </c>
      <c r="E383" s="7" t="s">
        <v>34</v>
      </c>
      <c r="F383" s="4"/>
      <c r="G383" s="7" t="s">
        <v>737</v>
      </c>
      <c r="H383" s="7" t="s">
        <v>738</v>
      </c>
      <c r="I383" s="5"/>
      <c r="J383" s="7" t="s">
        <v>739</v>
      </c>
      <c r="K383" s="7" t="s">
        <v>24</v>
      </c>
      <c r="L383" s="7" t="s">
        <v>740</v>
      </c>
      <c r="M383" s="109">
        <v>1674305520</v>
      </c>
      <c r="N383" s="109">
        <v>74625408</v>
      </c>
      <c r="O383" s="109">
        <v>7500000</v>
      </c>
      <c r="P383" s="110"/>
      <c r="Q383" s="109">
        <f>M383+N383+O383+P383</f>
        <v>1756430928</v>
      </c>
      <c r="R383" s="3">
        <v>1674305520</v>
      </c>
      <c r="S383" s="3">
        <v>74625408</v>
      </c>
      <c r="T383" s="30">
        <v>7500000</v>
      </c>
      <c r="U383" s="5"/>
      <c r="V383" s="5"/>
      <c r="W383" s="28"/>
      <c r="X383" s="28">
        <f>N383-S383</f>
        <v>0</v>
      </c>
      <c r="Y383" s="28">
        <f>O383-T383</f>
        <v>0</v>
      </c>
      <c r="Z383" s="28">
        <f>P383-U383</f>
        <v>0</v>
      </c>
      <c r="AA383" s="4"/>
      <c r="AB383" s="4"/>
      <c r="AC383">
        <f>IF(AB383=G383,1,2)</f>
        <v>2</v>
      </c>
    </row>
    <row r="384" spans="1:30" customFormat="1" ht="31.2" hidden="1" x14ac:dyDescent="0.3">
      <c r="A384" s="7" t="s">
        <v>46</v>
      </c>
      <c r="B384" s="6">
        <v>192</v>
      </c>
      <c r="C384" s="7" t="s">
        <v>696</v>
      </c>
      <c r="D384" s="7" t="s">
        <v>741</v>
      </c>
      <c r="E384" s="5"/>
      <c r="F384" s="4"/>
      <c r="G384" s="7" t="s">
        <v>742</v>
      </c>
      <c r="H384" s="5"/>
      <c r="I384" s="5"/>
      <c r="J384" s="7" t="s">
        <v>743</v>
      </c>
      <c r="K384" s="7" t="s">
        <v>24</v>
      </c>
      <c r="L384" s="7" t="s">
        <v>744</v>
      </c>
      <c r="M384" s="109">
        <v>3072481912</v>
      </c>
      <c r="N384" s="111"/>
      <c r="O384" s="109">
        <v>15000000</v>
      </c>
      <c r="P384" s="110"/>
      <c r="Q384" s="109">
        <f>M384+N384+O384+P384</f>
        <v>3087481912</v>
      </c>
      <c r="R384" s="3">
        <v>3072481912</v>
      </c>
      <c r="S384" s="5"/>
      <c r="T384" s="30">
        <v>15000000</v>
      </c>
      <c r="U384" s="5"/>
      <c r="V384" s="5"/>
      <c r="W384" s="28"/>
      <c r="X384" s="28">
        <f>N384-S384</f>
        <v>0</v>
      </c>
      <c r="Y384" s="28">
        <f>O384-T384</f>
        <v>0</v>
      </c>
      <c r="Z384" s="28">
        <f>P384-U384</f>
        <v>0</v>
      </c>
      <c r="AA384" s="4"/>
      <c r="AB384" s="4"/>
      <c r="AC384">
        <f>IF(AB384=G384,1,2)</f>
        <v>2</v>
      </c>
    </row>
    <row r="385" spans="1:30" customFormat="1" ht="62.4" hidden="1" x14ac:dyDescent="0.3">
      <c r="A385" s="7" t="s">
        <v>46</v>
      </c>
      <c r="B385" s="6">
        <v>193</v>
      </c>
      <c r="C385" s="7" t="s">
        <v>696</v>
      </c>
      <c r="D385" s="7" t="s">
        <v>745</v>
      </c>
      <c r="E385" s="7" t="s">
        <v>746</v>
      </c>
      <c r="F385" s="4"/>
      <c r="G385" s="7" t="s">
        <v>747</v>
      </c>
      <c r="H385" s="7" t="s">
        <v>748</v>
      </c>
      <c r="I385" s="5"/>
      <c r="J385" s="7" t="s">
        <v>749</v>
      </c>
      <c r="K385" s="7" t="s">
        <v>24</v>
      </c>
      <c r="L385" s="7" t="s">
        <v>750</v>
      </c>
      <c r="M385" s="109">
        <v>3088268220</v>
      </c>
      <c r="N385" s="109">
        <v>903427190</v>
      </c>
      <c r="O385" s="109">
        <v>15000000</v>
      </c>
      <c r="P385" s="110"/>
      <c r="Q385" s="109">
        <f>M385+N385+O385+P385</f>
        <v>4006695410</v>
      </c>
      <c r="R385" s="3">
        <v>3088268220</v>
      </c>
      <c r="S385" s="3">
        <v>903427190</v>
      </c>
      <c r="T385" s="30">
        <v>15000000</v>
      </c>
      <c r="U385" s="5"/>
      <c r="V385" s="5"/>
      <c r="W385" s="28"/>
      <c r="X385" s="28">
        <f>N385-S385</f>
        <v>0</v>
      </c>
      <c r="Y385" s="28">
        <f>O385-T385</f>
        <v>0</v>
      </c>
      <c r="Z385" s="28">
        <f>P385-U385</f>
        <v>0</v>
      </c>
      <c r="AA385" s="4"/>
      <c r="AB385" s="4"/>
      <c r="AC385">
        <f>IF(AB385=G385,1,2)</f>
        <v>2</v>
      </c>
    </row>
    <row r="386" spans="1:30" customFormat="1" ht="31.2" hidden="1" x14ac:dyDescent="0.3">
      <c r="A386" s="7" t="s">
        <v>46</v>
      </c>
      <c r="B386" s="6">
        <v>194</v>
      </c>
      <c r="C386" s="7" t="s">
        <v>696</v>
      </c>
      <c r="D386" s="7" t="s">
        <v>751</v>
      </c>
      <c r="E386" s="7" t="s">
        <v>34</v>
      </c>
      <c r="F386" s="4"/>
      <c r="G386" s="7" t="s">
        <v>752</v>
      </c>
      <c r="H386" s="7" t="s">
        <v>703</v>
      </c>
      <c r="I386" s="5"/>
      <c r="J386" s="7" t="s">
        <v>753</v>
      </c>
      <c r="K386" s="7" t="s">
        <v>24</v>
      </c>
      <c r="L386" s="7" t="s">
        <v>754</v>
      </c>
      <c r="M386" s="109">
        <v>1894603455</v>
      </c>
      <c r="N386" s="109">
        <v>66971520</v>
      </c>
      <c r="O386" s="109">
        <v>7500000</v>
      </c>
      <c r="P386" s="110"/>
      <c r="Q386" s="109">
        <f>M386+N386+O386+P386</f>
        <v>1969074975</v>
      </c>
      <c r="R386" s="3">
        <v>1894603455</v>
      </c>
      <c r="S386" s="3">
        <v>66971520</v>
      </c>
      <c r="T386" s="30">
        <v>7500000</v>
      </c>
      <c r="U386" s="5"/>
      <c r="V386" s="5"/>
      <c r="W386" s="28"/>
      <c r="X386" s="28">
        <f>N386-S386</f>
        <v>0</v>
      </c>
      <c r="Y386" s="28">
        <f>O386-T386</f>
        <v>0</v>
      </c>
      <c r="Z386" s="28">
        <f>P386-U386</f>
        <v>0</v>
      </c>
      <c r="AA386" s="4"/>
      <c r="AB386" s="4"/>
      <c r="AC386">
        <f>IF(AB386=G386,1,2)</f>
        <v>2</v>
      </c>
    </row>
    <row r="387" spans="1:30" customFormat="1" ht="31.2" hidden="1" x14ac:dyDescent="0.3">
      <c r="A387" s="7" t="s">
        <v>46</v>
      </c>
      <c r="B387" s="6">
        <v>195</v>
      </c>
      <c r="C387" s="7" t="s">
        <v>696</v>
      </c>
      <c r="D387" s="7" t="s">
        <v>755</v>
      </c>
      <c r="E387" s="5"/>
      <c r="F387" s="4"/>
      <c r="G387" s="7" t="s">
        <v>756</v>
      </c>
      <c r="H387" s="5"/>
      <c r="I387" s="5"/>
      <c r="J387" s="7" t="s">
        <v>757</v>
      </c>
      <c r="K387" s="7" t="s">
        <v>24</v>
      </c>
      <c r="L387" s="7" t="s">
        <v>758</v>
      </c>
      <c r="M387" s="109">
        <v>2562353764</v>
      </c>
      <c r="N387" s="111"/>
      <c r="O387" s="109">
        <v>15000000</v>
      </c>
      <c r="P387" s="110"/>
      <c r="Q387" s="109">
        <f>M387+N387+O387+P387</f>
        <v>2577353764</v>
      </c>
      <c r="R387" s="3">
        <v>2562353764</v>
      </c>
      <c r="S387" s="5"/>
      <c r="T387" s="30">
        <v>15000000</v>
      </c>
      <c r="U387" s="5"/>
      <c r="V387" s="5"/>
      <c r="W387" s="28"/>
      <c r="X387" s="28">
        <f>N387-S387</f>
        <v>0</v>
      </c>
      <c r="Y387" s="28">
        <f>O387-T387</f>
        <v>0</v>
      </c>
      <c r="Z387" s="28">
        <f>P387-U387</f>
        <v>0</v>
      </c>
      <c r="AA387" s="4"/>
      <c r="AB387" s="4"/>
      <c r="AC387">
        <f>IF(AB387=G387,1,2)</f>
        <v>2</v>
      </c>
    </row>
    <row r="388" spans="1:30" customFormat="1" ht="62.4" hidden="1" customHeight="1" x14ac:dyDescent="0.3">
      <c r="A388" s="7" t="s">
        <v>46</v>
      </c>
      <c r="B388" s="6">
        <v>196</v>
      </c>
      <c r="C388" s="7" t="s">
        <v>696</v>
      </c>
      <c r="D388" s="7" t="s">
        <v>759</v>
      </c>
      <c r="E388" s="5"/>
      <c r="F388" s="4"/>
      <c r="G388" s="7" t="s">
        <v>760</v>
      </c>
      <c r="H388" s="5"/>
      <c r="I388" s="5"/>
      <c r="J388" s="7" t="s">
        <v>761</v>
      </c>
      <c r="K388" s="7" t="s">
        <v>24</v>
      </c>
      <c r="L388" s="7" t="s">
        <v>762</v>
      </c>
      <c r="M388" s="109">
        <v>2203826444</v>
      </c>
      <c r="N388" s="111"/>
      <c r="O388" s="109">
        <v>7500000</v>
      </c>
      <c r="P388" s="110"/>
      <c r="Q388" s="109">
        <f>M388+N388+O388+P388</f>
        <v>2211326444</v>
      </c>
      <c r="R388" s="3">
        <v>2203826444</v>
      </c>
      <c r="S388" s="5"/>
      <c r="T388" s="30">
        <v>7500000</v>
      </c>
      <c r="U388" s="5"/>
      <c r="V388" s="5"/>
      <c r="W388" s="28"/>
      <c r="X388" s="28">
        <f>N388-S388</f>
        <v>0</v>
      </c>
      <c r="Y388" s="28">
        <f>O388-T388</f>
        <v>0</v>
      </c>
      <c r="Z388" s="28">
        <f>P388-U388</f>
        <v>0</v>
      </c>
      <c r="AA388" s="4"/>
      <c r="AB388" s="4"/>
      <c r="AC388">
        <f>IF(AB388=G388,1,2)</f>
        <v>2</v>
      </c>
    </row>
    <row r="389" spans="1:30" customFormat="1" ht="31.2" hidden="1" x14ac:dyDescent="0.3">
      <c r="A389" s="7" t="s">
        <v>46</v>
      </c>
      <c r="B389" s="6">
        <v>197</v>
      </c>
      <c r="C389" s="7" t="s">
        <v>696</v>
      </c>
      <c r="D389" s="7" t="s">
        <v>763</v>
      </c>
      <c r="E389" s="7" t="s">
        <v>764</v>
      </c>
      <c r="F389" s="4"/>
      <c r="G389" s="7" t="s">
        <v>765</v>
      </c>
      <c r="H389" s="7" t="s">
        <v>766</v>
      </c>
      <c r="I389" s="5"/>
      <c r="J389" s="7" t="s">
        <v>767</v>
      </c>
      <c r="K389" s="7" t="s">
        <v>24</v>
      </c>
      <c r="L389" s="7" t="s">
        <v>768</v>
      </c>
      <c r="M389" s="109">
        <v>3074543364</v>
      </c>
      <c r="N389" s="109">
        <v>808489752</v>
      </c>
      <c r="O389" s="109">
        <v>7500000</v>
      </c>
      <c r="P389" s="110"/>
      <c r="Q389" s="109">
        <f>M389+N389+O389+P389</f>
        <v>3890533116</v>
      </c>
      <c r="R389" s="3">
        <v>3074543364</v>
      </c>
      <c r="S389" s="3">
        <v>808489752</v>
      </c>
      <c r="T389" s="31">
        <v>7500000</v>
      </c>
      <c r="U389" s="5"/>
      <c r="V389" s="5"/>
      <c r="W389" s="28"/>
      <c r="X389" s="28">
        <f>N389-S389</f>
        <v>0</v>
      </c>
      <c r="Y389" s="28">
        <f>O389-T389</f>
        <v>0</v>
      </c>
      <c r="Z389" s="28">
        <f>P389-U389</f>
        <v>0</v>
      </c>
      <c r="AA389" s="4"/>
      <c r="AB389" s="4"/>
      <c r="AC389">
        <f>IF(AB389=G389,1,2)</f>
        <v>2</v>
      </c>
    </row>
    <row r="390" spans="1:30" customFormat="1" ht="78" hidden="1" x14ac:dyDescent="0.3">
      <c r="A390" s="7" t="s">
        <v>46</v>
      </c>
      <c r="B390" s="6">
        <v>198</v>
      </c>
      <c r="C390" s="7" t="s">
        <v>696</v>
      </c>
      <c r="D390" s="7" t="s">
        <v>769</v>
      </c>
      <c r="E390" s="5"/>
      <c r="F390" s="4"/>
      <c r="G390" s="7" t="s">
        <v>770</v>
      </c>
      <c r="H390" s="5"/>
      <c r="I390" s="7" t="s">
        <v>28</v>
      </c>
      <c r="J390" s="7" t="s">
        <v>771</v>
      </c>
      <c r="K390" s="7" t="s">
        <v>24</v>
      </c>
      <c r="L390" s="7" t="s">
        <v>726</v>
      </c>
      <c r="M390" s="109">
        <v>0</v>
      </c>
      <c r="N390" s="111"/>
      <c r="O390" s="74"/>
      <c r="P390" s="110"/>
      <c r="Q390" s="109">
        <f>M390+N390+O390+P390</f>
        <v>0</v>
      </c>
      <c r="R390" s="6">
        <v>0</v>
      </c>
      <c r="S390" s="5"/>
      <c r="T390" s="31"/>
      <c r="U390" s="5"/>
      <c r="V390" s="5"/>
      <c r="W390" s="28"/>
      <c r="X390" s="28">
        <f>N390-S390</f>
        <v>0</v>
      </c>
      <c r="Y390" s="28">
        <f>O390-T390</f>
        <v>0</v>
      </c>
      <c r="Z390" s="28">
        <f>P390-U390</f>
        <v>0</v>
      </c>
      <c r="AA390" s="4"/>
      <c r="AB390" s="4"/>
      <c r="AC390">
        <f>IF(AB390=G390,1,2)</f>
        <v>2</v>
      </c>
    </row>
    <row r="391" spans="1:30" customFormat="1" ht="31.2" hidden="1" x14ac:dyDescent="0.3">
      <c r="A391" s="7" t="s">
        <v>46</v>
      </c>
      <c r="B391" s="6">
        <v>200</v>
      </c>
      <c r="C391" s="7" t="s">
        <v>696</v>
      </c>
      <c r="D391" s="7" t="s">
        <v>778</v>
      </c>
      <c r="E391" s="5"/>
      <c r="F391" s="4"/>
      <c r="G391" s="7" t="s">
        <v>779</v>
      </c>
      <c r="H391" s="5"/>
      <c r="I391" s="5"/>
      <c r="J391" s="7" t="s">
        <v>780</v>
      </c>
      <c r="K391" s="7" t="s">
        <v>24</v>
      </c>
      <c r="L391" s="7" t="s">
        <v>781</v>
      </c>
      <c r="M391" s="109">
        <v>3220790384</v>
      </c>
      <c r="N391" s="111"/>
      <c r="O391" s="109">
        <v>7500000</v>
      </c>
      <c r="P391" s="110"/>
      <c r="Q391" s="109">
        <f>M391+N391+O391+P391</f>
        <v>3228290384</v>
      </c>
      <c r="R391" s="3">
        <v>3220790384</v>
      </c>
      <c r="S391" s="5"/>
      <c r="T391" s="30">
        <v>7500000</v>
      </c>
      <c r="U391" s="5"/>
      <c r="V391" s="5"/>
      <c r="W391" s="28"/>
      <c r="X391" s="28">
        <f>N391-S391</f>
        <v>0</v>
      </c>
      <c r="Y391" s="28">
        <f>O391-T391</f>
        <v>0</v>
      </c>
      <c r="Z391" s="28">
        <f>P391-U391</f>
        <v>0</v>
      </c>
      <c r="AA391" s="4"/>
      <c r="AB391" s="4"/>
      <c r="AC391">
        <f>IF(AB391=G391,1,2)</f>
        <v>2</v>
      </c>
    </row>
    <row r="392" spans="1:30" customFormat="1" ht="31.2" hidden="1" x14ac:dyDescent="0.3">
      <c r="A392" s="7" t="s">
        <v>46</v>
      </c>
      <c r="B392" s="6">
        <v>201</v>
      </c>
      <c r="C392" s="7" t="s">
        <v>696</v>
      </c>
      <c r="D392" s="7" t="s">
        <v>782</v>
      </c>
      <c r="E392" s="7" t="s">
        <v>783</v>
      </c>
      <c r="F392" s="4"/>
      <c r="G392" s="7" t="s">
        <v>784</v>
      </c>
      <c r="H392" s="7" t="s">
        <v>785</v>
      </c>
      <c r="I392" s="5"/>
      <c r="J392" s="7" t="s">
        <v>786</v>
      </c>
      <c r="K392" s="7" t="s">
        <v>24</v>
      </c>
      <c r="L392" s="7" t="s">
        <v>787</v>
      </c>
      <c r="M392" s="109">
        <v>910302386</v>
      </c>
      <c r="N392" s="109">
        <v>152432640</v>
      </c>
      <c r="O392" s="109">
        <v>7500000</v>
      </c>
      <c r="P392" s="110"/>
      <c r="Q392" s="109">
        <f>M392+N392+O392+P392</f>
        <v>1070235026</v>
      </c>
      <c r="R392" s="3">
        <v>910302386</v>
      </c>
      <c r="S392" s="7"/>
      <c r="T392" s="30">
        <v>7500000</v>
      </c>
      <c r="U392" s="5"/>
      <c r="V392" s="5"/>
      <c r="W392" s="28"/>
      <c r="X392" s="36">
        <f>N392-S392</f>
        <v>152432640</v>
      </c>
      <c r="Y392" s="28">
        <f>O392-T392</f>
        <v>0</v>
      </c>
      <c r="Z392" s="28">
        <f>P392-U392</f>
        <v>0</v>
      </c>
      <c r="AA392" s="40"/>
      <c r="AB392" s="40"/>
      <c r="AC392" s="61">
        <f>IF(AB392=G392,1,2)</f>
        <v>2</v>
      </c>
      <c r="AD392" s="61"/>
    </row>
    <row r="393" spans="1:30" customFormat="1" ht="31.2" hidden="1" x14ac:dyDescent="0.3">
      <c r="A393" s="7" t="s">
        <v>46</v>
      </c>
      <c r="B393" s="6">
        <v>202</v>
      </c>
      <c r="C393" s="7" t="s">
        <v>696</v>
      </c>
      <c r="D393" s="7" t="s">
        <v>788</v>
      </c>
      <c r="E393" s="5"/>
      <c r="F393" s="4"/>
      <c r="G393" s="7" t="s">
        <v>789</v>
      </c>
      <c r="H393" s="5"/>
      <c r="I393" s="5"/>
      <c r="J393" s="7" t="s">
        <v>790</v>
      </c>
      <c r="K393" s="7" t="s">
        <v>24</v>
      </c>
      <c r="L393" s="7" t="s">
        <v>791</v>
      </c>
      <c r="M393" s="109">
        <v>1185868242</v>
      </c>
      <c r="N393" s="111"/>
      <c r="O393" s="109">
        <v>7500000</v>
      </c>
      <c r="P393" s="110"/>
      <c r="Q393" s="109">
        <f>M393+N393+O393+P393</f>
        <v>1193368242</v>
      </c>
      <c r="R393" s="3">
        <v>1185868242</v>
      </c>
      <c r="S393" s="5"/>
      <c r="T393" s="30">
        <v>7500000</v>
      </c>
      <c r="U393" s="5"/>
      <c r="V393" s="5"/>
      <c r="W393" s="28"/>
      <c r="X393" s="28">
        <f>N393-S393</f>
        <v>0</v>
      </c>
      <c r="Y393" s="28">
        <f>O393-T393</f>
        <v>0</v>
      </c>
      <c r="Z393" s="28">
        <f>P393-U393</f>
        <v>0</v>
      </c>
      <c r="AA393" s="4"/>
      <c r="AB393" s="4"/>
      <c r="AC393">
        <f>IF(AB393=G393,1,2)</f>
        <v>2</v>
      </c>
    </row>
    <row r="394" spans="1:30" customFormat="1" ht="62.4" hidden="1" x14ac:dyDescent="0.3">
      <c r="A394" s="7" t="s">
        <v>46</v>
      </c>
      <c r="B394" s="6">
        <v>203</v>
      </c>
      <c r="C394" s="7" t="s">
        <v>696</v>
      </c>
      <c r="D394" s="7" t="s">
        <v>792</v>
      </c>
      <c r="E394" s="7"/>
      <c r="F394" s="4"/>
      <c r="G394" s="7" t="s">
        <v>793</v>
      </c>
      <c r="H394" s="7"/>
      <c r="I394" s="7"/>
      <c r="J394" s="7" t="s">
        <v>794</v>
      </c>
      <c r="K394" s="7" t="s">
        <v>24</v>
      </c>
      <c r="L394" s="7" t="s">
        <v>795</v>
      </c>
      <c r="M394" s="109">
        <v>4789848</v>
      </c>
      <c r="N394" s="111"/>
      <c r="O394" s="109">
        <v>7500000</v>
      </c>
      <c r="P394" s="110"/>
      <c r="Q394" s="109">
        <f>M394+N394+O394+P394</f>
        <v>12289848</v>
      </c>
      <c r="R394" s="5"/>
      <c r="S394" s="5"/>
      <c r="T394" s="72"/>
      <c r="U394" s="5"/>
      <c r="V394" s="5"/>
      <c r="W394" s="28">
        <v>4789848</v>
      </c>
      <c r="X394" s="28">
        <f>N394-S394</f>
        <v>0</v>
      </c>
      <c r="Y394" s="36">
        <f>O394-T394</f>
        <v>7500000</v>
      </c>
      <c r="Z394" s="28">
        <f>P394-U394</f>
        <v>0</v>
      </c>
      <c r="AA394" s="10">
        <v>4789848</v>
      </c>
      <c r="AB394" s="40"/>
      <c r="AC394" s="121">
        <f>IF(AB394=G394,1,2)</f>
        <v>2</v>
      </c>
      <c r="AD394" s="121"/>
    </row>
    <row r="395" spans="1:30" customFormat="1" ht="31.2" hidden="1" x14ac:dyDescent="0.3">
      <c r="A395" s="7" t="s">
        <v>46</v>
      </c>
      <c r="B395" s="6">
        <v>204</v>
      </c>
      <c r="C395" s="7" t="s">
        <v>696</v>
      </c>
      <c r="D395" s="7" t="s">
        <v>796</v>
      </c>
      <c r="E395" s="5"/>
      <c r="F395" s="4"/>
      <c r="G395" s="7" t="s">
        <v>797</v>
      </c>
      <c r="H395" s="5"/>
      <c r="I395" s="5"/>
      <c r="J395" s="7" t="s">
        <v>798</v>
      </c>
      <c r="K395" s="7" t="s">
        <v>24</v>
      </c>
      <c r="L395" s="7" t="s">
        <v>799</v>
      </c>
      <c r="M395" s="109">
        <v>917216300</v>
      </c>
      <c r="N395" s="111"/>
      <c r="O395" s="109">
        <v>7500000</v>
      </c>
      <c r="P395" s="110"/>
      <c r="Q395" s="109">
        <f>M395+N395+O395+P395</f>
        <v>924716300</v>
      </c>
      <c r="R395" s="3">
        <v>917216300</v>
      </c>
      <c r="S395" s="5"/>
      <c r="T395" s="30">
        <v>7500000</v>
      </c>
      <c r="U395" s="5"/>
      <c r="V395" s="5"/>
      <c r="W395" s="28"/>
      <c r="X395" s="28">
        <f>N395-S395</f>
        <v>0</v>
      </c>
      <c r="Y395" s="28">
        <f>O395-T395</f>
        <v>0</v>
      </c>
      <c r="Z395" s="28">
        <f>P395-U395</f>
        <v>0</v>
      </c>
      <c r="AA395" s="4"/>
      <c r="AB395" s="4"/>
      <c r="AC395">
        <f>IF(AB395=G395,1,2)</f>
        <v>2</v>
      </c>
    </row>
    <row r="396" spans="1:30" customFormat="1" ht="46.8" hidden="1" x14ac:dyDescent="0.3">
      <c r="A396" s="7" t="s">
        <v>46</v>
      </c>
      <c r="B396" s="6">
        <v>205</v>
      </c>
      <c r="C396" s="7" t="s">
        <v>696</v>
      </c>
      <c r="D396" s="7" t="s">
        <v>800</v>
      </c>
      <c r="E396" s="7" t="s">
        <v>801</v>
      </c>
      <c r="F396" s="4"/>
      <c r="G396" s="7" t="s">
        <v>802</v>
      </c>
      <c r="H396" s="7"/>
      <c r="I396" s="7"/>
      <c r="J396" s="7" t="s">
        <v>803</v>
      </c>
      <c r="K396" s="7" t="s">
        <v>24</v>
      </c>
      <c r="L396" s="7" t="s">
        <v>804</v>
      </c>
      <c r="M396" s="109">
        <v>9371283600</v>
      </c>
      <c r="N396" s="109">
        <v>550184000</v>
      </c>
      <c r="O396" s="109">
        <v>15000000</v>
      </c>
      <c r="P396" s="110"/>
      <c r="Q396" s="109">
        <f>M396+N396+O396+P396</f>
        <v>9936467600</v>
      </c>
      <c r="R396" s="3">
        <v>9371283600</v>
      </c>
      <c r="S396" s="3">
        <v>550184000</v>
      </c>
      <c r="T396" s="72"/>
      <c r="U396" s="5"/>
      <c r="V396" s="5"/>
      <c r="W396" s="28"/>
      <c r="X396" s="28">
        <f>N396-S396</f>
        <v>0</v>
      </c>
      <c r="Y396" s="36">
        <f>O396-T396</f>
        <v>15000000</v>
      </c>
      <c r="Z396" s="28">
        <f>P396-U396</f>
        <v>0</v>
      </c>
      <c r="AA396" s="4"/>
      <c r="AB396" s="40"/>
      <c r="AC396" s="121">
        <f>IF(AB396=G396,1,2)</f>
        <v>2</v>
      </c>
      <c r="AD396" s="121"/>
    </row>
    <row r="397" spans="1:30" customFormat="1" ht="31.2" hidden="1" x14ac:dyDescent="0.3">
      <c r="A397" s="7" t="s">
        <v>46</v>
      </c>
      <c r="B397" s="6">
        <v>206</v>
      </c>
      <c r="C397" s="7" t="s">
        <v>696</v>
      </c>
      <c r="D397" s="7" t="s">
        <v>805</v>
      </c>
      <c r="E397" s="5"/>
      <c r="F397" s="4"/>
      <c r="G397" s="7" t="s">
        <v>806</v>
      </c>
      <c r="H397" s="5"/>
      <c r="I397" s="5"/>
      <c r="J397" s="7" t="s">
        <v>807</v>
      </c>
      <c r="K397" s="7" t="s">
        <v>24</v>
      </c>
      <c r="L397" s="7" t="s">
        <v>808</v>
      </c>
      <c r="M397" s="109">
        <v>829054600</v>
      </c>
      <c r="N397" s="111"/>
      <c r="O397" s="109">
        <v>7500000</v>
      </c>
      <c r="P397" s="110"/>
      <c r="Q397" s="109">
        <f>M397+N397+O397+P397</f>
        <v>836554600</v>
      </c>
      <c r="R397" s="3">
        <v>829054600</v>
      </c>
      <c r="S397" s="5"/>
      <c r="T397" s="30">
        <v>7500000</v>
      </c>
      <c r="U397" s="5"/>
      <c r="V397" s="5"/>
      <c r="W397" s="28"/>
      <c r="X397" s="28">
        <f>N397-S397</f>
        <v>0</v>
      </c>
      <c r="Y397" s="28">
        <f>O397-T397</f>
        <v>0</v>
      </c>
      <c r="Z397" s="28">
        <f>P397-U397</f>
        <v>0</v>
      </c>
      <c r="AA397" s="4"/>
      <c r="AB397" s="4"/>
      <c r="AC397">
        <f>IF(AB397=G397,1,2)</f>
        <v>2</v>
      </c>
    </row>
    <row r="398" spans="1:30" customFormat="1" ht="31.2" hidden="1" x14ac:dyDescent="0.3">
      <c r="A398" s="7" t="s">
        <v>46</v>
      </c>
      <c r="B398" s="6">
        <v>207</v>
      </c>
      <c r="C398" s="7" t="s">
        <v>696</v>
      </c>
      <c r="D398" s="7" t="s">
        <v>809</v>
      </c>
      <c r="E398" s="5"/>
      <c r="F398" s="4"/>
      <c r="G398" s="7" t="s">
        <v>810</v>
      </c>
      <c r="H398" s="5"/>
      <c r="I398" s="5"/>
      <c r="J398" s="7" t="s">
        <v>811</v>
      </c>
      <c r="K398" s="7" t="s">
        <v>24</v>
      </c>
      <c r="L398" s="7" t="s">
        <v>812</v>
      </c>
      <c r="M398" s="109">
        <v>8019904200</v>
      </c>
      <c r="N398" s="111"/>
      <c r="O398" s="109">
        <v>7500000</v>
      </c>
      <c r="P398" s="110"/>
      <c r="Q398" s="109">
        <f>M398+N398+O398+P398</f>
        <v>8027404200</v>
      </c>
      <c r="R398" s="3">
        <v>8019904200</v>
      </c>
      <c r="S398" s="5"/>
      <c r="T398" s="30">
        <v>7500000</v>
      </c>
      <c r="U398" s="5"/>
      <c r="V398" s="5"/>
      <c r="W398" s="28"/>
      <c r="X398" s="28">
        <f>N398-S398</f>
        <v>0</v>
      </c>
      <c r="Y398" s="28">
        <f>O398-T398</f>
        <v>0</v>
      </c>
      <c r="Z398" s="28">
        <f>P398-U398</f>
        <v>0</v>
      </c>
      <c r="AA398" s="4"/>
      <c r="AB398" s="4"/>
      <c r="AC398">
        <f>IF(AB398=G398,1,2)</f>
        <v>2</v>
      </c>
    </row>
    <row r="399" spans="1:30" customFormat="1" ht="31.2" hidden="1" x14ac:dyDescent="0.3">
      <c r="A399" s="7" t="s">
        <v>18</v>
      </c>
      <c r="B399" s="6">
        <v>208</v>
      </c>
      <c r="C399" s="7" t="s">
        <v>813</v>
      </c>
      <c r="D399" s="7" t="s">
        <v>814</v>
      </c>
      <c r="E399" s="5"/>
      <c r="F399" s="4"/>
      <c r="G399" s="7" t="s">
        <v>815</v>
      </c>
      <c r="H399" s="5"/>
      <c r="I399" s="5"/>
      <c r="J399" s="7" t="s">
        <v>816</v>
      </c>
      <c r="K399" s="7" t="s">
        <v>24</v>
      </c>
      <c r="L399" s="7" t="s">
        <v>817</v>
      </c>
      <c r="M399" s="109">
        <v>692628720</v>
      </c>
      <c r="N399" s="111"/>
      <c r="O399" s="109">
        <v>7500000</v>
      </c>
      <c r="P399" s="110"/>
      <c r="Q399" s="109">
        <f>M399+N399+O399+P399</f>
        <v>700128720</v>
      </c>
      <c r="R399" s="3">
        <v>692628720</v>
      </c>
      <c r="S399" s="5"/>
      <c r="T399" s="30">
        <v>7500000</v>
      </c>
      <c r="U399" s="5"/>
      <c r="V399" s="5"/>
      <c r="W399" s="28"/>
      <c r="X399" s="28">
        <f>N399-S399</f>
        <v>0</v>
      </c>
      <c r="Y399" s="28">
        <f>O399-T399</f>
        <v>0</v>
      </c>
      <c r="Z399" s="28">
        <f>P399-U399</f>
        <v>0</v>
      </c>
      <c r="AA399" s="4"/>
      <c r="AB399" s="4"/>
      <c r="AC399">
        <f>IF(AB399=G399,1,2)</f>
        <v>2</v>
      </c>
    </row>
    <row r="400" spans="1:30" customFormat="1" ht="31.2" hidden="1" x14ac:dyDescent="0.3">
      <c r="A400" s="7" t="s">
        <v>18</v>
      </c>
      <c r="B400" s="6">
        <v>209</v>
      </c>
      <c r="C400" s="7" t="s">
        <v>813</v>
      </c>
      <c r="D400" s="7" t="s">
        <v>818</v>
      </c>
      <c r="E400" s="7" t="s">
        <v>20</v>
      </c>
      <c r="F400" s="4"/>
      <c r="G400" s="7" t="s">
        <v>819</v>
      </c>
      <c r="H400" s="5"/>
      <c r="I400" s="5"/>
      <c r="J400" s="7" t="s">
        <v>820</v>
      </c>
      <c r="K400" s="7" t="s">
        <v>24</v>
      </c>
      <c r="L400" s="7" t="s">
        <v>821</v>
      </c>
      <c r="M400" s="109">
        <v>3623186360</v>
      </c>
      <c r="N400" s="109">
        <v>652093580</v>
      </c>
      <c r="O400" s="109">
        <v>7500000</v>
      </c>
      <c r="P400" s="110"/>
      <c r="Q400" s="109">
        <f>M400+N400+O400+P400</f>
        <v>4282779940</v>
      </c>
      <c r="R400" s="3">
        <v>3623186360</v>
      </c>
      <c r="S400" s="3">
        <v>652093580</v>
      </c>
      <c r="T400" s="31">
        <v>7500000</v>
      </c>
      <c r="U400" s="5"/>
      <c r="V400" s="5"/>
      <c r="W400" s="28"/>
      <c r="X400" s="28">
        <f>N400-S400</f>
        <v>0</v>
      </c>
      <c r="Y400" s="28">
        <f>O400-T400</f>
        <v>0</v>
      </c>
      <c r="Z400" s="28">
        <f>P400-U400</f>
        <v>0</v>
      </c>
      <c r="AA400" s="4"/>
      <c r="AB400" s="4"/>
      <c r="AC400">
        <f>IF(AB400=G400,1,2)</f>
        <v>2</v>
      </c>
    </row>
    <row r="401" spans="1:30" customFormat="1" ht="31.2" hidden="1" x14ac:dyDescent="0.3">
      <c r="A401" s="7" t="s">
        <v>46</v>
      </c>
      <c r="B401" s="6">
        <v>210</v>
      </c>
      <c r="C401" s="7" t="s">
        <v>813</v>
      </c>
      <c r="D401" s="7" t="s">
        <v>822</v>
      </c>
      <c r="E401" s="7" t="s">
        <v>823</v>
      </c>
      <c r="F401" s="4"/>
      <c r="G401" s="7" t="s">
        <v>824</v>
      </c>
      <c r="H401" s="5"/>
      <c r="I401" s="5"/>
      <c r="J401" s="7" t="s">
        <v>825</v>
      </c>
      <c r="K401" s="7" t="s">
        <v>24</v>
      </c>
      <c r="L401" s="7" t="s">
        <v>826</v>
      </c>
      <c r="M401" s="109">
        <v>2110989648</v>
      </c>
      <c r="N401" s="109">
        <v>10000000</v>
      </c>
      <c r="O401" s="109">
        <v>15000000</v>
      </c>
      <c r="P401" s="110"/>
      <c r="Q401" s="109">
        <f>M401+N401+O401+P401</f>
        <v>2135989648</v>
      </c>
      <c r="R401" s="3">
        <v>2110989648</v>
      </c>
      <c r="S401" s="3">
        <v>10000000</v>
      </c>
      <c r="T401" s="30">
        <v>15000000</v>
      </c>
      <c r="U401" s="5"/>
      <c r="V401" s="5"/>
      <c r="W401" s="28"/>
      <c r="X401" s="28">
        <f>N401-S401</f>
        <v>0</v>
      </c>
      <c r="Y401" s="28">
        <f>O401-T401</f>
        <v>0</v>
      </c>
      <c r="Z401" s="28">
        <f>P401-U401</f>
        <v>0</v>
      </c>
      <c r="AA401" s="4"/>
      <c r="AB401" s="4"/>
      <c r="AC401">
        <f>IF(AB401=G401,1,2)</f>
        <v>2</v>
      </c>
    </row>
    <row r="402" spans="1:30" customFormat="1" ht="31.2" hidden="1" x14ac:dyDescent="0.3">
      <c r="A402" s="7" t="s">
        <v>46</v>
      </c>
      <c r="B402" s="6">
        <v>211</v>
      </c>
      <c r="C402" s="7" t="s">
        <v>813</v>
      </c>
      <c r="D402" s="7" t="s">
        <v>827</v>
      </c>
      <c r="E402" s="7" t="s">
        <v>828</v>
      </c>
      <c r="F402" s="4"/>
      <c r="G402" s="7" t="s">
        <v>829</v>
      </c>
      <c r="H402" s="7" t="s">
        <v>830</v>
      </c>
      <c r="I402" s="5"/>
      <c r="J402" s="7" t="s">
        <v>831</v>
      </c>
      <c r="K402" s="7" t="s">
        <v>24</v>
      </c>
      <c r="L402" s="7" t="s">
        <v>832</v>
      </c>
      <c r="M402" s="109">
        <v>1970289158</v>
      </c>
      <c r="N402" s="109">
        <v>289891008</v>
      </c>
      <c r="O402" s="109">
        <v>15000000</v>
      </c>
      <c r="P402" s="110"/>
      <c r="Q402" s="109">
        <f>M402+N402+O402+P402</f>
        <v>2275180166</v>
      </c>
      <c r="R402" s="3">
        <v>1970289158</v>
      </c>
      <c r="S402" s="3">
        <v>289891008</v>
      </c>
      <c r="T402" s="30">
        <v>15000000</v>
      </c>
      <c r="U402" s="5"/>
      <c r="V402" s="5"/>
      <c r="W402" s="28"/>
      <c r="X402" s="28">
        <f>N402-S402</f>
        <v>0</v>
      </c>
      <c r="Y402" s="28">
        <f>O402-T402</f>
        <v>0</v>
      </c>
      <c r="Z402" s="28">
        <f>P402-U402</f>
        <v>0</v>
      </c>
      <c r="AA402" s="4"/>
      <c r="AB402" s="4"/>
      <c r="AC402">
        <f>IF(AB402=G402,1,2)</f>
        <v>2</v>
      </c>
    </row>
    <row r="403" spans="1:30" customFormat="1" ht="31.2" hidden="1" x14ac:dyDescent="0.3">
      <c r="A403" s="7" t="s">
        <v>46</v>
      </c>
      <c r="B403" s="6">
        <v>212</v>
      </c>
      <c r="C403" s="7" t="s">
        <v>813</v>
      </c>
      <c r="D403" s="7" t="s">
        <v>833</v>
      </c>
      <c r="E403" s="5"/>
      <c r="F403" s="4"/>
      <c r="G403" s="7" t="s">
        <v>834</v>
      </c>
      <c r="H403" s="5"/>
      <c r="I403" s="5"/>
      <c r="J403" s="7" t="s">
        <v>835</v>
      </c>
      <c r="K403" s="7" t="s">
        <v>24</v>
      </c>
      <c r="L403" s="7" t="s">
        <v>836</v>
      </c>
      <c r="M403" s="109">
        <v>1905146779</v>
      </c>
      <c r="N403" s="111"/>
      <c r="O403" s="109">
        <v>7500000</v>
      </c>
      <c r="P403" s="110"/>
      <c r="Q403" s="109">
        <f>M403+N403+O403+P403</f>
        <v>1912646779</v>
      </c>
      <c r="R403" s="3">
        <v>1905146779</v>
      </c>
      <c r="S403" s="5"/>
      <c r="T403" s="30">
        <v>7500000</v>
      </c>
      <c r="U403" s="5"/>
      <c r="V403" s="5"/>
      <c r="W403" s="28"/>
      <c r="X403" s="28">
        <f>N403-S403</f>
        <v>0</v>
      </c>
      <c r="Y403" s="28">
        <f>O403-T403</f>
        <v>0</v>
      </c>
      <c r="Z403" s="28">
        <f>P403-U403</f>
        <v>0</v>
      </c>
      <c r="AA403" s="4"/>
      <c r="AB403" s="4"/>
      <c r="AC403">
        <f>IF(AB403=G403,1,2)</f>
        <v>2</v>
      </c>
    </row>
    <row r="404" spans="1:30" customFormat="1" ht="31.2" hidden="1" x14ac:dyDescent="0.3">
      <c r="A404" s="7" t="s">
        <v>62</v>
      </c>
      <c r="B404" s="6">
        <v>213</v>
      </c>
      <c r="C404" s="7" t="s">
        <v>813</v>
      </c>
      <c r="D404" s="7" t="s">
        <v>837</v>
      </c>
      <c r="E404" s="5"/>
      <c r="F404" s="4"/>
      <c r="G404" s="7" t="s">
        <v>838</v>
      </c>
      <c r="H404" s="5"/>
      <c r="I404" s="7" t="s">
        <v>28</v>
      </c>
      <c r="J404" s="7" t="s">
        <v>839</v>
      </c>
      <c r="K404" s="7" t="s">
        <v>24</v>
      </c>
      <c r="L404" s="7" t="s">
        <v>840</v>
      </c>
      <c r="M404" s="109">
        <v>0</v>
      </c>
      <c r="N404" s="111"/>
      <c r="O404" s="74"/>
      <c r="P404" s="110"/>
      <c r="Q404" s="109">
        <f>M404+N404+O404+P404</f>
        <v>0</v>
      </c>
      <c r="R404" s="6">
        <v>0</v>
      </c>
      <c r="S404" s="5"/>
      <c r="T404" s="31"/>
      <c r="U404" s="5"/>
      <c r="V404" s="5"/>
      <c r="W404" s="28"/>
      <c r="X404" s="28">
        <f>N404-S404</f>
        <v>0</v>
      </c>
      <c r="Y404" s="28">
        <f>O404-T404</f>
        <v>0</v>
      </c>
      <c r="Z404" s="28">
        <f>P404-U404</f>
        <v>0</v>
      </c>
      <c r="AA404" s="4"/>
      <c r="AB404" s="4"/>
      <c r="AC404">
        <f>IF(AB404=G404,1,2)</f>
        <v>2</v>
      </c>
    </row>
    <row r="405" spans="1:30" customFormat="1" ht="31.2" hidden="1" x14ac:dyDescent="0.3">
      <c r="A405" s="7" t="s">
        <v>46</v>
      </c>
      <c r="B405" s="6">
        <v>214</v>
      </c>
      <c r="C405" s="7" t="s">
        <v>813</v>
      </c>
      <c r="D405" s="7" t="s">
        <v>841</v>
      </c>
      <c r="E405" s="5"/>
      <c r="F405" s="4"/>
      <c r="G405" s="7" t="s">
        <v>842</v>
      </c>
      <c r="H405" s="5"/>
      <c r="I405" s="5"/>
      <c r="J405" s="7" t="s">
        <v>843</v>
      </c>
      <c r="K405" s="7" t="s">
        <v>24</v>
      </c>
      <c r="L405" s="7" t="s">
        <v>844</v>
      </c>
      <c r="M405" s="109">
        <v>1051785402</v>
      </c>
      <c r="N405" s="111"/>
      <c r="O405" s="109">
        <v>15000000</v>
      </c>
      <c r="P405" s="110"/>
      <c r="Q405" s="109">
        <f>M405+N405+O405+P405</f>
        <v>1066785402</v>
      </c>
      <c r="R405" s="3">
        <v>1051785402</v>
      </c>
      <c r="S405" s="5"/>
      <c r="T405" s="30">
        <v>15000000</v>
      </c>
      <c r="U405" s="5"/>
      <c r="V405" s="5"/>
      <c r="W405" s="28"/>
      <c r="X405" s="28">
        <f>N405-S405</f>
        <v>0</v>
      </c>
      <c r="Y405" s="28">
        <f>O405-T405</f>
        <v>0</v>
      </c>
      <c r="Z405" s="28">
        <f>P405-U405</f>
        <v>0</v>
      </c>
      <c r="AA405" s="4"/>
      <c r="AB405" s="4"/>
      <c r="AC405">
        <f>IF(AB405=G405,1,2)</f>
        <v>2</v>
      </c>
    </row>
    <row r="406" spans="1:30" customFormat="1" ht="62.4" hidden="1" customHeight="1" x14ac:dyDescent="0.3">
      <c r="A406" s="7" t="s">
        <v>46</v>
      </c>
      <c r="B406" s="6">
        <v>215</v>
      </c>
      <c r="C406" s="7" t="s">
        <v>813</v>
      </c>
      <c r="D406" s="7" t="s">
        <v>845</v>
      </c>
      <c r="E406" s="7" t="s">
        <v>158</v>
      </c>
      <c r="F406" s="4"/>
      <c r="G406" s="7" t="s">
        <v>846</v>
      </c>
      <c r="H406" s="7" t="s">
        <v>742</v>
      </c>
      <c r="I406" s="5"/>
      <c r="J406" s="7" t="s">
        <v>847</v>
      </c>
      <c r="K406" s="7" t="s">
        <v>24</v>
      </c>
      <c r="L406" s="7" t="s">
        <v>848</v>
      </c>
      <c r="M406" s="109">
        <v>1825416000</v>
      </c>
      <c r="N406" s="109">
        <v>419381453</v>
      </c>
      <c r="O406" s="109">
        <v>15000000</v>
      </c>
      <c r="P406" s="110"/>
      <c r="Q406" s="109">
        <f>M406+N406+O406+P406</f>
        <v>2259797453</v>
      </c>
      <c r="R406" s="3">
        <v>1825416000</v>
      </c>
      <c r="S406" s="3">
        <v>419381453</v>
      </c>
      <c r="T406" s="30">
        <v>15000000</v>
      </c>
      <c r="U406" s="5"/>
      <c r="V406" s="5"/>
      <c r="W406" s="28"/>
      <c r="X406" s="28">
        <f>N406-S406</f>
        <v>0</v>
      </c>
      <c r="Y406" s="28">
        <f>O406-T406</f>
        <v>0</v>
      </c>
      <c r="Z406" s="28">
        <f>P406-U406</f>
        <v>0</v>
      </c>
      <c r="AA406" s="4"/>
      <c r="AB406" s="4"/>
      <c r="AC406">
        <f>IF(AB406=G406,1,2)</f>
        <v>2</v>
      </c>
    </row>
    <row r="407" spans="1:30" customFormat="1" ht="31.2" hidden="1" x14ac:dyDescent="0.3">
      <c r="A407" s="7" t="s">
        <v>46</v>
      </c>
      <c r="B407" s="6">
        <v>216</v>
      </c>
      <c r="C407" s="7" t="s">
        <v>813</v>
      </c>
      <c r="D407" s="7" t="s">
        <v>849</v>
      </c>
      <c r="E407" s="5"/>
      <c r="F407" s="4"/>
      <c r="G407" s="7" t="s">
        <v>850</v>
      </c>
      <c r="H407" s="5"/>
      <c r="I407" s="5"/>
      <c r="J407" s="7" t="s">
        <v>851</v>
      </c>
      <c r="K407" s="7" t="s">
        <v>24</v>
      </c>
      <c r="L407" s="7" t="s">
        <v>852</v>
      </c>
      <c r="M407" s="109">
        <v>2346410500</v>
      </c>
      <c r="N407" s="111"/>
      <c r="O407" s="109">
        <v>7500000</v>
      </c>
      <c r="P407" s="110"/>
      <c r="Q407" s="109">
        <f>M407+N407+O407+P407</f>
        <v>2353910500</v>
      </c>
      <c r="R407" s="3">
        <v>2346410500</v>
      </c>
      <c r="S407" s="5"/>
      <c r="T407" s="30">
        <v>7500000</v>
      </c>
      <c r="U407" s="5"/>
      <c r="V407" s="5"/>
      <c r="W407" s="28"/>
      <c r="X407" s="28">
        <f>N407-S407</f>
        <v>0</v>
      </c>
      <c r="Y407" s="28">
        <f>O407-T407</f>
        <v>0</v>
      </c>
      <c r="Z407" s="28">
        <f>P407-U407</f>
        <v>0</v>
      </c>
      <c r="AA407" s="4"/>
      <c r="AB407" s="4"/>
      <c r="AC407">
        <f>IF(AB407=G407,1,2)</f>
        <v>2</v>
      </c>
    </row>
    <row r="408" spans="1:30" customFormat="1" ht="31.2" hidden="1" x14ac:dyDescent="0.3">
      <c r="A408" s="7" t="s">
        <v>46</v>
      </c>
      <c r="B408" s="6">
        <v>217</v>
      </c>
      <c r="C408" s="7" t="s">
        <v>813</v>
      </c>
      <c r="D408" s="7" t="s">
        <v>853</v>
      </c>
      <c r="E408" s="5"/>
      <c r="F408" s="4"/>
      <c r="G408" s="7" t="s">
        <v>854</v>
      </c>
      <c r="H408" s="5"/>
      <c r="I408" s="5"/>
      <c r="J408" s="7" t="s">
        <v>855</v>
      </c>
      <c r="K408" s="7" t="s">
        <v>24</v>
      </c>
      <c r="L408" s="7" t="s">
        <v>856</v>
      </c>
      <c r="M408" s="109">
        <v>9676523194</v>
      </c>
      <c r="N408" s="111"/>
      <c r="O408" s="109">
        <v>15000000</v>
      </c>
      <c r="P408" s="110"/>
      <c r="Q408" s="109">
        <f>M408+N408+O408+P408</f>
        <v>9691523194</v>
      </c>
      <c r="R408" s="3">
        <v>9676523194</v>
      </c>
      <c r="S408" s="5"/>
      <c r="T408" s="30">
        <v>15000000</v>
      </c>
      <c r="U408" s="5"/>
      <c r="V408" s="5"/>
      <c r="W408" s="28"/>
      <c r="X408" s="28">
        <f>N408-S408</f>
        <v>0</v>
      </c>
      <c r="Y408" s="28">
        <f>O408-T408</f>
        <v>0</v>
      </c>
      <c r="Z408" s="28">
        <f>P408-U408</f>
        <v>0</v>
      </c>
      <c r="AA408" s="4"/>
      <c r="AB408" s="4"/>
      <c r="AC408">
        <f>IF(AB408=G408,1,2)</f>
        <v>2</v>
      </c>
    </row>
    <row r="409" spans="1:30" customFormat="1" ht="31.2" hidden="1" x14ac:dyDescent="0.3">
      <c r="A409" s="7" t="s">
        <v>46</v>
      </c>
      <c r="B409" s="6">
        <v>219</v>
      </c>
      <c r="C409" s="7" t="s">
        <v>813</v>
      </c>
      <c r="D409" s="7" t="s">
        <v>863</v>
      </c>
      <c r="E409" s="5"/>
      <c r="F409" s="4"/>
      <c r="G409" s="7" t="s">
        <v>864</v>
      </c>
      <c r="H409" s="5"/>
      <c r="I409" s="5"/>
      <c r="J409" s="7" t="s">
        <v>865</v>
      </c>
      <c r="K409" s="7" t="s">
        <v>24</v>
      </c>
      <c r="L409" s="7" t="s">
        <v>866</v>
      </c>
      <c r="M409" s="109">
        <v>1642004400</v>
      </c>
      <c r="N409" s="111"/>
      <c r="O409" s="109">
        <v>7500000</v>
      </c>
      <c r="P409" s="110"/>
      <c r="Q409" s="109">
        <f>M409+N409+O409+P409</f>
        <v>1649504400</v>
      </c>
      <c r="R409" s="3">
        <v>1642004400</v>
      </c>
      <c r="S409" s="5"/>
      <c r="T409" s="30">
        <v>7500000</v>
      </c>
      <c r="U409" s="5"/>
      <c r="V409" s="5"/>
      <c r="W409" s="28"/>
      <c r="X409" s="28">
        <f>N409-S409</f>
        <v>0</v>
      </c>
      <c r="Y409" s="28">
        <f>O409-T409</f>
        <v>0</v>
      </c>
      <c r="Z409" s="28">
        <f>P409-U409</f>
        <v>0</v>
      </c>
      <c r="AA409" s="4"/>
      <c r="AB409" s="4"/>
      <c r="AC409">
        <f>IF(AB409=G409,1,2)</f>
        <v>2</v>
      </c>
    </row>
    <row r="410" spans="1:30" customFormat="1" ht="31.2" hidden="1" x14ac:dyDescent="0.3">
      <c r="A410" s="7" t="s">
        <v>62</v>
      </c>
      <c r="B410" s="6">
        <v>220</v>
      </c>
      <c r="C410" s="7" t="s">
        <v>813</v>
      </c>
      <c r="D410" s="7" t="s">
        <v>867</v>
      </c>
      <c r="E410" s="5"/>
      <c r="F410" s="4"/>
      <c r="G410" s="7" t="s">
        <v>868</v>
      </c>
      <c r="H410" s="5"/>
      <c r="I410" s="5"/>
      <c r="J410" s="7" t="s">
        <v>869</v>
      </c>
      <c r="K410" s="7" t="s">
        <v>24</v>
      </c>
      <c r="L410" s="7" t="s">
        <v>870</v>
      </c>
      <c r="M410" s="109">
        <v>101857120</v>
      </c>
      <c r="N410" s="111"/>
      <c r="O410" s="109">
        <v>7500000</v>
      </c>
      <c r="P410" s="110"/>
      <c r="Q410" s="109">
        <f>M410+N410+O410+P410</f>
        <v>109357120</v>
      </c>
      <c r="R410" s="3">
        <v>101857120</v>
      </c>
      <c r="S410" s="5"/>
      <c r="T410" s="30">
        <v>7500000</v>
      </c>
      <c r="U410" s="5"/>
      <c r="V410" s="5"/>
      <c r="W410" s="28"/>
      <c r="X410" s="28">
        <f>N410-S410</f>
        <v>0</v>
      </c>
      <c r="Y410" s="28">
        <f>O410-T410</f>
        <v>0</v>
      </c>
      <c r="Z410" s="28">
        <f>P410-U410</f>
        <v>0</v>
      </c>
      <c r="AA410" s="4"/>
      <c r="AB410" s="4"/>
      <c r="AC410">
        <f>IF(AB410=G410,1,2)</f>
        <v>2</v>
      </c>
    </row>
    <row r="411" spans="1:30" customFormat="1" ht="78" hidden="1" x14ac:dyDescent="0.3">
      <c r="A411" s="7" t="s">
        <v>46</v>
      </c>
      <c r="B411" s="6">
        <v>221</v>
      </c>
      <c r="C411" s="7" t="s">
        <v>813</v>
      </c>
      <c r="D411" s="7" t="s">
        <v>871</v>
      </c>
      <c r="E411" s="7" t="s">
        <v>389</v>
      </c>
      <c r="F411" s="4"/>
      <c r="G411" s="7" t="s">
        <v>872</v>
      </c>
      <c r="H411" s="7" t="s">
        <v>873</v>
      </c>
      <c r="I411" s="5"/>
      <c r="J411" s="7" t="s">
        <v>874</v>
      </c>
      <c r="K411" s="7" t="s">
        <v>24</v>
      </c>
      <c r="L411" s="7" t="s">
        <v>875</v>
      </c>
      <c r="M411" s="109">
        <v>6130396068</v>
      </c>
      <c r="N411" s="109">
        <v>7326720</v>
      </c>
      <c r="O411" s="109">
        <v>15000000</v>
      </c>
      <c r="P411" s="110"/>
      <c r="Q411" s="109">
        <f>M411+N411+O411+P411</f>
        <v>6152722788</v>
      </c>
      <c r="R411" s="3">
        <v>6130396068</v>
      </c>
      <c r="S411" s="3">
        <v>7326720</v>
      </c>
      <c r="T411" s="30">
        <v>15000000</v>
      </c>
      <c r="U411" s="5"/>
      <c r="V411" s="5"/>
      <c r="W411" s="28"/>
      <c r="X411" s="28">
        <f>N411-S411</f>
        <v>0</v>
      </c>
      <c r="Y411" s="28">
        <f>O411-T411</f>
        <v>0</v>
      </c>
      <c r="Z411" s="28">
        <f>P411-U411</f>
        <v>0</v>
      </c>
      <c r="AA411" s="4"/>
      <c r="AB411" s="4"/>
      <c r="AC411">
        <f>IF(AB411=G411,1,2)</f>
        <v>2</v>
      </c>
    </row>
    <row r="412" spans="1:30" customFormat="1" ht="31.2" hidden="1" x14ac:dyDescent="0.3">
      <c r="A412" s="7" t="s">
        <v>62</v>
      </c>
      <c r="B412" s="6">
        <v>222</v>
      </c>
      <c r="C412" s="7" t="s">
        <v>813</v>
      </c>
      <c r="D412" s="7" t="s">
        <v>876</v>
      </c>
      <c r="E412" s="5"/>
      <c r="F412" s="4"/>
      <c r="G412" s="7" t="s">
        <v>877</v>
      </c>
      <c r="H412" s="5"/>
      <c r="I412" s="5"/>
      <c r="J412" s="7" t="s">
        <v>878</v>
      </c>
      <c r="K412" s="7" t="s">
        <v>24</v>
      </c>
      <c r="L412" s="7" t="s">
        <v>879</v>
      </c>
      <c r="M412" s="109">
        <v>2707724480</v>
      </c>
      <c r="N412" s="111"/>
      <c r="O412" s="109">
        <v>15000000</v>
      </c>
      <c r="P412" s="110"/>
      <c r="Q412" s="109">
        <f>M412+N412+O412+P412</f>
        <v>2722724480</v>
      </c>
      <c r="R412" s="3">
        <v>2707724480</v>
      </c>
      <c r="S412" s="5"/>
      <c r="T412" s="30">
        <v>15000000</v>
      </c>
      <c r="U412" s="5"/>
      <c r="V412" s="5"/>
      <c r="W412" s="28"/>
      <c r="X412" s="28">
        <f>N412-S412</f>
        <v>0</v>
      </c>
      <c r="Y412" s="28">
        <f>O412-T412</f>
        <v>0</v>
      </c>
      <c r="Z412" s="28">
        <f>P412-U412</f>
        <v>0</v>
      </c>
      <c r="AA412" s="4"/>
      <c r="AB412" s="4"/>
      <c r="AC412">
        <f>IF(AB412=G412,1,2)</f>
        <v>2</v>
      </c>
    </row>
    <row r="413" spans="1:30" customFormat="1" ht="31.2" hidden="1" x14ac:dyDescent="0.3">
      <c r="A413" s="7" t="s">
        <v>62</v>
      </c>
      <c r="B413" s="6">
        <v>223</v>
      </c>
      <c r="C413" s="7" t="s">
        <v>813</v>
      </c>
      <c r="D413" s="7" t="s">
        <v>880</v>
      </c>
      <c r="E413" s="7"/>
      <c r="F413" s="4"/>
      <c r="G413" s="7" t="s">
        <v>881</v>
      </c>
      <c r="H413" s="7"/>
      <c r="I413" s="7"/>
      <c r="J413" s="7" t="s">
        <v>882</v>
      </c>
      <c r="K413" s="7" t="s">
        <v>24</v>
      </c>
      <c r="L413" s="7" t="s">
        <v>883</v>
      </c>
      <c r="M413" s="109">
        <v>1477449600</v>
      </c>
      <c r="N413" s="111"/>
      <c r="O413" s="109">
        <v>7500000</v>
      </c>
      <c r="P413" s="110"/>
      <c r="Q413" s="109">
        <f>M413+N413+O413+P413</f>
        <v>1484949600</v>
      </c>
      <c r="R413" s="3">
        <v>1477449600</v>
      </c>
      <c r="S413" s="5"/>
      <c r="T413" s="72"/>
      <c r="U413" s="5"/>
      <c r="V413" s="5"/>
      <c r="W413" s="28"/>
      <c r="X413" s="28">
        <f>N413-S413</f>
        <v>0</v>
      </c>
      <c r="Y413" s="36">
        <f>O413-T413</f>
        <v>7500000</v>
      </c>
      <c r="Z413" s="28">
        <f>P413-U413</f>
        <v>0</v>
      </c>
      <c r="AA413" s="4"/>
      <c r="AB413" s="40"/>
      <c r="AC413" s="121">
        <f>IF(AB413=G413,1,2)</f>
        <v>2</v>
      </c>
      <c r="AD413" s="121"/>
    </row>
    <row r="414" spans="1:30" customFormat="1" ht="31.2" hidden="1" x14ac:dyDescent="0.3">
      <c r="A414" s="7" t="s">
        <v>62</v>
      </c>
      <c r="B414" s="6">
        <v>224</v>
      </c>
      <c r="C414" s="7" t="s">
        <v>813</v>
      </c>
      <c r="D414" s="7" t="s">
        <v>884</v>
      </c>
      <c r="E414" s="7"/>
      <c r="F414" s="4"/>
      <c r="G414" s="7" t="s">
        <v>885</v>
      </c>
      <c r="H414" s="7"/>
      <c r="I414" s="7"/>
      <c r="J414" s="7" t="s">
        <v>882</v>
      </c>
      <c r="K414" s="7" t="s">
        <v>24</v>
      </c>
      <c r="L414" s="7" t="s">
        <v>883</v>
      </c>
      <c r="M414" s="109">
        <v>1245692800</v>
      </c>
      <c r="N414" s="111"/>
      <c r="O414" s="109">
        <v>7500000</v>
      </c>
      <c r="P414" s="110"/>
      <c r="Q414" s="109">
        <f>M414+N414+O414+P414</f>
        <v>1253192800</v>
      </c>
      <c r="R414" s="3">
        <v>1245692800</v>
      </c>
      <c r="S414" s="5"/>
      <c r="T414" s="72"/>
      <c r="U414" s="5"/>
      <c r="V414" s="5"/>
      <c r="W414" s="28"/>
      <c r="X414" s="28">
        <f>N414-S414</f>
        <v>0</v>
      </c>
      <c r="Y414" s="36">
        <f>O414-T414</f>
        <v>7500000</v>
      </c>
      <c r="Z414" s="28">
        <f>P414-U414</f>
        <v>0</v>
      </c>
      <c r="AA414" s="4"/>
      <c r="AB414" s="40"/>
      <c r="AC414" s="121">
        <f>IF(AB414=G414,1,2)</f>
        <v>2</v>
      </c>
      <c r="AD414" s="121"/>
    </row>
    <row r="415" spans="1:30" customFormat="1" ht="62.4" hidden="1" customHeight="1" x14ac:dyDescent="0.3">
      <c r="A415" s="7" t="s">
        <v>62</v>
      </c>
      <c r="B415" s="6">
        <v>226</v>
      </c>
      <c r="C415" s="7" t="s">
        <v>813</v>
      </c>
      <c r="D415" s="7" t="s">
        <v>891</v>
      </c>
      <c r="E415" s="5"/>
      <c r="F415" s="4"/>
      <c r="G415" s="7" t="s">
        <v>892</v>
      </c>
      <c r="H415" s="5"/>
      <c r="I415" s="5"/>
      <c r="J415" s="7" t="s">
        <v>893</v>
      </c>
      <c r="K415" s="7" t="s">
        <v>24</v>
      </c>
      <c r="L415" s="7" t="s">
        <v>894</v>
      </c>
      <c r="M415" s="109">
        <v>0</v>
      </c>
      <c r="N415" s="111"/>
      <c r="O415" s="109">
        <v>7500000</v>
      </c>
      <c r="P415" s="110"/>
      <c r="Q415" s="109">
        <f>M415+N415+O415+P415</f>
        <v>7500000</v>
      </c>
      <c r="R415" s="6">
        <v>0</v>
      </c>
      <c r="S415" s="5"/>
      <c r="T415" s="30">
        <v>7500000</v>
      </c>
      <c r="U415" s="5"/>
      <c r="V415" s="5"/>
      <c r="W415" s="28"/>
      <c r="X415" s="28">
        <f>N415-S415</f>
        <v>0</v>
      </c>
      <c r="Y415" s="28">
        <f>O415-T415</f>
        <v>0</v>
      </c>
      <c r="Z415" s="28">
        <f>P415-U415</f>
        <v>0</v>
      </c>
      <c r="AA415" s="4"/>
      <c r="AB415" s="4"/>
      <c r="AC415">
        <f>IF(AB415=G415,1,2)</f>
        <v>2</v>
      </c>
    </row>
    <row r="416" spans="1:30" customFormat="1" ht="31.2" hidden="1" x14ac:dyDescent="0.3">
      <c r="A416" s="7" t="s">
        <v>46</v>
      </c>
      <c r="B416" s="6">
        <v>227</v>
      </c>
      <c r="C416" s="7" t="s">
        <v>895</v>
      </c>
      <c r="D416" s="7" t="s">
        <v>896</v>
      </c>
      <c r="E416" s="7"/>
      <c r="F416" s="4"/>
      <c r="G416" s="7" t="s">
        <v>897</v>
      </c>
      <c r="H416" s="7"/>
      <c r="I416" s="7"/>
      <c r="J416" s="7" t="s">
        <v>898</v>
      </c>
      <c r="K416" s="7" t="s">
        <v>24</v>
      </c>
      <c r="L416" s="7" t="s">
        <v>899</v>
      </c>
      <c r="M416" s="109">
        <v>3467851106</v>
      </c>
      <c r="N416" s="111"/>
      <c r="O416" s="109">
        <v>7500000</v>
      </c>
      <c r="P416" s="110"/>
      <c r="Q416" s="109">
        <f>M416+N416+O416+P416</f>
        <v>3475351106</v>
      </c>
      <c r="R416" s="5"/>
      <c r="S416" s="5"/>
      <c r="T416" s="72"/>
      <c r="U416" s="5"/>
      <c r="V416" s="5"/>
      <c r="W416" s="28">
        <v>3467851106</v>
      </c>
      <c r="X416" s="28">
        <f>N416-S416</f>
        <v>0</v>
      </c>
      <c r="Y416" s="36">
        <f>O416-T416</f>
        <v>7500000</v>
      </c>
      <c r="Z416" s="28">
        <f>P416-U416</f>
        <v>0</v>
      </c>
      <c r="AA416" s="10">
        <v>3467851106</v>
      </c>
      <c r="AB416" s="40"/>
      <c r="AC416" s="121">
        <f>IF(AB416=G416,1,2)</f>
        <v>2</v>
      </c>
      <c r="AD416" s="121"/>
    </row>
    <row r="417" spans="1:30" customFormat="1" ht="31.2" hidden="1" x14ac:dyDescent="0.3">
      <c r="A417" s="7" t="s">
        <v>46</v>
      </c>
      <c r="B417" s="6">
        <v>228</v>
      </c>
      <c r="C417" s="7" t="s">
        <v>895</v>
      </c>
      <c r="D417" s="7" t="s">
        <v>900</v>
      </c>
      <c r="E417" s="7" t="s">
        <v>389</v>
      </c>
      <c r="F417" s="4"/>
      <c r="G417" s="7" t="s">
        <v>901</v>
      </c>
      <c r="H417" s="7" t="s">
        <v>902</v>
      </c>
      <c r="I417" s="5"/>
      <c r="J417" s="7" t="s">
        <v>903</v>
      </c>
      <c r="K417" s="7" t="s">
        <v>24</v>
      </c>
      <c r="L417" s="7" t="s">
        <v>904</v>
      </c>
      <c r="M417" s="109">
        <v>2645084632</v>
      </c>
      <c r="N417" s="109">
        <v>617741568</v>
      </c>
      <c r="O417" s="109">
        <v>15000000</v>
      </c>
      <c r="P417" s="110"/>
      <c r="Q417" s="109">
        <f>M417+N417+O417+P417</f>
        <v>3277826200</v>
      </c>
      <c r="R417" s="3">
        <v>2645084632</v>
      </c>
      <c r="S417" s="3">
        <v>617741568</v>
      </c>
      <c r="T417" s="30">
        <v>15000000</v>
      </c>
      <c r="U417" s="5"/>
      <c r="V417" s="5"/>
      <c r="W417" s="28"/>
      <c r="X417" s="28">
        <f>N417-S417</f>
        <v>0</v>
      </c>
      <c r="Y417" s="28">
        <f>O417-T417</f>
        <v>0</v>
      </c>
      <c r="Z417" s="28">
        <f>P417-U417</f>
        <v>0</v>
      </c>
      <c r="AA417" s="4"/>
      <c r="AB417" s="4"/>
      <c r="AC417">
        <f>IF(AB417=G417,1,2)</f>
        <v>2</v>
      </c>
    </row>
    <row r="418" spans="1:30" customFormat="1" ht="31.2" hidden="1" x14ac:dyDescent="0.3">
      <c r="A418" s="7" t="s">
        <v>46</v>
      </c>
      <c r="B418" s="6">
        <v>229</v>
      </c>
      <c r="C418" s="7" t="s">
        <v>895</v>
      </c>
      <c r="D418" s="7" t="s">
        <v>905</v>
      </c>
      <c r="E418" s="5"/>
      <c r="F418" s="4"/>
      <c r="G418" s="7" t="s">
        <v>906</v>
      </c>
      <c r="H418" s="5"/>
      <c r="I418" s="5"/>
      <c r="J418" s="7" t="s">
        <v>907</v>
      </c>
      <c r="K418" s="7" t="s">
        <v>24</v>
      </c>
      <c r="L418" s="7" t="s">
        <v>908</v>
      </c>
      <c r="M418" s="109">
        <v>5265038802</v>
      </c>
      <c r="N418" s="111"/>
      <c r="O418" s="109">
        <v>7500000</v>
      </c>
      <c r="P418" s="110"/>
      <c r="Q418" s="109">
        <f>M418+N418+O418+P418</f>
        <v>5272538802</v>
      </c>
      <c r="R418" s="3">
        <v>5265038802</v>
      </c>
      <c r="S418" s="5"/>
      <c r="T418" s="30">
        <v>7500000</v>
      </c>
      <c r="U418" s="5"/>
      <c r="V418" s="5"/>
      <c r="W418" s="28"/>
      <c r="X418" s="28">
        <f>N418-S418</f>
        <v>0</v>
      </c>
      <c r="Y418" s="28">
        <f>O418-T418</f>
        <v>0</v>
      </c>
      <c r="Z418" s="28">
        <f>P418-U418</f>
        <v>0</v>
      </c>
      <c r="AA418" s="4"/>
      <c r="AB418" s="4"/>
      <c r="AC418">
        <f>IF(AB418=G418,1,2)</f>
        <v>2</v>
      </c>
    </row>
    <row r="419" spans="1:30" customFormat="1" ht="31.2" hidden="1" x14ac:dyDescent="0.3">
      <c r="A419" s="7" t="s">
        <v>46</v>
      </c>
      <c r="B419" s="6">
        <v>230</v>
      </c>
      <c r="C419" s="7" t="s">
        <v>895</v>
      </c>
      <c r="D419" s="7" t="s">
        <v>909</v>
      </c>
      <c r="E419" s="5"/>
      <c r="F419" s="4"/>
      <c r="G419" s="7" t="s">
        <v>910</v>
      </c>
      <c r="H419" s="5"/>
      <c r="I419" s="5"/>
      <c r="J419" s="7" t="s">
        <v>911</v>
      </c>
      <c r="K419" s="7" t="s">
        <v>24</v>
      </c>
      <c r="L419" s="7" t="s">
        <v>912</v>
      </c>
      <c r="M419" s="109">
        <v>204645630</v>
      </c>
      <c r="N419" s="111"/>
      <c r="O419" s="109">
        <v>7500000</v>
      </c>
      <c r="P419" s="110"/>
      <c r="Q419" s="109">
        <f>M419+N419+O419+P419</f>
        <v>212145630</v>
      </c>
      <c r="R419" s="3">
        <v>204645630</v>
      </c>
      <c r="S419" s="5"/>
      <c r="T419" s="30">
        <v>7500000</v>
      </c>
      <c r="U419" s="5"/>
      <c r="V419" s="5"/>
      <c r="W419" s="28"/>
      <c r="X419" s="28">
        <f>N419-S419</f>
        <v>0</v>
      </c>
      <c r="Y419" s="28">
        <f>O419-T419</f>
        <v>0</v>
      </c>
      <c r="Z419" s="28">
        <f>P419-U419</f>
        <v>0</v>
      </c>
      <c r="AA419" s="4"/>
      <c r="AB419" s="4"/>
      <c r="AC419">
        <f>IF(AB419=G419,1,2)</f>
        <v>2</v>
      </c>
    </row>
    <row r="420" spans="1:30" customFormat="1" ht="31.2" hidden="1" x14ac:dyDescent="0.3">
      <c r="A420" s="7" t="s">
        <v>46</v>
      </c>
      <c r="B420" s="6">
        <v>231</v>
      </c>
      <c r="C420" s="7" t="s">
        <v>895</v>
      </c>
      <c r="D420" s="7" t="s">
        <v>913</v>
      </c>
      <c r="E420" s="7" t="s">
        <v>914</v>
      </c>
      <c r="F420" s="4"/>
      <c r="G420" s="7" t="s">
        <v>915</v>
      </c>
      <c r="H420" s="5"/>
      <c r="I420" s="5"/>
      <c r="J420" s="7" t="s">
        <v>916</v>
      </c>
      <c r="K420" s="7" t="s">
        <v>24</v>
      </c>
      <c r="L420" s="7" t="s">
        <v>917</v>
      </c>
      <c r="M420" s="109">
        <v>2537955740</v>
      </c>
      <c r="N420" s="109">
        <v>3522240</v>
      </c>
      <c r="O420" s="109">
        <v>15000000</v>
      </c>
      <c r="P420" s="110"/>
      <c r="Q420" s="109">
        <f>M420+N420+O420+P420</f>
        <v>2556477980</v>
      </c>
      <c r="R420" s="3">
        <v>2537955740</v>
      </c>
      <c r="S420" s="3">
        <v>3522240</v>
      </c>
      <c r="T420" s="30">
        <v>15000000</v>
      </c>
      <c r="U420" s="5"/>
      <c r="V420" s="5"/>
      <c r="W420" s="28"/>
      <c r="X420" s="28">
        <f>N420-S420</f>
        <v>0</v>
      </c>
      <c r="Y420" s="28">
        <f>O420-T420</f>
        <v>0</v>
      </c>
      <c r="Z420" s="28">
        <f>P420-U420</f>
        <v>0</v>
      </c>
      <c r="AA420" s="4"/>
      <c r="AB420" s="4"/>
      <c r="AC420">
        <f>IF(AB420=G420,1,2)</f>
        <v>2</v>
      </c>
    </row>
    <row r="421" spans="1:30" customFormat="1" ht="31.2" hidden="1" x14ac:dyDescent="0.3">
      <c r="A421" s="7" t="s">
        <v>62</v>
      </c>
      <c r="B421" s="6">
        <v>232</v>
      </c>
      <c r="C421" s="7" t="s">
        <v>895</v>
      </c>
      <c r="D421" s="7" t="s">
        <v>918</v>
      </c>
      <c r="E421" s="5"/>
      <c r="F421" s="4"/>
      <c r="G421" s="7" t="s">
        <v>919</v>
      </c>
      <c r="H421" s="5"/>
      <c r="I421" s="5"/>
      <c r="J421" s="7" t="s">
        <v>920</v>
      </c>
      <c r="K421" s="7" t="s">
        <v>24</v>
      </c>
      <c r="L421" s="7" t="s">
        <v>921</v>
      </c>
      <c r="M421" s="109">
        <v>5072847062</v>
      </c>
      <c r="N421" s="111"/>
      <c r="O421" s="109">
        <v>15000000</v>
      </c>
      <c r="P421" s="110"/>
      <c r="Q421" s="109">
        <f>M421+N421+O421+P421</f>
        <v>5087847062</v>
      </c>
      <c r="R421" s="3">
        <v>5072847062</v>
      </c>
      <c r="S421" s="5"/>
      <c r="T421" s="32">
        <v>15000000</v>
      </c>
      <c r="U421" s="5"/>
      <c r="V421" s="5"/>
      <c r="W421" s="28"/>
      <c r="X421" s="28">
        <f>N421-S421</f>
        <v>0</v>
      </c>
      <c r="Y421" s="28">
        <f>O421-T421</f>
        <v>0</v>
      </c>
      <c r="Z421" s="28">
        <f>P421-U421</f>
        <v>0</v>
      </c>
      <c r="AA421" s="4"/>
      <c r="AB421" s="4"/>
      <c r="AC421">
        <f>IF(AB421=G421,1,2)</f>
        <v>2</v>
      </c>
    </row>
    <row r="422" spans="1:30" customFormat="1" ht="46.8" hidden="1" x14ac:dyDescent="0.3">
      <c r="A422" s="7" t="s">
        <v>46</v>
      </c>
      <c r="B422" s="6">
        <v>233</v>
      </c>
      <c r="C422" s="7" t="s">
        <v>895</v>
      </c>
      <c r="D422" s="7" t="s">
        <v>922</v>
      </c>
      <c r="E422" s="7"/>
      <c r="F422" s="4"/>
      <c r="G422" s="7" t="s">
        <v>923</v>
      </c>
      <c r="H422" s="7"/>
      <c r="I422" s="7"/>
      <c r="J422" s="7" t="s">
        <v>924</v>
      </c>
      <c r="K422" s="7" t="s">
        <v>24</v>
      </c>
      <c r="L422" s="7" t="s">
        <v>925</v>
      </c>
      <c r="M422" s="109">
        <v>8181354</v>
      </c>
      <c r="N422" s="111"/>
      <c r="O422" s="109">
        <v>7500000</v>
      </c>
      <c r="P422" s="110"/>
      <c r="Q422" s="109">
        <f>M422+N422+O422+P422</f>
        <v>15681354</v>
      </c>
      <c r="R422" s="5"/>
      <c r="S422" s="5"/>
      <c r="T422" s="72"/>
      <c r="U422" s="5"/>
      <c r="V422" s="5"/>
      <c r="W422" s="28">
        <v>8181354</v>
      </c>
      <c r="X422" s="28">
        <f>N422-S422</f>
        <v>0</v>
      </c>
      <c r="Y422" s="36">
        <f>O422-T422</f>
        <v>7500000</v>
      </c>
      <c r="Z422" s="28">
        <f>P422-U422</f>
        <v>0</v>
      </c>
      <c r="AA422" s="10">
        <v>8181354</v>
      </c>
      <c r="AB422" s="40"/>
      <c r="AC422" s="121">
        <f>IF(AB422=G422,1,2)</f>
        <v>2</v>
      </c>
      <c r="AD422" s="121"/>
    </row>
    <row r="423" spans="1:30" customFormat="1" ht="78" hidden="1" x14ac:dyDescent="0.3">
      <c r="A423" s="7" t="s">
        <v>46</v>
      </c>
      <c r="B423" s="6">
        <v>234</v>
      </c>
      <c r="C423" s="7" t="s">
        <v>895</v>
      </c>
      <c r="D423" s="7" t="s">
        <v>926</v>
      </c>
      <c r="E423" s="5"/>
      <c r="F423" s="4"/>
      <c r="G423" s="7" t="s">
        <v>927</v>
      </c>
      <c r="H423" s="5"/>
      <c r="I423" s="7" t="s">
        <v>28</v>
      </c>
      <c r="J423" s="7" t="s">
        <v>928</v>
      </c>
      <c r="K423" s="7" t="s">
        <v>24</v>
      </c>
      <c r="L423" s="7" t="s">
        <v>929</v>
      </c>
      <c r="M423" s="109">
        <v>0</v>
      </c>
      <c r="N423" s="111"/>
      <c r="O423" s="74"/>
      <c r="P423" s="110"/>
      <c r="Q423" s="109">
        <f>M423+N423+O423+P423</f>
        <v>0</v>
      </c>
      <c r="R423" s="6">
        <v>0</v>
      </c>
      <c r="S423" s="5"/>
      <c r="T423" s="31"/>
      <c r="U423" s="5"/>
      <c r="V423" s="5"/>
      <c r="W423" s="28"/>
      <c r="X423" s="28">
        <f>N423-S423</f>
        <v>0</v>
      </c>
      <c r="Y423" s="28">
        <f>O423-T423</f>
        <v>0</v>
      </c>
      <c r="Z423" s="28">
        <f>P423-U423</f>
        <v>0</v>
      </c>
      <c r="AA423" s="4"/>
      <c r="AB423" s="4"/>
      <c r="AC423">
        <f>IF(AB423=G423,1,2)</f>
        <v>2</v>
      </c>
    </row>
    <row r="424" spans="1:30" customFormat="1" ht="31.2" hidden="1" x14ac:dyDescent="0.3">
      <c r="A424" s="7" t="s">
        <v>46</v>
      </c>
      <c r="B424" s="6">
        <v>236</v>
      </c>
      <c r="C424" s="7" t="s">
        <v>895</v>
      </c>
      <c r="D424" s="7" t="s">
        <v>936</v>
      </c>
      <c r="E424" s="7" t="s">
        <v>34</v>
      </c>
      <c r="F424" s="4"/>
      <c r="G424" s="7" t="s">
        <v>937</v>
      </c>
      <c r="H424" s="7" t="s">
        <v>707</v>
      </c>
      <c r="I424" s="5"/>
      <c r="J424" s="7" t="s">
        <v>938</v>
      </c>
      <c r="K424" s="7" t="s">
        <v>24</v>
      </c>
      <c r="L424" s="7" t="s">
        <v>939</v>
      </c>
      <c r="M424" s="109">
        <v>607575480</v>
      </c>
      <c r="N424" s="109">
        <v>60674400</v>
      </c>
      <c r="O424" s="109">
        <v>7500000</v>
      </c>
      <c r="P424" s="110"/>
      <c r="Q424" s="109">
        <f>M424+N424+O424+P424</f>
        <v>675749880</v>
      </c>
      <c r="R424" s="3">
        <v>607575480</v>
      </c>
      <c r="S424" s="3">
        <v>60674400</v>
      </c>
      <c r="T424" s="30">
        <v>7500000</v>
      </c>
      <c r="U424" s="5"/>
      <c r="V424" s="5"/>
      <c r="W424" s="28"/>
      <c r="X424" s="28">
        <f>N424-S424</f>
        <v>0</v>
      </c>
      <c r="Y424" s="28">
        <f>O424-T424</f>
        <v>0</v>
      </c>
      <c r="Z424" s="28">
        <f>P424-U424</f>
        <v>0</v>
      </c>
      <c r="AA424" s="4"/>
      <c r="AB424" s="4"/>
      <c r="AC424">
        <f>IF(AB424=G424,1,2)</f>
        <v>2</v>
      </c>
    </row>
    <row r="425" spans="1:30" customFormat="1" ht="31.2" hidden="1" x14ac:dyDescent="0.3">
      <c r="A425" s="7" t="s">
        <v>46</v>
      </c>
      <c r="B425" s="6">
        <v>237</v>
      </c>
      <c r="C425" s="7" t="s">
        <v>895</v>
      </c>
      <c r="D425" s="7" t="s">
        <v>940</v>
      </c>
      <c r="E425" s="5"/>
      <c r="F425" s="4"/>
      <c r="G425" s="7" t="s">
        <v>941</v>
      </c>
      <c r="H425" s="5"/>
      <c r="I425" s="5"/>
      <c r="J425" s="7" t="s">
        <v>942</v>
      </c>
      <c r="K425" s="7" t="s">
        <v>24</v>
      </c>
      <c r="L425" s="7" t="s">
        <v>943</v>
      </c>
      <c r="M425" s="109">
        <v>1176584884</v>
      </c>
      <c r="N425" s="111"/>
      <c r="O425" s="109">
        <v>7500000</v>
      </c>
      <c r="P425" s="110"/>
      <c r="Q425" s="109">
        <f>M425+N425+O425+P425</f>
        <v>1184084884</v>
      </c>
      <c r="R425" s="3">
        <v>1176584884</v>
      </c>
      <c r="S425" s="5"/>
      <c r="T425" s="30">
        <v>7500000</v>
      </c>
      <c r="U425" s="5"/>
      <c r="V425" s="5"/>
      <c r="W425" s="28"/>
      <c r="X425" s="28">
        <f>N425-S425</f>
        <v>0</v>
      </c>
      <c r="Y425" s="28">
        <f>O425-T425</f>
        <v>0</v>
      </c>
      <c r="Z425" s="28">
        <f>P425-U425</f>
        <v>0</v>
      </c>
      <c r="AA425" s="4"/>
      <c r="AB425" s="4"/>
      <c r="AC425">
        <f>IF(AB425=G425,1,2)</f>
        <v>2</v>
      </c>
    </row>
    <row r="426" spans="1:30" customFormat="1" ht="31.2" hidden="1" x14ac:dyDescent="0.3">
      <c r="A426" s="7" t="s">
        <v>46</v>
      </c>
      <c r="B426" s="6">
        <v>238</v>
      </c>
      <c r="C426" s="7" t="s">
        <v>895</v>
      </c>
      <c r="D426" s="7" t="s">
        <v>944</v>
      </c>
      <c r="E426" s="7"/>
      <c r="F426" s="4"/>
      <c r="G426" s="7" t="s">
        <v>945</v>
      </c>
      <c r="H426" s="7"/>
      <c r="I426" s="7"/>
      <c r="J426" s="7" t="s">
        <v>946</v>
      </c>
      <c r="K426" s="7" t="s">
        <v>24</v>
      </c>
      <c r="L426" s="7" t="s">
        <v>947</v>
      </c>
      <c r="M426" s="109">
        <v>2575548192</v>
      </c>
      <c r="N426" s="111"/>
      <c r="O426" s="109">
        <v>7500000</v>
      </c>
      <c r="P426" s="110"/>
      <c r="Q426" s="109">
        <f>M426+N426+O426+P426</f>
        <v>2583048192</v>
      </c>
      <c r="R426" s="5"/>
      <c r="S426" s="5"/>
      <c r="T426" s="72"/>
      <c r="U426" s="5"/>
      <c r="V426" s="5"/>
      <c r="W426" s="28">
        <v>2575548192</v>
      </c>
      <c r="X426" s="28">
        <f>N426-S426</f>
        <v>0</v>
      </c>
      <c r="Y426" s="36">
        <f>O426-T426</f>
        <v>7500000</v>
      </c>
      <c r="Z426" s="28">
        <f>P426-U426</f>
        <v>0</v>
      </c>
      <c r="AA426" s="10">
        <v>2575548192</v>
      </c>
      <c r="AB426" s="40"/>
      <c r="AC426" s="121">
        <f>IF(AB426=G426,1,2)</f>
        <v>2</v>
      </c>
      <c r="AD426" s="121"/>
    </row>
    <row r="427" spans="1:30" customFormat="1" ht="31.2" hidden="1" x14ac:dyDescent="0.3">
      <c r="A427" s="7" t="s">
        <v>62</v>
      </c>
      <c r="B427" s="6">
        <v>239</v>
      </c>
      <c r="C427" s="7" t="s">
        <v>895</v>
      </c>
      <c r="D427" s="7" t="s">
        <v>948</v>
      </c>
      <c r="E427" s="7" t="s">
        <v>158</v>
      </c>
      <c r="F427" s="4"/>
      <c r="G427" s="7" t="s">
        <v>949</v>
      </c>
      <c r="H427" s="7" t="s">
        <v>66</v>
      </c>
      <c r="I427" s="5"/>
      <c r="J427" s="7" t="s">
        <v>950</v>
      </c>
      <c r="K427" s="7" t="s">
        <v>24</v>
      </c>
      <c r="L427" s="7" t="s">
        <v>951</v>
      </c>
      <c r="M427" s="109">
        <v>3117071830</v>
      </c>
      <c r="N427" s="109">
        <v>483955776</v>
      </c>
      <c r="O427" s="109">
        <v>7500000</v>
      </c>
      <c r="P427" s="110"/>
      <c r="Q427" s="109">
        <f>M427+N427+O427+P427</f>
        <v>3608527606</v>
      </c>
      <c r="R427" s="3">
        <v>3117071830</v>
      </c>
      <c r="S427" s="3">
        <v>483955776</v>
      </c>
      <c r="T427" s="30">
        <v>7500000</v>
      </c>
      <c r="U427" s="5"/>
      <c r="V427" s="5"/>
      <c r="W427" s="28"/>
      <c r="X427" s="28">
        <f>N427-S427</f>
        <v>0</v>
      </c>
      <c r="Y427" s="28">
        <f>O427-T427</f>
        <v>0</v>
      </c>
      <c r="Z427" s="28">
        <f>P427-U427</f>
        <v>0</v>
      </c>
      <c r="AA427" s="4"/>
      <c r="AB427" s="4"/>
      <c r="AC427">
        <f>IF(AB427=G427,1,2)</f>
        <v>2</v>
      </c>
    </row>
    <row r="428" spans="1:30" customFormat="1" ht="31.2" hidden="1" x14ac:dyDescent="0.3">
      <c r="A428" s="7" t="s">
        <v>46</v>
      </c>
      <c r="B428" s="6">
        <v>241</v>
      </c>
      <c r="C428" s="7" t="s">
        <v>895</v>
      </c>
      <c r="D428" s="7" t="s">
        <v>957</v>
      </c>
      <c r="E428" s="5"/>
      <c r="F428" s="4"/>
      <c r="G428" s="7" t="s">
        <v>958</v>
      </c>
      <c r="H428" s="5"/>
      <c r="I428" s="5"/>
      <c r="J428" s="7" t="s">
        <v>959</v>
      </c>
      <c r="K428" s="7" t="s">
        <v>24</v>
      </c>
      <c r="L428" s="7" t="s">
        <v>960</v>
      </c>
      <c r="M428" s="109">
        <v>391616484</v>
      </c>
      <c r="N428" s="111"/>
      <c r="O428" s="109">
        <v>7500000</v>
      </c>
      <c r="P428" s="110"/>
      <c r="Q428" s="109">
        <f>M428+N428+O428+P428</f>
        <v>399116484</v>
      </c>
      <c r="R428" s="3">
        <v>391616484</v>
      </c>
      <c r="S428" s="5"/>
      <c r="T428" s="30">
        <v>7500000</v>
      </c>
      <c r="U428" s="5"/>
      <c r="V428" s="5"/>
      <c r="W428" s="28"/>
      <c r="X428" s="28">
        <f>N428-S428</f>
        <v>0</v>
      </c>
      <c r="Y428" s="28">
        <f>O428-T428</f>
        <v>0</v>
      </c>
      <c r="Z428" s="28">
        <f>P428-U428</f>
        <v>0</v>
      </c>
      <c r="AA428" s="4"/>
      <c r="AB428" s="4"/>
      <c r="AC428">
        <f>IF(AB428=G428,1,2)</f>
        <v>2</v>
      </c>
    </row>
    <row r="429" spans="1:30" customFormat="1" ht="31.2" hidden="1" x14ac:dyDescent="0.3">
      <c r="A429" s="7" t="s">
        <v>46</v>
      </c>
      <c r="B429" s="6">
        <v>242</v>
      </c>
      <c r="C429" s="7" t="s">
        <v>895</v>
      </c>
      <c r="D429" s="7" t="s">
        <v>961</v>
      </c>
      <c r="E429" s="7" t="s">
        <v>914</v>
      </c>
      <c r="F429" s="4"/>
      <c r="G429" s="7" t="s">
        <v>962</v>
      </c>
      <c r="H429" s="5"/>
      <c r="I429" s="5"/>
      <c r="J429" s="7" t="s">
        <v>963</v>
      </c>
      <c r="K429" s="7" t="s">
        <v>24</v>
      </c>
      <c r="L429" s="7" t="s">
        <v>964</v>
      </c>
      <c r="M429" s="109">
        <v>5427416524</v>
      </c>
      <c r="N429" s="109">
        <v>5717376</v>
      </c>
      <c r="O429" s="109">
        <v>7500000</v>
      </c>
      <c r="P429" s="110"/>
      <c r="Q429" s="109">
        <f>M429+N429+O429+P429</f>
        <v>5440633900</v>
      </c>
      <c r="R429" s="3">
        <v>5427416524</v>
      </c>
      <c r="S429" s="3">
        <v>5717376</v>
      </c>
      <c r="T429" s="30">
        <v>7500000</v>
      </c>
      <c r="U429" s="5"/>
      <c r="V429" s="5"/>
      <c r="W429" s="28"/>
      <c r="X429" s="28">
        <f>N429-S429</f>
        <v>0</v>
      </c>
      <c r="Y429" s="28">
        <f>O429-T429</f>
        <v>0</v>
      </c>
      <c r="Z429" s="28">
        <f>P429-U429</f>
        <v>0</v>
      </c>
      <c r="AA429" s="4"/>
      <c r="AB429" s="4"/>
      <c r="AC429">
        <f>IF(AB429=G429,1,2)</f>
        <v>2</v>
      </c>
    </row>
    <row r="430" spans="1:30" customFormat="1" ht="31.2" hidden="1" x14ac:dyDescent="0.3">
      <c r="A430" s="7" t="s">
        <v>46</v>
      </c>
      <c r="B430" s="6">
        <v>243</v>
      </c>
      <c r="C430" s="7" t="s">
        <v>895</v>
      </c>
      <c r="D430" s="7" t="s">
        <v>965</v>
      </c>
      <c r="E430" s="5"/>
      <c r="F430" s="4"/>
      <c r="G430" s="7" t="s">
        <v>966</v>
      </c>
      <c r="H430" s="5"/>
      <c r="I430" s="5"/>
      <c r="J430" s="7" t="s">
        <v>967</v>
      </c>
      <c r="K430" s="7" t="s">
        <v>24</v>
      </c>
      <c r="L430" s="7" t="s">
        <v>968</v>
      </c>
      <c r="M430" s="109">
        <v>220068000</v>
      </c>
      <c r="N430" s="111"/>
      <c r="O430" s="109">
        <v>7500000</v>
      </c>
      <c r="P430" s="110"/>
      <c r="Q430" s="109">
        <f>M430+N430+O430+P430</f>
        <v>227568000</v>
      </c>
      <c r="R430" s="3">
        <v>220068000</v>
      </c>
      <c r="S430" s="5"/>
      <c r="T430" s="30">
        <v>7500000</v>
      </c>
      <c r="U430" s="5"/>
      <c r="V430" s="5"/>
      <c r="W430" s="28"/>
      <c r="X430" s="28">
        <f>N430-S430</f>
        <v>0</v>
      </c>
      <c r="Y430" s="28">
        <f>O430-T430</f>
        <v>0</v>
      </c>
      <c r="Z430" s="28">
        <f>P430-U430</f>
        <v>0</v>
      </c>
      <c r="AA430" s="4"/>
      <c r="AB430" s="4"/>
      <c r="AC430">
        <f>IF(AB430=G430,1,2)</f>
        <v>2</v>
      </c>
    </row>
    <row r="431" spans="1:30" customFormat="1" ht="78" hidden="1" customHeight="1" x14ac:dyDescent="0.3">
      <c r="A431" s="7" t="s">
        <v>46</v>
      </c>
      <c r="B431" s="6">
        <v>244</v>
      </c>
      <c r="C431" s="7" t="s">
        <v>895</v>
      </c>
      <c r="D431" s="7" t="s">
        <v>969</v>
      </c>
      <c r="E431" s="7" t="s">
        <v>914</v>
      </c>
      <c r="F431" s="4"/>
      <c r="G431" s="7" t="s">
        <v>970</v>
      </c>
      <c r="H431" s="7"/>
      <c r="I431" s="7"/>
      <c r="J431" s="7" t="s">
        <v>971</v>
      </c>
      <c r="K431" s="7" t="s">
        <v>24</v>
      </c>
      <c r="L431" s="7" t="s">
        <v>972</v>
      </c>
      <c r="M431" s="109">
        <v>803708300</v>
      </c>
      <c r="N431" s="109">
        <v>83491840</v>
      </c>
      <c r="O431" s="109">
        <v>7500000</v>
      </c>
      <c r="P431" s="110"/>
      <c r="Q431" s="109">
        <f>M431+N431+O431+P431</f>
        <v>894700140</v>
      </c>
      <c r="R431" s="3">
        <v>803708300</v>
      </c>
      <c r="S431" s="3">
        <v>83491840</v>
      </c>
      <c r="T431" s="72"/>
      <c r="U431" s="5"/>
      <c r="V431" s="5"/>
      <c r="W431" s="28"/>
      <c r="X431" s="28">
        <f>N431-S431</f>
        <v>0</v>
      </c>
      <c r="Y431" s="36">
        <f>O431-T431</f>
        <v>7500000</v>
      </c>
      <c r="Z431" s="28">
        <f>P431-U431</f>
        <v>0</v>
      </c>
      <c r="AA431" s="4"/>
      <c r="AB431" s="40"/>
      <c r="AC431" s="121">
        <f>IF(AB431=G431,1,2)</f>
        <v>2</v>
      </c>
      <c r="AD431" s="121"/>
    </row>
    <row r="432" spans="1:30" customFormat="1" ht="31.2" hidden="1" x14ac:dyDescent="0.3">
      <c r="A432" s="7" t="s">
        <v>62</v>
      </c>
      <c r="B432" s="6">
        <v>245</v>
      </c>
      <c r="C432" s="7" t="s">
        <v>895</v>
      </c>
      <c r="D432" s="7" t="s">
        <v>973</v>
      </c>
      <c r="E432" s="5"/>
      <c r="F432" s="4"/>
      <c r="G432" s="7" t="s">
        <v>974</v>
      </c>
      <c r="H432" s="5"/>
      <c r="I432" s="5"/>
      <c r="J432" s="7" t="s">
        <v>975</v>
      </c>
      <c r="K432" s="7" t="s">
        <v>24</v>
      </c>
      <c r="L432" s="7" t="s">
        <v>976</v>
      </c>
      <c r="M432" s="109">
        <v>0</v>
      </c>
      <c r="N432" s="111"/>
      <c r="O432" s="109">
        <v>7500000</v>
      </c>
      <c r="P432" s="110"/>
      <c r="Q432" s="109">
        <f>M432+N432+O432+P432</f>
        <v>7500000</v>
      </c>
      <c r="R432" s="6">
        <v>0</v>
      </c>
      <c r="S432" s="5"/>
      <c r="T432" s="30">
        <v>7500000</v>
      </c>
      <c r="U432" s="5"/>
      <c r="V432" s="5"/>
      <c r="W432" s="28"/>
      <c r="X432" s="28">
        <f>N432-S432</f>
        <v>0</v>
      </c>
      <c r="Y432" s="28">
        <f>O432-T432</f>
        <v>0</v>
      </c>
      <c r="Z432" s="28">
        <f>P432-U432</f>
        <v>0</v>
      </c>
      <c r="AA432" s="4"/>
      <c r="AB432" s="4"/>
      <c r="AC432">
        <f>IF(AB432=G432,1,2)</f>
        <v>2</v>
      </c>
    </row>
    <row r="433" spans="1:30" customFormat="1" ht="93.6" hidden="1" x14ac:dyDescent="0.3">
      <c r="A433" s="7" t="s">
        <v>46</v>
      </c>
      <c r="B433" s="6">
        <v>246</v>
      </c>
      <c r="C433" s="7" t="s">
        <v>895</v>
      </c>
      <c r="D433" s="7" t="s">
        <v>977</v>
      </c>
      <c r="E433" s="7" t="s">
        <v>914</v>
      </c>
      <c r="F433" s="4"/>
      <c r="G433" s="7" t="s">
        <v>978</v>
      </c>
      <c r="H433" s="5"/>
      <c r="I433" s="5"/>
      <c r="J433" s="7" t="s">
        <v>979</v>
      </c>
      <c r="K433" s="7" t="s">
        <v>24</v>
      </c>
      <c r="L433" s="7" t="s">
        <v>980</v>
      </c>
      <c r="M433" s="109">
        <v>3613352200</v>
      </c>
      <c r="N433" s="109">
        <v>53089920</v>
      </c>
      <c r="O433" s="109">
        <v>7500000</v>
      </c>
      <c r="P433" s="110"/>
      <c r="Q433" s="109">
        <f>M433+N433+O433+P433</f>
        <v>3673942120</v>
      </c>
      <c r="R433" s="3">
        <v>3613352200</v>
      </c>
      <c r="S433" s="3">
        <v>53089920</v>
      </c>
      <c r="T433" s="30">
        <v>7500000</v>
      </c>
      <c r="U433" s="5"/>
      <c r="V433" s="5"/>
      <c r="W433" s="28"/>
      <c r="X433" s="28">
        <f>N433-S433</f>
        <v>0</v>
      </c>
      <c r="Y433" s="28">
        <f>O433-T433</f>
        <v>0</v>
      </c>
      <c r="Z433" s="28">
        <f>P433-U433</f>
        <v>0</v>
      </c>
      <c r="AA433" s="4"/>
      <c r="AB433" s="4"/>
      <c r="AC433">
        <f>IF(AB433=G433,1,2)</f>
        <v>2</v>
      </c>
    </row>
    <row r="434" spans="1:30" customFormat="1" ht="31.2" hidden="1" x14ac:dyDescent="0.3">
      <c r="A434" s="7" t="s">
        <v>46</v>
      </c>
      <c r="B434" s="6">
        <v>247</v>
      </c>
      <c r="C434" s="7" t="s">
        <v>895</v>
      </c>
      <c r="D434" s="7" t="s">
        <v>981</v>
      </c>
      <c r="E434" s="7" t="s">
        <v>982</v>
      </c>
      <c r="F434" s="4"/>
      <c r="G434" s="7" t="s">
        <v>983</v>
      </c>
      <c r="H434" s="5"/>
      <c r="I434" s="5"/>
      <c r="J434" s="7" t="s">
        <v>984</v>
      </c>
      <c r="K434" s="7" t="s">
        <v>24</v>
      </c>
      <c r="L434" s="7" t="s">
        <v>985</v>
      </c>
      <c r="M434" s="109">
        <v>2238832624</v>
      </c>
      <c r="N434" s="109">
        <v>440119008</v>
      </c>
      <c r="O434" s="109">
        <v>15000000</v>
      </c>
      <c r="P434" s="110"/>
      <c r="Q434" s="109">
        <f>M434+N434+O434+P434</f>
        <v>2693951632</v>
      </c>
      <c r="R434" s="3">
        <v>2238832624</v>
      </c>
      <c r="S434" s="3">
        <v>440119008</v>
      </c>
      <c r="T434" s="30">
        <v>15000000</v>
      </c>
      <c r="U434" s="5"/>
      <c r="V434" s="5"/>
      <c r="W434" s="28"/>
      <c r="X434" s="28">
        <f>N434-S434</f>
        <v>0</v>
      </c>
      <c r="Y434" s="28">
        <f>O434-T434</f>
        <v>0</v>
      </c>
      <c r="Z434" s="28">
        <f>P434-U434</f>
        <v>0</v>
      </c>
      <c r="AA434" s="4"/>
      <c r="AB434" s="4"/>
      <c r="AC434">
        <f>IF(AB434=G434,1,2)</f>
        <v>2</v>
      </c>
    </row>
    <row r="435" spans="1:30" customFormat="1" ht="31.2" hidden="1" x14ac:dyDescent="0.3">
      <c r="A435" s="7" t="s">
        <v>46</v>
      </c>
      <c r="B435" s="6">
        <v>248</v>
      </c>
      <c r="C435" s="7" t="s">
        <v>895</v>
      </c>
      <c r="D435" s="7" t="s">
        <v>986</v>
      </c>
      <c r="E435" s="5"/>
      <c r="F435" s="4"/>
      <c r="G435" s="7" t="s">
        <v>604</v>
      </c>
      <c r="H435" s="5"/>
      <c r="I435" s="5"/>
      <c r="J435" s="7" t="s">
        <v>987</v>
      </c>
      <c r="K435" s="7" t="s">
        <v>24</v>
      </c>
      <c r="L435" s="7" t="s">
        <v>988</v>
      </c>
      <c r="M435" s="109">
        <v>3203717384</v>
      </c>
      <c r="N435" s="111"/>
      <c r="O435" s="109">
        <v>15000000</v>
      </c>
      <c r="P435" s="110"/>
      <c r="Q435" s="109">
        <f>M435+N435+O435+P435</f>
        <v>3218717384</v>
      </c>
      <c r="R435" s="3">
        <v>3203717384</v>
      </c>
      <c r="S435" s="5"/>
      <c r="T435" s="30">
        <v>15000000</v>
      </c>
      <c r="U435" s="5"/>
      <c r="V435" s="5"/>
      <c r="W435" s="28"/>
      <c r="X435" s="28">
        <f>N435-S435</f>
        <v>0</v>
      </c>
      <c r="Y435" s="28">
        <f>O435-T435</f>
        <v>0</v>
      </c>
      <c r="Z435" s="28">
        <f>P435-U435</f>
        <v>0</v>
      </c>
      <c r="AA435" s="4"/>
      <c r="AB435" s="4"/>
      <c r="AC435">
        <f>IF(AB435=G435,1,2)</f>
        <v>2</v>
      </c>
    </row>
    <row r="436" spans="1:30" customFormat="1" ht="31.2" hidden="1" x14ac:dyDescent="0.3">
      <c r="A436" s="7" t="s">
        <v>46</v>
      </c>
      <c r="B436" s="6">
        <v>250</v>
      </c>
      <c r="C436" s="7" t="s">
        <v>895</v>
      </c>
      <c r="D436" s="7" t="s">
        <v>994</v>
      </c>
      <c r="E436" s="5"/>
      <c r="F436" s="4"/>
      <c r="G436" s="7" t="s">
        <v>995</v>
      </c>
      <c r="H436" s="5"/>
      <c r="I436" s="5"/>
      <c r="J436" s="7" t="s">
        <v>996</v>
      </c>
      <c r="K436" s="7" t="s">
        <v>24</v>
      </c>
      <c r="L436" s="7" t="s">
        <v>997</v>
      </c>
      <c r="M436" s="109">
        <v>3719388760</v>
      </c>
      <c r="N436" s="111"/>
      <c r="O436" s="109">
        <v>15000000</v>
      </c>
      <c r="P436" s="110"/>
      <c r="Q436" s="109">
        <f>M436+N436+O436+P436</f>
        <v>3734388760</v>
      </c>
      <c r="R436" s="3">
        <v>3719388760</v>
      </c>
      <c r="S436" s="5"/>
      <c r="T436" s="30">
        <v>15000000</v>
      </c>
      <c r="U436" s="5"/>
      <c r="V436" s="5"/>
      <c r="W436" s="28"/>
      <c r="X436" s="28">
        <f>N436-S436</f>
        <v>0</v>
      </c>
      <c r="Y436" s="28">
        <f>O436-T436</f>
        <v>0</v>
      </c>
      <c r="Z436" s="28">
        <f>P436-U436</f>
        <v>0</v>
      </c>
      <c r="AA436" s="4"/>
      <c r="AB436" s="4"/>
      <c r="AC436">
        <f>IF(AB436=G436,1,2)</f>
        <v>2</v>
      </c>
    </row>
    <row r="437" spans="1:30" customFormat="1" ht="31.2" hidden="1" x14ac:dyDescent="0.3">
      <c r="A437" s="7" t="s">
        <v>46</v>
      </c>
      <c r="B437" s="6">
        <v>251</v>
      </c>
      <c r="C437" s="7" t="s">
        <v>895</v>
      </c>
      <c r="D437" s="7" t="s">
        <v>998</v>
      </c>
      <c r="E437" s="5"/>
      <c r="F437" s="4"/>
      <c r="G437" s="7" t="s">
        <v>999</v>
      </c>
      <c r="H437" s="5"/>
      <c r="I437" s="7" t="s">
        <v>1000</v>
      </c>
      <c r="J437" s="7" t="s">
        <v>1001</v>
      </c>
      <c r="K437" s="7" t="s">
        <v>24</v>
      </c>
      <c r="L437" s="7" t="s">
        <v>1002</v>
      </c>
      <c r="M437" s="109">
        <v>3679560544</v>
      </c>
      <c r="N437" s="111"/>
      <c r="O437" s="109">
        <v>15000000</v>
      </c>
      <c r="P437" s="110"/>
      <c r="Q437" s="109">
        <f>M437+N437+O437+P437</f>
        <v>3694560544</v>
      </c>
      <c r="R437" s="3">
        <v>3679560544</v>
      </c>
      <c r="S437" s="5"/>
      <c r="T437" s="30">
        <v>15000000</v>
      </c>
      <c r="U437" s="5"/>
      <c r="V437" s="5"/>
      <c r="W437" s="28"/>
      <c r="X437" s="28">
        <f>N437-S437</f>
        <v>0</v>
      </c>
      <c r="Y437" s="28">
        <f>O437-T437</f>
        <v>0</v>
      </c>
      <c r="Z437" s="28">
        <f>P437-U437</f>
        <v>0</v>
      </c>
      <c r="AA437" s="4"/>
      <c r="AB437" s="4"/>
      <c r="AC437">
        <f>IF(AB437=G437,1,2)</f>
        <v>2</v>
      </c>
    </row>
    <row r="438" spans="1:30" customFormat="1" ht="46.8" hidden="1" x14ac:dyDescent="0.3">
      <c r="A438" s="7" t="s">
        <v>53</v>
      </c>
      <c r="B438" s="6">
        <v>252</v>
      </c>
      <c r="C438" s="7" t="s">
        <v>1003</v>
      </c>
      <c r="D438" s="7" t="s">
        <v>1004</v>
      </c>
      <c r="E438" s="5"/>
      <c r="F438" s="4"/>
      <c r="G438" s="7" t="s">
        <v>1005</v>
      </c>
      <c r="H438" s="5"/>
      <c r="I438" s="5"/>
      <c r="J438" s="7" t="s">
        <v>1006</v>
      </c>
      <c r="K438" s="7" t="s">
        <v>24</v>
      </c>
      <c r="L438" s="7" t="s">
        <v>1007</v>
      </c>
      <c r="M438" s="109">
        <v>2768598346</v>
      </c>
      <c r="N438" s="111"/>
      <c r="O438" s="109">
        <v>7500000</v>
      </c>
      <c r="P438" s="110"/>
      <c r="Q438" s="109">
        <f>M438+N438+O438+P438</f>
        <v>2776098346</v>
      </c>
      <c r="R438" s="3">
        <v>2768598346</v>
      </c>
      <c r="S438" s="5"/>
      <c r="T438" s="30">
        <v>7500000</v>
      </c>
      <c r="U438" s="5"/>
      <c r="V438" s="5"/>
      <c r="W438" s="28"/>
      <c r="X438" s="28">
        <f>N438-S438</f>
        <v>0</v>
      </c>
      <c r="Y438" s="28">
        <f>O438-T438</f>
        <v>0</v>
      </c>
      <c r="Z438" s="28">
        <f>P438-U438</f>
        <v>0</v>
      </c>
      <c r="AA438" s="4"/>
      <c r="AB438" s="4"/>
      <c r="AC438">
        <f>IF(AB438=G438,1,2)</f>
        <v>2</v>
      </c>
    </row>
    <row r="439" spans="1:30" customFormat="1" ht="46.8" hidden="1" x14ac:dyDescent="0.3">
      <c r="A439" s="7" t="s">
        <v>53</v>
      </c>
      <c r="B439" s="6">
        <v>253</v>
      </c>
      <c r="C439" s="7" t="s">
        <v>1003</v>
      </c>
      <c r="D439" s="7" t="s">
        <v>1008</v>
      </c>
      <c r="E439" s="5"/>
      <c r="F439" s="4"/>
      <c r="G439" s="7" t="s">
        <v>1009</v>
      </c>
      <c r="H439" s="5"/>
      <c r="I439" s="5"/>
      <c r="J439" s="7" t="s">
        <v>1010</v>
      </c>
      <c r="K439" s="7" t="s">
        <v>24</v>
      </c>
      <c r="L439" s="7" t="s">
        <v>1011</v>
      </c>
      <c r="M439" s="109">
        <v>671801500</v>
      </c>
      <c r="N439" s="111"/>
      <c r="O439" s="109">
        <v>7500000</v>
      </c>
      <c r="P439" s="110"/>
      <c r="Q439" s="109">
        <f>M439+N439+O439+P439</f>
        <v>679301500</v>
      </c>
      <c r="R439" s="3">
        <v>671801500</v>
      </c>
      <c r="S439" s="5"/>
      <c r="T439" s="30">
        <v>7500000</v>
      </c>
      <c r="U439" s="5"/>
      <c r="V439" s="5"/>
      <c r="W439" s="28"/>
      <c r="X439" s="28">
        <f>N439-S439</f>
        <v>0</v>
      </c>
      <c r="Y439" s="28">
        <f>O439-T439</f>
        <v>0</v>
      </c>
      <c r="Z439" s="28">
        <f>P439-U439</f>
        <v>0</v>
      </c>
      <c r="AA439" s="4"/>
      <c r="AB439" s="4"/>
      <c r="AC439">
        <f>IF(AB439=G439,1,2)</f>
        <v>2</v>
      </c>
    </row>
    <row r="440" spans="1:30" customFormat="1" ht="46.8" hidden="1" x14ac:dyDescent="0.3">
      <c r="A440" s="7" t="s">
        <v>53</v>
      </c>
      <c r="B440" s="6">
        <v>254</v>
      </c>
      <c r="C440" s="7" t="s">
        <v>1003</v>
      </c>
      <c r="D440" s="7" t="s">
        <v>1012</v>
      </c>
      <c r="E440" s="5"/>
      <c r="F440" s="4"/>
      <c r="G440" s="7" t="s">
        <v>1013</v>
      </c>
      <c r="H440" s="5"/>
      <c r="I440" s="5"/>
      <c r="J440" s="7" t="s">
        <v>1014</v>
      </c>
      <c r="K440" s="7" t="s">
        <v>24</v>
      </c>
      <c r="L440" s="7" t="s">
        <v>1015</v>
      </c>
      <c r="M440" s="109">
        <v>691241261</v>
      </c>
      <c r="N440" s="111"/>
      <c r="O440" s="109">
        <v>7500000</v>
      </c>
      <c r="P440" s="110"/>
      <c r="Q440" s="109">
        <f>M440+N440+O440+P440</f>
        <v>698741261</v>
      </c>
      <c r="R440" s="3">
        <v>691241261</v>
      </c>
      <c r="S440" s="5"/>
      <c r="T440" s="30">
        <v>7500000</v>
      </c>
      <c r="U440" s="5"/>
      <c r="V440" s="5"/>
      <c r="W440" s="28"/>
      <c r="X440" s="28">
        <f>N440-S440</f>
        <v>0</v>
      </c>
      <c r="Y440" s="28">
        <f>O440-T440</f>
        <v>0</v>
      </c>
      <c r="Z440" s="28">
        <f>P440-U440</f>
        <v>0</v>
      </c>
      <c r="AA440" s="4"/>
      <c r="AB440" s="4"/>
      <c r="AC440">
        <f>IF(AB440=G440,1,2)</f>
        <v>2</v>
      </c>
    </row>
    <row r="441" spans="1:30" customFormat="1" ht="46.8" hidden="1" x14ac:dyDescent="0.3">
      <c r="A441" s="7" t="s">
        <v>46</v>
      </c>
      <c r="B441" s="6">
        <v>255</v>
      </c>
      <c r="C441" s="7" t="s">
        <v>1003</v>
      </c>
      <c r="D441" s="7" t="s">
        <v>1016</v>
      </c>
      <c r="E441" s="5"/>
      <c r="F441" s="4"/>
      <c r="G441" s="7" t="s">
        <v>1017</v>
      </c>
      <c r="H441" s="5"/>
      <c r="I441" s="7" t="s">
        <v>1018</v>
      </c>
      <c r="J441" s="7" t="s">
        <v>1019</v>
      </c>
      <c r="K441" s="7" t="s">
        <v>24</v>
      </c>
      <c r="L441" s="7" t="s">
        <v>1020</v>
      </c>
      <c r="M441" s="109">
        <v>6226631799</v>
      </c>
      <c r="N441" s="111"/>
      <c r="O441" s="109">
        <v>15000000</v>
      </c>
      <c r="P441" s="110"/>
      <c r="Q441" s="109">
        <f>M441+N441+O441+P441</f>
        <v>6241631799</v>
      </c>
      <c r="R441" s="3">
        <v>6226631799</v>
      </c>
      <c r="S441" s="5"/>
      <c r="T441" s="30">
        <v>15000000</v>
      </c>
      <c r="U441" s="5"/>
      <c r="V441" s="5"/>
      <c r="W441" s="28"/>
      <c r="X441" s="28">
        <f>N441-S441</f>
        <v>0</v>
      </c>
      <c r="Y441" s="28">
        <f>O441-T441</f>
        <v>0</v>
      </c>
      <c r="Z441" s="28">
        <f>P441-U441</f>
        <v>0</v>
      </c>
      <c r="AA441" s="4"/>
      <c r="AB441" s="4"/>
      <c r="AC441">
        <f>IF(AB441=G441,1,2)</f>
        <v>2</v>
      </c>
    </row>
    <row r="442" spans="1:30" customFormat="1" ht="46.8" hidden="1" x14ac:dyDescent="0.3">
      <c r="A442" s="7" t="s">
        <v>53</v>
      </c>
      <c r="B442" s="6">
        <v>257</v>
      </c>
      <c r="C442" s="7" t="s">
        <v>1003</v>
      </c>
      <c r="D442" s="7" t="s">
        <v>1026</v>
      </c>
      <c r="E442" s="5"/>
      <c r="F442" s="4"/>
      <c r="G442" s="7" t="s">
        <v>1027</v>
      </c>
      <c r="H442" s="5"/>
      <c r="I442" s="5"/>
      <c r="J442" s="7" t="s">
        <v>1028</v>
      </c>
      <c r="K442" s="7" t="s">
        <v>24</v>
      </c>
      <c r="L442" s="7" t="s">
        <v>1029</v>
      </c>
      <c r="M442" s="109">
        <v>1052260732</v>
      </c>
      <c r="N442" s="111"/>
      <c r="O442" s="109">
        <v>15000000</v>
      </c>
      <c r="P442" s="110"/>
      <c r="Q442" s="109">
        <f>M442+N442+O442+P442</f>
        <v>1067260732</v>
      </c>
      <c r="R442" s="3">
        <v>1052260732</v>
      </c>
      <c r="S442" s="5"/>
      <c r="T442" s="30">
        <v>15000000</v>
      </c>
      <c r="U442" s="5"/>
      <c r="V442" s="5"/>
      <c r="W442" s="28"/>
      <c r="X442" s="28">
        <f>N442-S442</f>
        <v>0</v>
      </c>
      <c r="Y442" s="28">
        <f>O442-T442</f>
        <v>0</v>
      </c>
      <c r="Z442" s="28">
        <f>P442-U442</f>
        <v>0</v>
      </c>
      <c r="AA442" s="4"/>
      <c r="AB442" s="4"/>
      <c r="AC442">
        <f>IF(AB442=G442,1,2)</f>
        <v>2</v>
      </c>
    </row>
    <row r="443" spans="1:30" customFormat="1" ht="46.8" hidden="1" x14ac:dyDescent="0.3">
      <c r="A443" s="7" t="s">
        <v>53</v>
      </c>
      <c r="B443" s="6">
        <v>258</v>
      </c>
      <c r="C443" s="7" t="s">
        <v>1003</v>
      </c>
      <c r="D443" s="7" t="s">
        <v>1030</v>
      </c>
      <c r="E443" s="7" t="s">
        <v>1031</v>
      </c>
      <c r="F443" s="4"/>
      <c r="G443" s="7" t="s">
        <v>1032</v>
      </c>
      <c r="H443" s="7"/>
      <c r="I443" s="7"/>
      <c r="J443" s="7" t="s">
        <v>1033</v>
      </c>
      <c r="K443" s="7" t="s">
        <v>24</v>
      </c>
      <c r="L443" s="7" t="s">
        <v>109</v>
      </c>
      <c r="M443" s="109">
        <v>10000000</v>
      </c>
      <c r="N443" s="109">
        <v>1123847280</v>
      </c>
      <c r="O443" s="109">
        <v>15000000</v>
      </c>
      <c r="P443" s="110"/>
      <c r="Q443" s="109">
        <f>M443+N443+O443+P443</f>
        <v>1148847280</v>
      </c>
      <c r="R443" s="3">
        <v>10000000</v>
      </c>
      <c r="S443" s="3">
        <v>1123847280</v>
      </c>
      <c r="T443" s="72"/>
      <c r="U443" s="5"/>
      <c r="V443" s="5"/>
      <c r="W443" s="28"/>
      <c r="X443" s="28">
        <f>N443-S443</f>
        <v>0</v>
      </c>
      <c r="Y443" s="36">
        <f>O443-T443</f>
        <v>15000000</v>
      </c>
      <c r="Z443" s="28">
        <f>P443-U443</f>
        <v>0</v>
      </c>
      <c r="AA443" s="4"/>
      <c r="AB443" s="40"/>
      <c r="AC443" s="121">
        <f>IF(AB443=G443,1,2)</f>
        <v>2</v>
      </c>
      <c r="AD443" s="121"/>
    </row>
    <row r="444" spans="1:30" customFormat="1" ht="46.8" hidden="1" x14ac:dyDescent="0.3">
      <c r="A444" s="7" t="s">
        <v>46</v>
      </c>
      <c r="B444" s="6">
        <v>259</v>
      </c>
      <c r="C444" s="7" t="s">
        <v>1003</v>
      </c>
      <c r="D444" s="7" t="s">
        <v>1034</v>
      </c>
      <c r="E444" s="5"/>
      <c r="F444" s="4"/>
      <c r="G444" s="7" t="s">
        <v>1035</v>
      </c>
      <c r="H444" s="5"/>
      <c r="I444" s="5"/>
      <c r="J444" s="7" t="s">
        <v>1036</v>
      </c>
      <c r="K444" s="7" t="s">
        <v>24</v>
      </c>
      <c r="L444" s="7" t="s">
        <v>1037</v>
      </c>
      <c r="M444" s="109">
        <v>2010547710</v>
      </c>
      <c r="N444" s="111"/>
      <c r="O444" s="109">
        <v>7500000</v>
      </c>
      <c r="P444" s="110"/>
      <c r="Q444" s="109">
        <f>M444+N444+O444+P444</f>
        <v>2018047710</v>
      </c>
      <c r="R444" s="3">
        <v>2010547710</v>
      </c>
      <c r="S444" s="5"/>
      <c r="T444" s="30">
        <v>7500000</v>
      </c>
      <c r="U444" s="5"/>
      <c r="V444" s="5"/>
      <c r="W444" s="28"/>
      <c r="X444" s="28">
        <f>N444-S444</f>
        <v>0</v>
      </c>
      <c r="Y444" s="28">
        <f>O444-T444</f>
        <v>0</v>
      </c>
      <c r="Z444" s="28">
        <f>P444-U444</f>
        <v>0</v>
      </c>
      <c r="AA444" s="4"/>
      <c r="AB444" s="4"/>
      <c r="AC444">
        <f>IF(AB444=G444,1,2)</f>
        <v>2</v>
      </c>
    </row>
    <row r="445" spans="1:30" customFormat="1" ht="31.2" hidden="1" x14ac:dyDescent="0.3">
      <c r="A445" s="7" t="s">
        <v>62</v>
      </c>
      <c r="B445" s="6">
        <v>260</v>
      </c>
      <c r="C445" s="7" t="s">
        <v>1038</v>
      </c>
      <c r="D445" s="7" t="s">
        <v>1039</v>
      </c>
      <c r="E445" s="7"/>
      <c r="F445" s="4"/>
      <c r="G445" s="7" t="s">
        <v>1040</v>
      </c>
      <c r="H445" s="7"/>
      <c r="I445" s="7"/>
      <c r="J445" s="7" t="s">
        <v>1041</v>
      </c>
      <c r="K445" s="7" t="s">
        <v>24</v>
      </c>
      <c r="L445" s="7" t="s">
        <v>1042</v>
      </c>
      <c r="M445" s="109">
        <v>3081534920</v>
      </c>
      <c r="N445" s="111"/>
      <c r="O445" s="109">
        <v>7500000</v>
      </c>
      <c r="P445" s="110"/>
      <c r="Q445" s="109">
        <f>M445+N445+O445+P445</f>
        <v>3089034920</v>
      </c>
      <c r="R445" s="3">
        <v>3081534920</v>
      </c>
      <c r="S445" s="5"/>
      <c r="T445" s="72"/>
      <c r="U445" s="5"/>
      <c r="V445" s="5"/>
      <c r="W445" s="28"/>
      <c r="X445" s="28">
        <f>N445-S445</f>
        <v>0</v>
      </c>
      <c r="Y445" s="36">
        <f>O445-T445</f>
        <v>7500000</v>
      </c>
      <c r="Z445" s="28">
        <f>P445-U445</f>
        <v>0</v>
      </c>
      <c r="AA445" s="4"/>
      <c r="AB445" s="40"/>
      <c r="AC445" s="121">
        <f>IF(AB445=G445,1,2)</f>
        <v>2</v>
      </c>
      <c r="AD445" s="121"/>
    </row>
    <row r="446" spans="1:30" customFormat="1" ht="31.2" hidden="1" x14ac:dyDescent="0.3">
      <c r="A446" s="41" t="s">
        <v>46</v>
      </c>
      <c r="B446" s="6">
        <v>261</v>
      </c>
      <c r="C446" s="41" t="s">
        <v>1038</v>
      </c>
      <c r="D446" s="41" t="s">
        <v>1043</v>
      </c>
      <c r="E446" s="5"/>
      <c r="F446" s="4"/>
      <c r="G446" s="41" t="s">
        <v>1044</v>
      </c>
      <c r="H446" s="5"/>
      <c r="I446" s="5"/>
      <c r="J446" s="41" t="s">
        <v>1045</v>
      </c>
      <c r="K446" s="41" t="s">
        <v>24</v>
      </c>
      <c r="L446" s="41" t="s">
        <v>1046</v>
      </c>
      <c r="M446" s="113">
        <v>10000000</v>
      </c>
      <c r="N446" s="111"/>
      <c r="O446" s="113">
        <v>15000000</v>
      </c>
      <c r="P446" s="110"/>
      <c r="Q446" s="109">
        <f>M446+N446+O446+P446</f>
        <v>25000000</v>
      </c>
      <c r="R446" s="9">
        <v>10000000</v>
      </c>
      <c r="S446" s="5"/>
      <c r="T446" s="32">
        <v>15000000</v>
      </c>
      <c r="U446" s="5"/>
      <c r="V446" s="5"/>
      <c r="W446" s="28"/>
      <c r="X446" s="28">
        <f>N446-S446</f>
        <v>0</v>
      </c>
      <c r="Y446" s="28">
        <f>O446-T446</f>
        <v>0</v>
      </c>
      <c r="Z446" s="28">
        <f>P446-U446</f>
        <v>0</v>
      </c>
      <c r="AA446" s="4"/>
      <c r="AB446" s="4"/>
      <c r="AC446">
        <f>IF(AB446=G446,1,2)</f>
        <v>2</v>
      </c>
    </row>
    <row r="447" spans="1:30" customFormat="1" ht="31.2" hidden="1" x14ac:dyDescent="0.3">
      <c r="A447" s="7" t="s">
        <v>62</v>
      </c>
      <c r="B447" s="6">
        <v>262</v>
      </c>
      <c r="C447" s="7" t="s">
        <v>1038</v>
      </c>
      <c r="D447" s="7" t="s">
        <v>1047</v>
      </c>
      <c r="E447" s="5"/>
      <c r="F447" s="4"/>
      <c r="G447" s="7" t="s">
        <v>1048</v>
      </c>
      <c r="H447" s="5"/>
      <c r="I447" s="5"/>
      <c r="J447" s="7" t="s">
        <v>1049</v>
      </c>
      <c r="K447" s="7" t="s">
        <v>24</v>
      </c>
      <c r="L447" s="7" t="s">
        <v>1050</v>
      </c>
      <c r="M447" s="109">
        <v>3066157800</v>
      </c>
      <c r="N447" s="111"/>
      <c r="O447" s="109">
        <v>7500000</v>
      </c>
      <c r="P447" s="110"/>
      <c r="Q447" s="109">
        <f>M447+N447+O447+P447</f>
        <v>3073657800</v>
      </c>
      <c r="R447" s="3">
        <v>3066157800</v>
      </c>
      <c r="S447" s="5"/>
      <c r="T447" s="30">
        <v>7500000</v>
      </c>
      <c r="U447" s="5"/>
      <c r="V447" s="5"/>
      <c r="W447" s="28"/>
      <c r="X447" s="28">
        <f>N447-S447</f>
        <v>0</v>
      </c>
      <c r="Y447" s="28">
        <f>O447-T447</f>
        <v>0</v>
      </c>
      <c r="Z447" s="28">
        <f>P447-U447</f>
        <v>0</v>
      </c>
      <c r="AA447" s="4"/>
      <c r="AB447" s="4"/>
      <c r="AC447">
        <f>IF(AB447=G447,1,2)</f>
        <v>2</v>
      </c>
    </row>
    <row r="448" spans="1:30" customFormat="1" ht="31.2" hidden="1" x14ac:dyDescent="0.3">
      <c r="A448" s="7" t="s">
        <v>62</v>
      </c>
      <c r="B448" s="6">
        <v>263</v>
      </c>
      <c r="C448" s="7" t="s">
        <v>1038</v>
      </c>
      <c r="D448" s="7" t="s">
        <v>1051</v>
      </c>
      <c r="E448" s="5"/>
      <c r="F448" s="4"/>
      <c r="G448" s="7" t="s">
        <v>1052</v>
      </c>
      <c r="H448" s="5"/>
      <c r="I448" s="5"/>
      <c r="J448" s="7" t="s">
        <v>1053</v>
      </c>
      <c r="K448" s="7" t="s">
        <v>24</v>
      </c>
      <c r="L448" s="7" t="s">
        <v>660</v>
      </c>
      <c r="M448" s="109">
        <v>6936573600</v>
      </c>
      <c r="N448" s="111"/>
      <c r="O448" s="109">
        <v>7500000</v>
      </c>
      <c r="P448" s="110"/>
      <c r="Q448" s="109">
        <f>M448+N448+O448+P448</f>
        <v>6944073600</v>
      </c>
      <c r="R448" s="3">
        <v>6936573600</v>
      </c>
      <c r="S448" s="5"/>
      <c r="T448" s="31">
        <v>7500000</v>
      </c>
      <c r="U448" s="5"/>
      <c r="V448" s="5"/>
      <c r="W448" s="28"/>
      <c r="X448" s="28">
        <f>N448-S448</f>
        <v>0</v>
      </c>
      <c r="Y448" s="28">
        <f>O448-T448</f>
        <v>0</v>
      </c>
      <c r="Z448" s="28">
        <f>P448-U448</f>
        <v>0</v>
      </c>
      <c r="AA448" s="4"/>
      <c r="AB448" s="4"/>
      <c r="AC448">
        <f>IF(AB448=G448,1,2)</f>
        <v>2</v>
      </c>
    </row>
    <row r="449" spans="1:30" customFormat="1" ht="46.8" hidden="1" x14ac:dyDescent="0.3">
      <c r="A449" s="7" t="s">
        <v>62</v>
      </c>
      <c r="B449" s="6">
        <v>264</v>
      </c>
      <c r="C449" s="7" t="s">
        <v>1038</v>
      </c>
      <c r="D449" s="7" t="s">
        <v>1054</v>
      </c>
      <c r="E449" s="5"/>
      <c r="F449" s="4"/>
      <c r="G449" s="7" t="s">
        <v>1055</v>
      </c>
      <c r="H449" s="5"/>
      <c r="I449" s="5"/>
      <c r="J449" s="7" t="s">
        <v>1056</v>
      </c>
      <c r="K449" s="7" t="s">
        <v>24</v>
      </c>
      <c r="L449" s="7" t="s">
        <v>1057</v>
      </c>
      <c r="M449" s="109">
        <v>3906644000</v>
      </c>
      <c r="N449" s="111"/>
      <c r="O449" s="109">
        <v>7500000</v>
      </c>
      <c r="P449" s="110"/>
      <c r="Q449" s="109">
        <f>M449+N449+O449+P449</f>
        <v>3914144000</v>
      </c>
      <c r="R449" s="3">
        <v>3906644000</v>
      </c>
      <c r="S449" s="5"/>
      <c r="T449" s="30">
        <v>7500000</v>
      </c>
      <c r="U449" s="5"/>
      <c r="V449" s="5"/>
      <c r="W449" s="28"/>
      <c r="X449" s="28">
        <f>N449-S449</f>
        <v>0</v>
      </c>
      <c r="Y449" s="28">
        <f>O449-T449</f>
        <v>0</v>
      </c>
      <c r="Z449" s="28">
        <f>P449-U449</f>
        <v>0</v>
      </c>
      <c r="AA449" s="4"/>
      <c r="AB449" s="4"/>
      <c r="AC449">
        <f>IF(AB449=G449,1,2)</f>
        <v>2</v>
      </c>
    </row>
    <row r="450" spans="1:30" customFormat="1" ht="31.2" hidden="1" x14ac:dyDescent="0.3">
      <c r="A450" s="7" t="s">
        <v>62</v>
      </c>
      <c r="B450" s="6">
        <v>265</v>
      </c>
      <c r="C450" s="7" t="s">
        <v>1038</v>
      </c>
      <c r="D450" s="7" t="s">
        <v>1058</v>
      </c>
      <c r="E450" s="7" t="s">
        <v>389</v>
      </c>
      <c r="F450" s="4"/>
      <c r="G450" s="7" t="s">
        <v>1059</v>
      </c>
      <c r="H450" s="7" t="s">
        <v>1060</v>
      </c>
      <c r="I450" s="5"/>
      <c r="J450" s="7" t="s">
        <v>1061</v>
      </c>
      <c r="K450" s="7" t="s">
        <v>24</v>
      </c>
      <c r="L450" s="7" t="s">
        <v>1062</v>
      </c>
      <c r="M450" s="109">
        <v>1851531912</v>
      </c>
      <c r="N450" s="109">
        <v>220049280</v>
      </c>
      <c r="O450" s="109">
        <v>15000000</v>
      </c>
      <c r="P450" s="110"/>
      <c r="Q450" s="109">
        <f>M450+N450+O450+P450</f>
        <v>2086581192</v>
      </c>
      <c r="R450" s="3">
        <v>1851531912</v>
      </c>
      <c r="S450" s="3">
        <v>220049280</v>
      </c>
      <c r="T450" s="30">
        <v>15000000</v>
      </c>
      <c r="U450" s="5"/>
      <c r="V450" s="5"/>
      <c r="W450" s="28"/>
      <c r="X450" s="28">
        <f>N450-S450</f>
        <v>0</v>
      </c>
      <c r="Y450" s="28">
        <f>O450-T450</f>
        <v>0</v>
      </c>
      <c r="Z450" s="28">
        <f>P450-U450</f>
        <v>0</v>
      </c>
      <c r="AA450" s="4"/>
      <c r="AB450" s="4"/>
      <c r="AC450">
        <f>IF(AB450=G450,1,2)</f>
        <v>2</v>
      </c>
    </row>
    <row r="451" spans="1:30" customFormat="1" ht="78" hidden="1" customHeight="1" x14ac:dyDescent="0.3">
      <c r="A451" s="7" t="s">
        <v>62</v>
      </c>
      <c r="B451" s="6">
        <v>266</v>
      </c>
      <c r="C451" s="7" t="s">
        <v>1038</v>
      </c>
      <c r="D451" s="7" t="s">
        <v>1063</v>
      </c>
      <c r="E451" s="7" t="s">
        <v>259</v>
      </c>
      <c r="F451" s="4"/>
      <c r="G451" s="7" t="s">
        <v>1064</v>
      </c>
      <c r="H451" s="7" t="s">
        <v>810</v>
      </c>
      <c r="I451" s="5"/>
      <c r="J451" s="7" t="s">
        <v>1065</v>
      </c>
      <c r="K451" s="7" t="s">
        <v>24</v>
      </c>
      <c r="L451" s="7" t="s">
        <v>1066</v>
      </c>
      <c r="M451" s="109">
        <v>4181618839</v>
      </c>
      <c r="N451" s="109">
        <v>765880262</v>
      </c>
      <c r="O451" s="113">
        <v>15000000</v>
      </c>
      <c r="P451" s="110"/>
      <c r="Q451" s="109">
        <f>M451+N451+O451+P451</f>
        <v>4962499101</v>
      </c>
      <c r="R451" s="3">
        <v>4181618839</v>
      </c>
      <c r="S451" s="3">
        <v>765880262</v>
      </c>
      <c r="T451" s="30">
        <v>15000000</v>
      </c>
      <c r="U451" s="5"/>
      <c r="V451" s="5"/>
      <c r="W451" s="28"/>
      <c r="X451" s="28">
        <f>N451-S451</f>
        <v>0</v>
      </c>
      <c r="Y451" s="28">
        <f>O451-T451</f>
        <v>0</v>
      </c>
      <c r="Z451" s="28">
        <f>P451-U451</f>
        <v>0</v>
      </c>
      <c r="AA451" s="4"/>
      <c r="AB451" s="4"/>
      <c r="AC451">
        <f>IF(AB451=G451,1,2)</f>
        <v>2</v>
      </c>
    </row>
    <row r="452" spans="1:30" customFormat="1" ht="78" hidden="1" customHeight="1" x14ac:dyDescent="0.3">
      <c r="A452" s="7" t="s">
        <v>62</v>
      </c>
      <c r="B452" s="6">
        <v>267</v>
      </c>
      <c r="C452" s="7" t="s">
        <v>1038</v>
      </c>
      <c r="D452" s="7" t="s">
        <v>1067</v>
      </c>
      <c r="E452" s="7" t="s">
        <v>389</v>
      </c>
      <c r="F452" s="4"/>
      <c r="G452" s="7" t="s">
        <v>1068</v>
      </c>
      <c r="H452" s="7" t="s">
        <v>1069</v>
      </c>
      <c r="I452" s="5"/>
      <c r="J452" s="7" t="s">
        <v>1070</v>
      </c>
      <c r="K452" s="7" t="s">
        <v>24</v>
      </c>
      <c r="L452" s="7" t="s">
        <v>1071</v>
      </c>
      <c r="M452" s="109">
        <v>1794046036</v>
      </c>
      <c r="N452" s="109">
        <v>186223104</v>
      </c>
      <c r="O452" s="109">
        <v>15000000</v>
      </c>
      <c r="P452" s="110"/>
      <c r="Q452" s="109">
        <f>M452+N452+O452+P452</f>
        <v>1995269140</v>
      </c>
      <c r="R452" s="3">
        <v>1794046036</v>
      </c>
      <c r="S452" s="3">
        <v>186223104</v>
      </c>
      <c r="T452" s="30">
        <v>15000000</v>
      </c>
      <c r="U452" s="5"/>
      <c r="V452" s="5"/>
      <c r="W452" s="28"/>
      <c r="X452" s="28">
        <f>N452-S452</f>
        <v>0</v>
      </c>
      <c r="Y452" s="28">
        <f>O452-T452</f>
        <v>0</v>
      </c>
      <c r="Z452" s="28">
        <f>P452-U452</f>
        <v>0</v>
      </c>
      <c r="AA452" s="4"/>
      <c r="AB452" s="4"/>
      <c r="AC452">
        <f>IF(AB452=G452,1,2)</f>
        <v>2</v>
      </c>
    </row>
    <row r="453" spans="1:30" customFormat="1" ht="46.8" hidden="1" x14ac:dyDescent="0.3">
      <c r="A453" s="7" t="s">
        <v>53</v>
      </c>
      <c r="B453" s="6">
        <v>269</v>
      </c>
      <c r="C453" s="7" t="s">
        <v>1077</v>
      </c>
      <c r="D453" s="7" t="s">
        <v>1078</v>
      </c>
      <c r="E453" s="5"/>
      <c r="F453" s="4"/>
      <c r="G453" s="7" t="s">
        <v>1079</v>
      </c>
      <c r="H453" s="5"/>
      <c r="I453" s="5"/>
      <c r="J453" s="7" t="s">
        <v>1080</v>
      </c>
      <c r="K453" s="7" t="s">
        <v>24</v>
      </c>
      <c r="L453" s="7" t="s">
        <v>1081</v>
      </c>
      <c r="M453" s="109">
        <v>6717999850</v>
      </c>
      <c r="N453" s="111"/>
      <c r="O453" s="109">
        <v>15000000</v>
      </c>
      <c r="P453" s="110"/>
      <c r="Q453" s="109">
        <f>M453+N453+O453+P453</f>
        <v>6732999850</v>
      </c>
      <c r="R453" s="3">
        <v>6717999850</v>
      </c>
      <c r="S453" s="5"/>
      <c r="T453" s="30">
        <v>15000000</v>
      </c>
      <c r="U453" s="5"/>
      <c r="V453" s="5"/>
      <c r="W453" s="28"/>
      <c r="X453" s="28">
        <f>N453-S453</f>
        <v>0</v>
      </c>
      <c r="Y453" s="28">
        <f>O453-T453</f>
        <v>0</v>
      </c>
      <c r="Z453" s="28">
        <f>P453-U453</f>
        <v>0</v>
      </c>
      <c r="AA453" s="4"/>
      <c r="AB453" s="4"/>
      <c r="AC453">
        <f>IF(AB453=G453,1,2)</f>
        <v>2</v>
      </c>
    </row>
    <row r="454" spans="1:30" customFormat="1" ht="46.8" hidden="1" x14ac:dyDescent="0.3">
      <c r="A454" s="7" t="s">
        <v>62</v>
      </c>
      <c r="B454" s="6">
        <v>271</v>
      </c>
      <c r="C454" s="7" t="s">
        <v>1077</v>
      </c>
      <c r="D454" s="7" t="s">
        <v>1089</v>
      </c>
      <c r="E454" s="5"/>
      <c r="F454" s="4"/>
      <c r="G454" s="7" t="s">
        <v>1090</v>
      </c>
      <c r="H454" s="5"/>
      <c r="I454" s="5"/>
      <c r="J454" s="7" t="s">
        <v>1091</v>
      </c>
      <c r="K454" s="7" t="s">
        <v>24</v>
      </c>
      <c r="L454" s="7" t="s">
        <v>1092</v>
      </c>
      <c r="M454" s="109">
        <v>1566048680</v>
      </c>
      <c r="N454" s="111"/>
      <c r="O454" s="109">
        <v>7500000</v>
      </c>
      <c r="P454" s="110"/>
      <c r="Q454" s="109">
        <f>M454+N454+O454+P454</f>
        <v>1573548680</v>
      </c>
      <c r="R454" s="3">
        <v>1566048680</v>
      </c>
      <c r="S454" s="5"/>
      <c r="T454" s="30">
        <v>7500000</v>
      </c>
      <c r="U454" s="5"/>
      <c r="V454" s="5"/>
      <c r="W454" s="28"/>
      <c r="X454" s="28">
        <f>N454-S454</f>
        <v>0</v>
      </c>
      <c r="Y454" s="28">
        <f>O454-T454</f>
        <v>0</v>
      </c>
      <c r="Z454" s="28">
        <f>P454-U454</f>
        <v>0</v>
      </c>
      <c r="AA454" s="4"/>
      <c r="AB454" s="4"/>
      <c r="AC454">
        <f>IF(AB454=G454,1,2)</f>
        <v>2</v>
      </c>
    </row>
    <row r="455" spans="1:30" customFormat="1" ht="31.2" hidden="1" x14ac:dyDescent="0.3">
      <c r="A455" s="7" t="s">
        <v>62</v>
      </c>
      <c r="B455" s="6">
        <v>272</v>
      </c>
      <c r="C455" s="7" t="s">
        <v>1077</v>
      </c>
      <c r="D455" s="7" t="s">
        <v>1093</v>
      </c>
      <c r="E455" s="5"/>
      <c r="F455" s="4"/>
      <c r="G455" s="7" t="s">
        <v>1094</v>
      </c>
      <c r="H455" s="5"/>
      <c r="I455" s="5"/>
      <c r="J455" s="7" t="s">
        <v>1095</v>
      </c>
      <c r="K455" s="7" t="s">
        <v>24</v>
      </c>
      <c r="L455" s="7" t="s">
        <v>1096</v>
      </c>
      <c r="M455" s="109">
        <v>1991452760</v>
      </c>
      <c r="N455" s="111"/>
      <c r="O455" s="109">
        <v>7500000</v>
      </c>
      <c r="P455" s="110"/>
      <c r="Q455" s="109">
        <f>M455+N455+O455+P455</f>
        <v>1998952760</v>
      </c>
      <c r="R455" s="3">
        <v>1991452760</v>
      </c>
      <c r="S455" s="5"/>
      <c r="T455" s="30">
        <v>7500000</v>
      </c>
      <c r="U455" s="5"/>
      <c r="V455" s="5"/>
      <c r="W455" s="28"/>
      <c r="X455" s="28">
        <f>N455-S455</f>
        <v>0</v>
      </c>
      <c r="Y455" s="28">
        <f>O455-T455</f>
        <v>0</v>
      </c>
      <c r="Z455" s="28">
        <f>P455-U455</f>
        <v>0</v>
      </c>
      <c r="AA455" s="4"/>
      <c r="AB455" s="4"/>
      <c r="AC455">
        <f>IF(AB455=G455,1,2)</f>
        <v>2</v>
      </c>
    </row>
    <row r="456" spans="1:30" customFormat="1" ht="62.4" hidden="1" x14ac:dyDescent="0.3">
      <c r="A456" s="7" t="s">
        <v>62</v>
      </c>
      <c r="B456" s="6">
        <v>273</v>
      </c>
      <c r="C456" s="7" t="s">
        <v>1077</v>
      </c>
      <c r="D456" s="7" t="s">
        <v>1097</v>
      </c>
      <c r="E456" s="5"/>
      <c r="F456" s="4"/>
      <c r="G456" s="7" t="s">
        <v>1098</v>
      </c>
      <c r="H456" s="5"/>
      <c r="I456" s="5"/>
      <c r="J456" s="7" t="s">
        <v>1099</v>
      </c>
      <c r="K456" s="7" t="s">
        <v>24</v>
      </c>
      <c r="L456" s="7" t="s">
        <v>1100</v>
      </c>
      <c r="M456" s="109">
        <v>174451100</v>
      </c>
      <c r="N456" s="111"/>
      <c r="O456" s="109">
        <v>7500000</v>
      </c>
      <c r="P456" s="110"/>
      <c r="Q456" s="109">
        <f>M456+N456+O456+P456</f>
        <v>181951100</v>
      </c>
      <c r="R456" s="3">
        <v>174451100</v>
      </c>
      <c r="S456" s="5"/>
      <c r="T456" s="30">
        <v>7500000</v>
      </c>
      <c r="U456" s="5"/>
      <c r="V456" s="5"/>
      <c r="W456" s="28"/>
      <c r="X456" s="28">
        <f>N456-S456</f>
        <v>0</v>
      </c>
      <c r="Y456" s="28">
        <f>O456-T456</f>
        <v>0</v>
      </c>
      <c r="Z456" s="28">
        <f>P456-U456</f>
        <v>0</v>
      </c>
      <c r="AA456" s="4"/>
      <c r="AB456" s="4"/>
      <c r="AC456">
        <f>IF(AB456=G456,1,2)</f>
        <v>2</v>
      </c>
    </row>
    <row r="457" spans="1:30" customFormat="1" ht="46.8" hidden="1" x14ac:dyDescent="0.3">
      <c r="A457" s="7" t="s">
        <v>46</v>
      </c>
      <c r="B457" s="6">
        <v>274</v>
      </c>
      <c r="C457" s="7" t="s">
        <v>1077</v>
      </c>
      <c r="D457" s="7" t="s">
        <v>1101</v>
      </c>
      <c r="E457" s="5"/>
      <c r="F457" s="4"/>
      <c r="G457" s="7" t="s">
        <v>1102</v>
      </c>
      <c r="H457" s="5"/>
      <c r="I457" s="5"/>
      <c r="J457" s="7" t="s">
        <v>1103</v>
      </c>
      <c r="K457" s="7" t="s">
        <v>24</v>
      </c>
      <c r="L457" s="7" t="s">
        <v>1104</v>
      </c>
      <c r="M457" s="109">
        <v>2784971220</v>
      </c>
      <c r="N457" s="111"/>
      <c r="O457" s="109">
        <v>7500000</v>
      </c>
      <c r="P457" s="110"/>
      <c r="Q457" s="109">
        <f>M457+N457+O457+P457</f>
        <v>2792471220</v>
      </c>
      <c r="R457" s="3">
        <v>2784971220</v>
      </c>
      <c r="S457" s="5"/>
      <c r="T457" s="30">
        <v>7500000</v>
      </c>
      <c r="U457" s="5"/>
      <c r="V457" s="5"/>
      <c r="W457" s="28"/>
      <c r="X457" s="28">
        <f>N457-S457</f>
        <v>0</v>
      </c>
      <c r="Y457" s="28">
        <f>O457-T457</f>
        <v>0</v>
      </c>
      <c r="Z457" s="28">
        <f>P457-U457</f>
        <v>0</v>
      </c>
      <c r="AA457" s="4"/>
      <c r="AB457" s="4"/>
      <c r="AC457">
        <f>IF(AB457=G457,1,2)</f>
        <v>2</v>
      </c>
    </row>
    <row r="458" spans="1:30" customFormat="1" ht="46.8" hidden="1" x14ac:dyDescent="0.3">
      <c r="A458" s="7" t="s">
        <v>46</v>
      </c>
      <c r="B458" s="6">
        <v>275</v>
      </c>
      <c r="C458" s="7" t="s">
        <v>1077</v>
      </c>
      <c r="D458" s="7" t="s">
        <v>1105</v>
      </c>
      <c r="E458" s="7" t="s">
        <v>1106</v>
      </c>
      <c r="F458" s="4"/>
      <c r="G458" s="7" t="s">
        <v>1107</v>
      </c>
      <c r="H458" s="7" t="s">
        <v>1108</v>
      </c>
      <c r="I458" s="5"/>
      <c r="J458" s="7" t="s">
        <v>1109</v>
      </c>
      <c r="K458" s="7" t="s">
        <v>24</v>
      </c>
      <c r="L458" s="7" t="s">
        <v>1110</v>
      </c>
      <c r="M458" s="109">
        <v>4232294940</v>
      </c>
      <c r="N458" s="109">
        <v>752539900</v>
      </c>
      <c r="O458" s="109">
        <v>7500000</v>
      </c>
      <c r="P458" s="110"/>
      <c r="Q458" s="109">
        <f>M458+N458+O458+P458</f>
        <v>4992334840</v>
      </c>
      <c r="R458" s="3">
        <v>4232294940</v>
      </c>
      <c r="S458" s="3">
        <v>752539900</v>
      </c>
      <c r="T458" s="30">
        <v>7500000</v>
      </c>
      <c r="U458" s="5"/>
      <c r="V458" s="5"/>
      <c r="W458" s="28"/>
      <c r="X458" s="28">
        <f>N458-S458</f>
        <v>0</v>
      </c>
      <c r="Y458" s="28">
        <f>O458-T458</f>
        <v>0</v>
      </c>
      <c r="Z458" s="28">
        <f>P458-U458</f>
        <v>0</v>
      </c>
      <c r="AA458" s="4"/>
      <c r="AB458" s="4"/>
      <c r="AC458">
        <f>IF(AB458=G458,1,2)</f>
        <v>2</v>
      </c>
    </row>
    <row r="459" spans="1:30" customFormat="1" ht="46.8" hidden="1" x14ac:dyDescent="0.3">
      <c r="A459" s="7" t="s">
        <v>46</v>
      </c>
      <c r="B459" s="6">
        <v>276</v>
      </c>
      <c r="C459" s="7" t="s">
        <v>1077</v>
      </c>
      <c r="D459" s="7" t="s">
        <v>1111</v>
      </c>
      <c r="E459" s="5"/>
      <c r="F459" s="4"/>
      <c r="G459" s="7" t="s">
        <v>1112</v>
      </c>
      <c r="H459" s="5"/>
      <c r="I459" s="5"/>
      <c r="J459" s="7" t="s">
        <v>1113</v>
      </c>
      <c r="K459" s="7" t="s">
        <v>24</v>
      </c>
      <c r="L459" s="7" t="s">
        <v>1114</v>
      </c>
      <c r="M459" s="109">
        <v>3383352800</v>
      </c>
      <c r="N459" s="111"/>
      <c r="O459" s="109">
        <v>7500000</v>
      </c>
      <c r="P459" s="110"/>
      <c r="Q459" s="109">
        <f>M459+N459+O459+P459</f>
        <v>3390852800</v>
      </c>
      <c r="R459" s="3">
        <v>3383352800</v>
      </c>
      <c r="S459" s="5"/>
      <c r="T459" s="30">
        <v>7500000</v>
      </c>
      <c r="U459" s="5"/>
      <c r="V459" s="5"/>
      <c r="W459" s="28"/>
      <c r="X459" s="28">
        <f>N459-S459</f>
        <v>0</v>
      </c>
      <c r="Y459" s="28">
        <f>O459-T459</f>
        <v>0</v>
      </c>
      <c r="Z459" s="28">
        <f>P459-U459</f>
        <v>0</v>
      </c>
      <c r="AA459" s="4"/>
      <c r="AB459" s="4"/>
      <c r="AC459">
        <f>IF(AB459=G459,1,2)</f>
        <v>2</v>
      </c>
    </row>
    <row r="460" spans="1:30" customFormat="1" ht="46.8" hidden="1" x14ac:dyDescent="0.3">
      <c r="A460" s="7" t="s">
        <v>18</v>
      </c>
      <c r="B460" s="6">
        <v>278</v>
      </c>
      <c r="C460" s="7" t="s">
        <v>1077</v>
      </c>
      <c r="D460" s="7" t="s">
        <v>1120</v>
      </c>
      <c r="E460" s="7"/>
      <c r="F460" s="4"/>
      <c r="G460" s="7" t="s">
        <v>1121</v>
      </c>
      <c r="H460" s="7"/>
      <c r="I460" s="7"/>
      <c r="J460" s="7" t="s">
        <v>1122</v>
      </c>
      <c r="K460" s="7" t="s">
        <v>24</v>
      </c>
      <c r="L460" s="7" t="s">
        <v>1123</v>
      </c>
      <c r="M460" s="109">
        <v>7304980</v>
      </c>
      <c r="N460" s="111"/>
      <c r="O460" s="109">
        <v>7500000</v>
      </c>
      <c r="P460" s="110"/>
      <c r="Q460" s="109">
        <f>M460+N460+O460+P460</f>
        <v>14804980</v>
      </c>
      <c r="R460" s="5"/>
      <c r="S460" s="5"/>
      <c r="T460" s="72"/>
      <c r="U460" s="5"/>
      <c r="V460" s="5"/>
      <c r="W460" s="28">
        <v>7304980</v>
      </c>
      <c r="X460" s="28">
        <f>N460-S460</f>
        <v>0</v>
      </c>
      <c r="Y460" s="36">
        <f>O460-T460</f>
        <v>7500000</v>
      </c>
      <c r="Z460" s="28">
        <f>P460-U460</f>
        <v>0</v>
      </c>
      <c r="AA460" s="10">
        <v>7304980</v>
      </c>
      <c r="AB460" s="40"/>
      <c r="AC460" s="121">
        <f>IF(AB460=G460,1,2)</f>
        <v>2</v>
      </c>
      <c r="AD460" s="121"/>
    </row>
    <row r="461" spans="1:30" customFormat="1" ht="31.2" hidden="1" x14ac:dyDescent="0.3">
      <c r="A461" s="7" t="s">
        <v>62</v>
      </c>
      <c r="B461" s="6">
        <v>280</v>
      </c>
      <c r="C461" s="7" t="s">
        <v>1077</v>
      </c>
      <c r="D461" s="7" t="s">
        <v>1129</v>
      </c>
      <c r="E461" s="5"/>
      <c r="F461" s="4"/>
      <c r="G461" s="7" t="s">
        <v>1130</v>
      </c>
      <c r="H461" s="5"/>
      <c r="I461" s="5"/>
      <c r="J461" s="7" t="s">
        <v>1131</v>
      </c>
      <c r="K461" s="7" t="s">
        <v>24</v>
      </c>
      <c r="L461" s="7" t="s">
        <v>1132</v>
      </c>
      <c r="M461" s="109">
        <v>27024704</v>
      </c>
      <c r="N461" s="111"/>
      <c r="O461" s="109">
        <v>7500000</v>
      </c>
      <c r="P461" s="110"/>
      <c r="Q461" s="109">
        <f>M461+N461+O461+P461</f>
        <v>34524704</v>
      </c>
      <c r="R461" s="3">
        <v>27024704</v>
      </c>
      <c r="S461" s="5"/>
      <c r="T461" s="30">
        <v>7500000</v>
      </c>
      <c r="U461" s="5"/>
      <c r="V461" s="5"/>
      <c r="W461" s="28"/>
      <c r="X461" s="28">
        <f>N461-S461</f>
        <v>0</v>
      </c>
      <c r="Y461" s="28">
        <f>O461-T461</f>
        <v>0</v>
      </c>
      <c r="Z461" s="28">
        <f>P461-U461</f>
        <v>0</v>
      </c>
      <c r="AA461" s="4"/>
      <c r="AB461" s="4"/>
      <c r="AC461">
        <f>IF(AB461=G461,1,2)</f>
        <v>2</v>
      </c>
    </row>
    <row r="462" spans="1:30" customFormat="1" ht="31.2" hidden="1" x14ac:dyDescent="0.3">
      <c r="A462" s="7" t="s">
        <v>62</v>
      </c>
      <c r="B462" s="6">
        <v>281</v>
      </c>
      <c r="C462" s="7" t="s">
        <v>1077</v>
      </c>
      <c r="D462" s="7" t="s">
        <v>1133</v>
      </c>
      <c r="E462" s="5"/>
      <c r="F462" s="4"/>
      <c r="G462" s="7" t="s">
        <v>1134</v>
      </c>
      <c r="H462" s="5"/>
      <c r="I462" s="5"/>
      <c r="J462" s="7" t="s">
        <v>1135</v>
      </c>
      <c r="K462" s="7" t="s">
        <v>24</v>
      </c>
      <c r="L462" s="7" t="s">
        <v>1136</v>
      </c>
      <c r="M462" s="109">
        <v>8038952368</v>
      </c>
      <c r="N462" s="111"/>
      <c r="O462" s="109">
        <v>15000000</v>
      </c>
      <c r="P462" s="110"/>
      <c r="Q462" s="109">
        <f>M462+N462+O462+P462</f>
        <v>8053952368</v>
      </c>
      <c r="R462" s="3">
        <v>8038952368</v>
      </c>
      <c r="S462" s="5"/>
      <c r="T462" s="30">
        <v>15000000</v>
      </c>
      <c r="U462" s="5"/>
      <c r="V462" s="5"/>
      <c r="W462" s="28"/>
      <c r="X462" s="28">
        <f>N462-S462</f>
        <v>0</v>
      </c>
      <c r="Y462" s="28">
        <f>O462-T462</f>
        <v>0</v>
      </c>
      <c r="Z462" s="28">
        <f>P462-U462</f>
        <v>0</v>
      </c>
      <c r="AA462" s="4"/>
      <c r="AB462" s="4"/>
      <c r="AC462">
        <f>IF(AB462=G462,1,2)</f>
        <v>2</v>
      </c>
    </row>
    <row r="463" spans="1:30" customFormat="1" ht="46.8" hidden="1" x14ac:dyDescent="0.3">
      <c r="A463" s="7" t="s">
        <v>53</v>
      </c>
      <c r="B463" s="6">
        <v>284</v>
      </c>
      <c r="C463" s="7" t="s">
        <v>1077</v>
      </c>
      <c r="D463" s="7" t="s">
        <v>1150</v>
      </c>
      <c r="E463" s="7" t="s">
        <v>373</v>
      </c>
      <c r="F463" s="4"/>
      <c r="G463" s="7" t="s">
        <v>1151</v>
      </c>
      <c r="H463" s="7" t="s">
        <v>1152</v>
      </c>
      <c r="I463" s="5"/>
      <c r="J463" s="7" t="s">
        <v>1153</v>
      </c>
      <c r="K463" s="7" t="s">
        <v>24</v>
      </c>
      <c r="L463" s="7" t="s">
        <v>1154</v>
      </c>
      <c r="M463" s="109">
        <v>8920129828</v>
      </c>
      <c r="N463" s="109">
        <v>80307072</v>
      </c>
      <c r="O463" s="109">
        <v>15000000</v>
      </c>
      <c r="P463" s="110"/>
      <c r="Q463" s="109">
        <f>M463+N463+O463+P463</f>
        <v>9015436900</v>
      </c>
      <c r="R463" s="3">
        <v>8920129828</v>
      </c>
      <c r="S463" s="3">
        <v>80307072</v>
      </c>
      <c r="T463" s="30">
        <v>15000000</v>
      </c>
      <c r="U463" s="5"/>
      <c r="V463" s="5"/>
      <c r="W463" s="28"/>
      <c r="X463" s="28">
        <f>N463-S463</f>
        <v>0</v>
      </c>
      <c r="Y463" s="28">
        <f>O463-T463</f>
        <v>0</v>
      </c>
      <c r="Z463" s="28">
        <f>P463-U463</f>
        <v>0</v>
      </c>
      <c r="AA463" s="4"/>
      <c r="AB463" s="4"/>
      <c r="AC463">
        <f>IF(AB463=G463,1,2)</f>
        <v>2</v>
      </c>
    </row>
    <row r="464" spans="1:30" customFormat="1" ht="46.8" hidden="1" x14ac:dyDescent="0.3">
      <c r="A464" s="7" t="s">
        <v>46</v>
      </c>
      <c r="B464" s="6">
        <v>287</v>
      </c>
      <c r="C464" s="7" t="s">
        <v>1077</v>
      </c>
      <c r="D464" s="7" t="s">
        <v>1168</v>
      </c>
      <c r="E464" s="5"/>
      <c r="F464" s="4"/>
      <c r="G464" s="7" t="s">
        <v>1169</v>
      </c>
      <c r="H464" s="5"/>
      <c r="I464" s="5"/>
      <c r="J464" s="7" t="s">
        <v>1170</v>
      </c>
      <c r="K464" s="7" t="s">
        <v>24</v>
      </c>
      <c r="L464" s="7" t="s">
        <v>1171</v>
      </c>
      <c r="M464" s="109">
        <v>2858621000</v>
      </c>
      <c r="N464" s="111"/>
      <c r="O464" s="109">
        <v>15000000</v>
      </c>
      <c r="P464" s="110"/>
      <c r="Q464" s="109">
        <f>M464+N464+O464+P464</f>
        <v>2873621000</v>
      </c>
      <c r="R464" s="3">
        <v>2858621000</v>
      </c>
      <c r="S464" s="5"/>
      <c r="T464" s="30">
        <v>15000000</v>
      </c>
      <c r="U464" s="5"/>
      <c r="V464" s="5"/>
      <c r="W464" s="28"/>
      <c r="X464" s="28">
        <f>N464-S464</f>
        <v>0</v>
      </c>
      <c r="Y464" s="28">
        <f>O464-T464</f>
        <v>0</v>
      </c>
      <c r="Z464" s="28">
        <f>P464-U464</f>
        <v>0</v>
      </c>
      <c r="AA464" s="4"/>
      <c r="AB464" s="4"/>
      <c r="AC464">
        <f>IF(AB464=G464,1,2)</f>
        <v>2</v>
      </c>
    </row>
    <row r="465" spans="1:30" customFormat="1" ht="31.2" hidden="1" x14ac:dyDescent="0.3">
      <c r="A465" s="7" t="s">
        <v>53</v>
      </c>
      <c r="B465" s="6">
        <v>288</v>
      </c>
      <c r="C465" s="7" t="s">
        <v>1077</v>
      </c>
      <c r="D465" s="7" t="s">
        <v>1172</v>
      </c>
      <c r="E465" s="7"/>
      <c r="F465" s="4"/>
      <c r="G465" s="7" t="s">
        <v>1173</v>
      </c>
      <c r="H465" s="7"/>
      <c r="I465" s="7"/>
      <c r="J465" s="7" t="s">
        <v>1174</v>
      </c>
      <c r="K465" s="7" t="s">
        <v>24</v>
      </c>
      <c r="L465" s="7" t="s">
        <v>1175</v>
      </c>
      <c r="M465" s="109">
        <v>1613980644</v>
      </c>
      <c r="N465" s="111"/>
      <c r="O465" s="109">
        <v>7500000</v>
      </c>
      <c r="P465" s="110"/>
      <c r="Q465" s="109">
        <f>M465+N465+O465+P465</f>
        <v>1621480644</v>
      </c>
      <c r="R465" s="3">
        <v>1613980644</v>
      </c>
      <c r="S465" s="5"/>
      <c r="T465" s="72"/>
      <c r="U465" s="5"/>
      <c r="V465" s="5"/>
      <c r="W465" s="28"/>
      <c r="X465" s="28">
        <f>N465-S465</f>
        <v>0</v>
      </c>
      <c r="Y465" s="36">
        <f>O465-T465</f>
        <v>7500000</v>
      </c>
      <c r="Z465" s="28">
        <f>P465-U465</f>
        <v>0</v>
      </c>
      <c r="AA465" s="4"/>
      <c r="AB465" s="40"/>
      <c r="AC465" s="121">
        <f>IF(AB465=G465,1,2)</f>
        <v>2</v>
      </c>
      <c r="AD465" s="121"/>
    </row>
    <row r="466" spans="1:30" customFormat="1" ht="31.2" hidden="1" x14ac:dyDescent="0.3">
      <c r="A466" s="7" t="s">
        <v>53</v>
      </c>
      <c r="B466" s="6">
        <v>290</v>
      </c>
      <c r="C466" s="7" t="s">
        <v>1077</v>
      </c>
      <c r="D466" s="7" t="s">
        <v>1181</v>
      </c>
      <c r="E466" s="7"/>
      <c r="F466" s="4"/>
      <c r="G466" s="7" t="s">
        <v>1182</v>
      </c>
      <c r="H466" s="7"/>
      <c r="I466" s="7"/>
      <c r="J466" s="7" t="s">
        <v>1183</v>
      </c>
      <c r="K466" s="7" t="s">
        <v>24</v>
      </c>
      <c r="L466" s="7" t="s">
        <v>1184</v>
      </c>
      <c r="M466" s="109">
        <v>7632590744</v>
      </c>
      <c r="N466" s="111"/>
      <c r="O466" s="109">
        <v>15000000</v>
      </c>
      <c r="P466" s="110"/>
      <c r="Q466" s="109">
        <f>M466+N466+O466+P466</f>
        <v>7647590744</v>
      </c>
      <c r="R466" s="3">
        <v>7632590744</v>
      </c>
      <c r="S466" s="5"/>
      <c r="T466" s="72"/>
      <c r="U466" s="5"/>
      <c r="V466" s="5"/>
      <c r="W466" s="28"/>
      <c r="X466" s="28">
        <f>N466-S466</f>
        <v>0</v>
      </c>
      <c r="Y466" s="36">
        <f>O466-T466</f>
        <v>15000000</v>
      </c>
      <c r="Z466" s="28">
        <f>P466-U466</f>
        <v>0</v>
      </c>
      <c r="AA466" s="4"/>
      <c r="AB466" s="40"/>
      <c r="AC466" s="121">
        <f>IF(AB466=G466,1,2)</f>
        <v>2</v>
      </c>
      <c r="AD466" s="121"/>
    </row>
    <row r="467" spans="1:30" customFormat="1" ht="46.8" hidden="1" x14ac:dyDescent="0.3">
      <c r="A467" s="7" t="s">
        <v>18</v>
      </c>
      <c r="B467" s="6">
        <v>291</v>
      </c>
      <c r="C467" s="7" t="s">
        <v>1077</v>
      </c>
      <c r="D467" s="7" t="s">
        <v>1185</v>
      </c>
      <c r="E467" s="7" t="s">
        <v>914</v>
      </c>
      <c r="F467" s="4"/>
      <c r="G467" s="7" t="s">
        <v>1186</v>
      </c>
      <c r="H467" s="5"/>
      <c r="I467" s="5"/>
      <c r="J467" s="7" t="s">
        <v>1187</v>
      </c>
      <c r="K467" s="7" t="s">
        <v>24</v>
      </c>
      <c r="L467" s="7" t="s">
        <v>1188</v>
      </c>
      <c r="M467" s="109">
        <v>1875268327</v>
      </c>
      <c r="N467" s="109">
        <v>352224000</v>
      </c>
      <c r="O467" s="109">
        <v>15000000</v>
      </c>
      <c r="P467" s="110"/>
      <c r="Q467" s="109">
        <f>M467+N467+O467+P467</f>
        <v>2242492327</v>
      </c>
      <c r="R467" s="3">
        <v>1875268327</v>
      </c>
      <c r="S467" s="3">
        <v>352224000</v>
      </c>
      <c r="T467" s="30">
        <v>15000000</v>
      </c>
      <c r="U467" s="5"/>
      <c r="V467" s="5"/>
      <c r="W467" s="28"/>
      <c r="X467" s="28">
        <f>N467-S467</f>
        <v>0</v>
      </c>
      <c r="Y467" s="28">
        <f>O467-T467</f>
        <v>0</v>
      </c>
      <c r="Z467" s="28">
        <f>P467-U467</f>
        <v>0</v>
      </c>
      <c r="AA467" s="4"/>
      <c r="AB467" s="4"/>
      <c r="AC467">
        <f>IF(AB467=G467,1,2)</f>
        <v>2</v>
      </c>
    </row>
    <row r="468" spans="1:30" customFormat="1" ht="46.8" hidden="1" x14ac:dyDescent="0.3">
      <c r="A468" s="7" t="s">
        <v>18</v>
      </c>
      <c r="B468" s="6">
        <v>292</v>
      </c>
      <c r="C468" s="7" t="s">
        <v>1077</v>
      </c>
      <c r="D468" s="7" t="s">
        <v>1189</v>
      </c>
      <c r="E468" s="7" t="s">
        <v>764</v>
      </c>
      <c r="F468" s="4"/>
      <c r="G468" s="7" t="s">
        <v>1190</v>
      </c>
      <c r="H468" s="7" t="s">
        <v>1191</v>
      </c>
      <c r="I468" s="5"/>
      <c r="J468" s="7" t="s">
        <v>1192</v>
      </c>
      <c r="K468" s="7" t="s">
        <v>24</v>
      </c>
      <c r="L468" s="7" t="s">
        <v>1193</v>
      </c>
      <c r="M468" s="109">
        <v>1054607500</v>
      </c>
      <c r="N468" s="109">
        <v>395612000</v>
      </c>
      <c r="O468" s="109">
        <v>7500000</v>
      </c>
      <c r="P468" s="110"/>
      <c r="Q468" s="109">
        <f>M468+N468+O468+P468</f>
        <v>1457719500</v>
      </c>
      <c r="R468" s="3">
        <v>1054607500</v>
      </c>
      <c r="S468" s="3">
        <v>395612000</v>
      </c>
      <c r="T468" s="30">
        <v>7500000</v>
      </c>
      <c r="U468" s="5"/>
      <c r="V468" s="5"/>
      <c r="W468" s="28"/>
      <c r="X468" s="28">
        <f>N468-S468</f>
        <v>0</v>
      </c>
      <c r="Y468" s="28">
        <f>O468-T468</f>
        <v>0</v>
      </c>
      <c r="Z468" s="28">
        <f>P468-U468</f>
        <v>0</v>
      </c>
      <c r="AA468" s="4"/>
      <c r="AB468" s="4"/>
      <c r="AC468">
        <f>IF(AB468=G468,1,2)</f>
        <v>2</v>
      </c>
    </row>
    <row r="469" spans="1:30" customFormat="1" ht="31.2" hidden="1" x14ac:dyDescent="0.3">
      <c r="A469" s="7" t="s">
        <v>62</v>
      </c>
      <c r="B469" s="6">
        <v>293</v>
      </c>
      <c r="C469" s="7" t="s">
        <v>1077</v>
      </c>
      <c r="D469" s="7" t="s">
        <v>1194</v>
      </c>
      <c r="E469" s="5"/>
      <c r="F469" s="4"/>
      <c r="G469" s="7" t="s">
        <v>1195</v>
      </c>
      <c r="H469" s="5"/>
      <c r="I469" s="5"/>
      <c r="J469" s="7" t="s">
        <v>1196</v>
      </c>
      <c r="K469" s="7" t="s">
        <v>24</v>
      </c>
      <c r="L469" s="7" t="s">
        <v>1197</v>
      </c>
      <c r="M469" s="109">
        <v>4707710338</v>
      </c>
      <c r="N469" s="111"/>
      <c r="O469" s="109">
        <v>15000000</v>
      </c>
      <c r="P469" s="110"/>
      <c r="Q469" s="109">
        <f>M469+N469+O469+P469</f>
        <v>4722710338</v>
      </c>
      <c r="R469" s="3">
        <v>4707710338</v>
      </c>
      <c r="S469" s="5"/>
      <c r="T469" s="30">
        <v>15000000</v>
      </c>
      <c r="U469" s="5"/>
      <c r="V469" s="5"/>
      <c r="W469" s="28"/>
      <c r="X469" s="28">
        <f>N469-S469</f>
        <v>0</v>
      </c>
      <c r="Y469" s="28">
        <f>O469-T469</f>
        <v>0</v>
      </c>
      <c r="Z469" s="28">
        <f>P469-U469</f>
        <v>0</v>
      </c>
      <c r="AA469" s="4"/>
      <c r="AB469" s="4"/>
      <c r="AC469">
        <f>IF(AB469=G469,1,2)</f>
        <v>2</v>
      </c>
    </row>
    <row r="470" spans="1:30" customFormat="1" ht="31.2" hidden="1" x14ac:dyDescent="0.3">
      <c r="A470" s="7" t="s">
        <v>18</v>
      </c>
      <c r="B470" s="6">
        <v>294</v>
      </c>
      <c r="C470" s="7" t="s">
        <v>1077</v>
      </c>
      <c r="D470" s="7" t="s">
        <v>1198</v>
      </c>
      <c r="E470" s="5"/>
      <c r="F470" s="4"/>
      <c r="G470" s="7" t="s">
        <v>1199</v>
      </c>
      <c r="H470" s="5"/>
      <c r="I470" s="5"/>
      <c r="J470" s="7" t="s">
        <v>1200</v>
      </c>
      <c r="K470" s="7" t="s">
        <v>24</v>
      </c>
      <c r="L470" s="7" t="s">
        <v>1201</v>
      </c>
      <c r="M470" s="109">
        <v>11923902764</v>
      </c>
      <c r="N470" s="111"/>
      <c r="O470" s="109">
        <v>15000000</v>
      </c>
      <c r="P470" s="110"/>
      <c r="Q470" s="109">
        <f>M470+N470+O470+P470</f>
        <v>11938902764</v>
      </c>
      <c r="R470" s="3">
        <v>11923902764</v>
      </c>
      <c r="S470" s="5"/>
      <c r="T470" s="30">
        <v>15000000</v>
      </c>
      <c r="U470" s="5"/>
      <c r="V470" s="5"/>
      <c r="W470" s="28"/>
      <c r="X470" s="28">
        <f>N470-S470</f>
        <v>0</v>
      </c>
      <c r="Y470" s="28">
        <f>O470-T470</f>
        <v>0</v>
      </c>
      <c r="Z470" s="28">
        <f>P470-U470</f>
        <v>0</v>
      </c>
      <c r="AA470" s="4"/>
      <c r="AB470" s="4"/>
      <c r="AC470">
        <f>IF(AB470=G470,1,2)</f>
        <v>2</v>
      </c>
    </row>
    <row r="471" spans="1:30" customFormat="1" ht="46.8" hidden="1" x14ac:dyDescent="0.3">
      <c r="A471" s="7" t="s">
        <v>46</v>
      </c>
      <c r="B471" s="6">
        <v>297</v>
      </c>
      <c r="C471" s="7" t="s">
        <v>1077</v>
      </c>
      <c r="D471" s="7" t="s">
        <v>1214</v>
      </c>
      <c r="E471" s="7"/>
      <c r="F471" s="4"/>
      <c r="G471" s="7" t="s">
        <v>1215</v>
      </c>
      <c r="H471" s="7"/>
      <c r="I471" s="7"/>
      <c r="J471" s="7" t="s">
        <v>1216</v>
      </c>
      <c r="K471" s="7" t="s">
        <v>24</v>
      </c>
      <c r="L471" s="7" t="s">
        <v>1217</v>
      </c>
      <c r="M471" s="109">
        <v>0</v>
      </c>
      <c r="N471" s="111"/>
      <c r="O471" s="109">
        <v>7500000</v>
      </c>
      <c r="P471" s="110"/>
      <c r="Q471" s="109">
        <f>M471+N471+O471+P471</f>
        <v>7500000</v>
      </c>
      <c r="R471" s="6">
        <v>0</v>
      </c>
      <c r="S471" s="5"/>
      <c r="T471" s="72"/>
      <c r="U471" s="5"/>
      <c r="V471" s="5"/>
      <c r="W471" s="28"/>
      <c r="X471" s="28">
        <f>N471-S471</f>
        <v>0</v>
      </c>
      <c r="Y471" s="36">
        <f>O471-T471</f>
        <v>7500000</v>
      </c>
      <c r="Z471" s="28">
        <f>P471-U471</f>
        <v>0</v>
      </c>
      <c r="AA471" s="4"/>
      <c r="AB471" s="40"/>
      <c r="AC471" s="121">
        <f>IF(AB471=G471,1,2)</f>
        <v>2</v>
      </c>
      <c r="AD471" s="121"/>
    </row>
    <row r="472" spans="1:30" customFormat="1" ht="62.4" hidden="1" x14ac:dyDescent="0.3">
      <c r="A472" s="7" t="s">
        <v>46</v>
      </c>
      <c r="B472" s="6">
        <v>298</v>
      </c>
      <c r="C472" s="7" t="s">
        <v>1077</v>
      </c>
      <c r="D472" s="7" t="s">
        <v>1218</v>
      </c>
      <c r="E472" s="7" t="s">
        <v>1219</v>
      </c>
      <c r="F472" s="4"/>
      <c r="G472" s="7" t="s">
        <v>1220</v>
      </c>
      <c r="H472" s="7" t="s">
        <v>1221</v>
      </c>
      <c r="I472" s="5"/>
      <c r="J472" s="7" t="s">
        <v>1222</v>
      </c>
      <c r="K472" s="7" t="s">
        <v>24</v>
      </c>
      <c r="L472" s="7" t="s">
        <v>1223</v>
      </c>
      <c r="M472" s="109">
        <v>2444325600</v>
      </c>
      <c r="N472" s="109">
        <v>117744973</v>
      </c>
      <c r="O472" s="109">
        <v>7500000</v>
      </c>
      <c r="P472" s="110"/>
      <c r="Q472" s="109">
        <f>M472+N472+O472+P472</f>
        <v>2569570573</v>
      </c>
      <c r="R472" s="3">
        <v>2444325600</v>
      </c>
      <c r="S472" s="3">
        <v>117744973</v>
      </c>
      <c r="T472" s="30">
        <v>7500000</v>
      </c>
      <c r="U472" s="5"/>
      <c r="V472" s="5"/>
      <c r="W472" s="28"/>
      <c r="X472" s="28">
        <f>N472-S472</f>
        <v>0</v>
      </c>
      <c r="Y472" s="28">
        <f>O472-T472</f>
        <v>0</v>
      </c>
      <c r="Z472" s="28">
        <f>P472-U472</f>
        <v>0</v>
      </c>
      <c r="AA472" s="4"/>
      <c r="AB472" s="4"/>
      <c r="AC472">
        <f>IF(AB472=G472,1,2)</f>
        <v>2</v>
      </c>
    </row>
    <row r="473" spans="1:30" customFormat="1" ht="46.8" hidden="1" x14ac:dyDescent="0.3">
      <c r="A473" s="7" t="s">
        <v>53</v>
      </c>
      <c r="B473" s="6">
        <v>299</v>
      </c>
      <c r="C473" s="7" t="s">
        <v>1077</v>
      </c>
      <c r="D473" s="7" t="s">
        <v>1224</v>
      </c>
      <c r="E473" s="5"/>
      <c r="F473" s="4"/>
      <c r="G473" s="7" t="s">
        <v>1225</v>
      </c>
      <c r="H473" s="5"/>
      <c r="I473" s="5"/>
      <c r="J473" s="7" t="s">
        <v>1226</v>
      </c>
      <c r="K473" s="7" t="s">
        <v>24</v>
      </c>
      <c r="L473" s="7" t="s">
        <v>1227</v>
      </c>
      <c r="M473" s="109">
        <v>5876123796</v>
      </c>
      <c r="N473" s="111"/>
      <c r="O473" s="109">
        <v>7500000</v>
      </c>
      <c r="P473" s="110"/>
      <c r="Q473" s="109">
        <f>M473+N473+O473+P473</f>
        <v>5883623796</v>
      </c>
      <c r="R473" s="3">
        <v>5876123796</v>
      </c>
      <c r="S473" s="5"/>
      <c r="T473" s="30">
        <v>7500000</v>
      </c>
      <c r="U473" s="5"/>
      <c r="V473" s="5"/>
      <c r="W473" s="28"/>
      <c r="X473" s="28">
        <f>N473-S473</f>
        <v>0</v>
      </c>
      <c r="Y473" s="28">
        <f>O473-T473</f>
        <v>0</v>
      </c>
      <c r="Z473" s="28">
        <f>P473-U473</f>
        <v>0</v>
      </c>
      <c r="AA473" s="4"/>
      <c r="AB473" s="4"/>
      <c r="AC473">
        <f>IF(AB473=G473,1,2)</f>
        <v>2</v>
      </c>
    </row>
    <row r="474" spans="1:30" customFormat="1" ht="46.8" hidden="1" x14ac:dyDescent="0.3">
      <c r="A474" s="7" t="s">
        <v>53</v>
      </c>
      <c r="B474" s="6">
        <v>300</v>
      </c>
      <c r="C474" s="7" t="s">
        <v>1077</v>
      </c>
      <c r="D474" s="7" t="s">
        <v>1228</v>
      </c>
      <c r="E474" s="5"/>
      <c r="F474" s="4"/>
      <c r="G474" s="7" t="s">
        <v>1229</v>
      </c>
      <c r="H474" s="5"/>
      <c r="I474" s="5"/>
      <c r="J474" s="7" t="s">
        <v>1230</v>
      </c>
      <c r="K474" s="7" t="s">
        <v>24</v>
      </c>
      <c r="L474" s="7" t="s">
        <v>1231</v>
      </c>
      <c r="M474" s="109">
        <v>2259157980</v>
      </c>
      <c r="N474" s="111"/>
      <c r="O474" s="109">
        <v>15000000</v>
      </c>
      <c r="P474" s="110"/>
      <c r="Q474" s="109">
        <f>M474+N474+O474+P474</f>
        <v>2274157980</v>
      </c>
      <c r="R474" s="3">
        <v>2259157980</v>
      </c>
      <c r="S474" s="5"/>
      <c r="T474" s="30">
        <v>15000000</v>
      </c>
      <c r="U474" s="5"/>
      <c r="V474" s="5"/>
      <c r="W474" s="28"/>
      <c r="X474" s="28">
        <f>N474-S474</f>
        <v>0</v>
      </c>
      <c r="Y474" s="28">
        <f>O474-T474</f>
        <v>0</v>
      </c>
      <c r="Z474" s="28">
        <f>P474-U474</f>
        <v>0</v>
      </c>
      <c r="AA474" s="4"/>
      <c r="AB474" s="4"/>
      <c r="AC474">
        <f>IF(AB474=G474,1,2)</f>
        <v>2</v>
      </c>
    </row>
    <row r="475" spans="1:30" customFormat="1" ht="46.8" hidden="1" x14ac:dyDescent="0.3">
      <c r="A475" s="7" t="s">
        <v>46</v>
      </c>
      <c r="B475" s="6">
        <v>302</v>
      </c>
      <c r="C475" s="7" t="s">
        <v>1077</v>
      </c>
      <c r="D475" s="7" t="s">
        <v>1239</v>
      </c>
      <c r="E475" s="5"/>
      <c r="F475" s="4"/>
      <c r="G475" s="7" t="s">
        <v>1240</v>
      </c>
      <c r="H475" s="5"/>
      <c r="I475" s="5"/>
      <c r="J475" s="7" t="s">
        <v>1241</v>
      </c>
      <c r="K475" s="7" t="s">
        <v>24</v>
      </c>
      <c r="L475" s="7" t="s">
        <v>1242</v>
      </c>
      <c r="M475" s="109">
        <v>3566485286</v>
      </c>
      <c r="N475" s="111"/>
      <c r="O475" s="109">
        <v>15000000</v>
      </c>
      <c r="P475" s="110"/>
      <c r="Q475" s="109">
        <f>M475+N475+O475+P475</f>
        <v>3581485286</v>
      </c>
      <c r="R475" s="3">
        <v>3566485286</v>
      </c>
      <c r="S475" s="5"/>
      <c r="T475" s="30">
        <v>15000000</v>
      </c>
      <c r="U475" s="5"/>
      <c r="V475" s="5"/>
      <c r="W475" s="28"/>
      <c r="X475" s="28">
        <f>N475-S475</f>
        <v>0</v>
      </c>
      <c r="Y475" s="28">
        <f>O475-T475</f>
        <v>0</v>
      </c>
      <c r="Z475" s="28">
        <f>P475-U475</f>
        <v>0</v>
      </c>
      <c r="AA475" s="4"/>
      <c r="AB475" s="4"/>
      <c r="AC475">
        <f>IF(AB475=G475,1,2)</f>
        <v>2</v>
      </c>
    </row>
    <row r="476" spans="1:30" customFormat="1" ht="46.8" hidden="1" x14ac:dyDescent="0.3">
      <c r="A476" s="7" t="s">
        <v>62</v>
      </c>
      <c r="B476" s="6">
        <v>303</v>
      </c>
      <c r="C476" s="7" t="s">
        <v>1077</v>
      </c>
      <c r="D476" s="7" t="s">
        <v>1243</v>
      </c>
      <c r="E476" s="5"/>
      <c r="F476" s="4"/>
      <c r="G476" s="7" t="s">
        <v>1244</v>
      </c>
      <c r="H476" s="5"/>
      <c r="I476" s="5"/>
      <c r="J476" s="7" t="s">
        <v>1245</v>
      </c>
      <c r="K476" s="7" t="s">
        <v>24</v>
      </c>
      <c r="L476" s="7" t="s">
        <v>1246</v>
      </c>
      <c r="M476" s="109">
        <v>861548648</v>
      </c>
      <c r="N476" s="111"/>
      <c r="O476" s="109">
        <v>7500000</v>
      </c>
      <c r="P476" s="110"/>
      <c r="Q476" s="109">
        <f>M476+N476+O476+P476</f>
        <v>869048648</v>
      </c>
      <c r="R476" s="3">
        <v>861548648</v>
      </c>
      <c r="S476" s="5"/>
      <c r="T476" s="30">
        <v>7500000</v>
      </c>
      <c r="U476" s="5"/>
      <c r="V476" s="5"/>
      <c r="W476" s="28"/>
      <c r="X476" s="28">
        <f>N476-S476</f>
        <v>0</v>
      </c>
      <c r="Y476" s="28">
        <f>O476-T476</f>
        <v>0</v>
      </c>
      <c r="Z476" s="28">
        <f>P476-U476</f>
        <v>0</v>
      </c>
      <c r="AA476" s="4"/>
      <c r="AB476" s="4"/>
      <c r="AC476">
        <f>IF(AB476=G476,1,2)</f>
        <v>2</v>
      </c>
    </row>
    <row r="477" spans="1:30" customFormat="1" ht="46.8" hidden="1" x14ac:dyDescent="0.3">
      <c r="A477" s="7" t="s">
        <v>62</v>
      </c>
      <c r="B477" s="6">
        <v>305</v>
      </c>
      <c r="C477" s="7" t="s">
        <v>1077</v>
      </c>
      <c r="D477" s="7" t="s">
        <v>1252</v>
      </c>
      <c r="E477" s="5"/>
      <c r="F477" s="4"/>
      <c r="G477" s="7" t="s">
        <v>1253</v>
      </c>
      <c r="H477" s="5"/>
      <c r="I477" s="5"/>
      <c r="J477" s="7" t="s">
        <v>1254</v>
      </c>
      <c r="K477" s="7" t="s">
        <v>24</v>
      </c>
      <c r="L477" s="7" t="s">
        <v>1255</v>
      </c>
      <c r="M477" s="109">
        <v>454606610</v>
      </c>
      <c r="N477" s="111"/>
      <c r="O477" s="109">
        <v>15000000</v>
      </c>
      <c r="P477" s="110"/>
      <c r="Q477" s="109">
        <f>M477+N477+O477+P477</f>
        <v>469606610</v>
      </c>
      <c r="R477" s="3">
        <v>454606610</v>
      </c>
      <c r="S477" s="5"/>
      <c r="T477" s="30">
        <v>15000000</v>
      </c>
      <c r="U477" s="5"/>
      <c r="V477" s="5"/>
      <c r="W477" s="28"/>
      <c r="X477" s="28">
        <f>N477-S477</f>
        <v>0</v>
      </c>
      <c r="Y477" s="28">
        <f>O477-T477</f>
        <v>0</v>
      </c>
      <c r="Z477" s="28">
        <f>P477-U477</f>
        <v>0</v>
      </c>
      <c r="AA477" s="4"/>
      <c r="AB477" s="4"/>
      <c r="AC477">
        <f>IF(AB477=G477,1,2)</f>
        <v>2</v>
      </c>
    </row>
    <row r="478" spans="1:30" customFormat="1" ht="46.8" hidden="1" x14ac:dyDescent="0.3">
      <c r="A478" s="7" t="s">
        <v>46</v>
      </c>
      <c r="B478" s="6">
        <v>306</v>
      </c>
      <c r="C478" s="7" t="s">
        <v>1077</v>
      </c>
      <c r="D478" s="7" t="s">
        <v>1256</v>
      </c>
      <c r="E478" s="5"/>
      <c r="F478" s="4"/>
      <c r="G478" s="7" t="s">
        <v>1257</v>
      </c>
      <c r="H478" s="5"/>
      <c r="I478" s="5"/>
      <c r="J478" s="7" t="s">
        <v>1109</v>
      </c>
      <c r="K478" s="7" t="s">
        <v>24</v>
      </c>
      <c r="L478" s="7" t="s">
        <v>1258</v>
      </c>
      <c r="M478" s="109">
        <v>2354986700</v>
      </c>
      <c r="N478" s="111"/>
      <c r="O478" s="109">
        <v>15000000</v>
      </c>
      <c r="P478" s="110"/>
      <c r="Q478" s="109">
        <f>M478+N478+O478+P478</f>
        <v>2369986700</v>
      </c>
      <c r="R478" s="3">
        <v>2354986700</v>
      </c>
      <c r="S478" s="5"/>
      <c r="T478" s="30">
        <v>15000000</v>
      </c>
      <c r="U478" s="5"/>
      <c r="V478" s="5"/>
      <c r="W478" s="28"/>
      <c r="X478" s="28">
        <f>N478-S478</f>
        <v>0</v>
      </c>
      <c r="Y478" s="28">
        <f>O478-T478</f>
        <v>0</v>
      </c>
      <c r="Z478" s="28">
        <f>P478-U478</f>
        <v>0</v>
      </c>
      <c r="AA478" s="4"/>
      <c r="AB478" s="4"/>
      <c r="AC478">
        <f>IF(AB478=G478,1,2)</f>
        <v>2</v>
      </c>
    </row>
    <row r="479" spans="1:30" customFormat="1" ht="46.8" hidden="1" x14ac:dyDescent="0.3">
      <c r="A479" s="7" t="s">
        <v>62</v>
      </c>
      <c r="B479" s="6">
        <v>307</v>
      </c>
      <c r="C479" s="7" t="s">
        <v>1077</v>
      </c>
      <c r="D479" s="7" t="s">
        <v>1259</v>
      </c>
      <c r="E479" s="7" t="s">
        <v>177</v>
      </c>
      <c r="F479" s="4"/>
      <c r="G479" s="7" t="s">
        <v>1260</v>
      </c>
      <c r="H479" s="7" t="s">
        <v>1261</v>
      </c>
      <c r="I479" s="5"/>
      <c r="J479" s="7" t="s">
        <v>1262</v>
      </c>
      <c r="K479" s="7" t="s">
        <v>24</v>
      </c>
      <c r="L479" s="7" t="s">
        <v>1263</v>
      </c>
      <c r="M479" s="109">
        <v>3187632080</v>
      </c>
      <c r="N479" s="109">
        <v>304242048</v>
      </c>
      <c r="O479" s="109">
        <v>7500000</v>
      </c>
      <c r="P479" s="110"/>
      <c r="Q479" s="109">
        <f>M479+N479+O479+P479</f>
        <v>3499374128</v>
      </c>
      <c r="R479" s="3">
        <v>3187632080</v>
      </c>
      <c r="S479" s="3">
        <v>304242048</v>
      </c>
      <c r="T479" s="30">
        <v>7500000</v>
      </c>
      <c r="U479" s="5"/>
      <c r="V479" s="5"/>
      <c r="W479" s="28"/>
      <c r="X479" s="28">
        <f>N479-S479</f>
        <v>0</v>
      </c>
      <c r="Y479" s="28">
        <f>O479-T479</f>
        <v>0</v>
      </c>
      <c r="Z479" s="28">
        <f>P479-U479</f>
        <v>0</v>
      </c>
      <c r="AA479" s="4"/>
      <c r="AB479" s="4"/>
      <c r="AC479">
        <f>IF(AB479=G479,1,2)</f>
        <v>2</v>
      </c>
    </row>
    <row r="480" spans="1:30" customFormat="1" ht="46.8" hidden="1" x14ac:dyDescent="0.3">
      <c r="A480" s="7" t="s">
        <v>53</v>
      </c>
      <c r="B480" s="6">
        <v>308</v>
      </c>
      <c r="C480" s="7" t="s">
        <v>1077</v>
      </c>
      <c r="D480" s="7" t="s">
        <v>1264</v>
      </c>
      <c r="E480" s="5"/>
      <c r="F480" s="4"/>
      <c r="G480" s="7" t="s">
        <v>1265</v>
      </c>
      <c r="H480" s="5"/>
      <c r="I480" s="5"/>
      <c r="J480" s="7" t="s">
        <v>1266</v>
      </c>
      <c r="K480" s="7" t="s">
        <v>24</v>
      </c>
      <c r="L480" s="7" t="s">
        <v>1267</v>
      </c>
      <c r="M480" s="109">
        <v>1759567324</v>
      </c>
      <c r="N480" s="111"/>
      <c r="O480" s="109">
        <v>7500000</v>
      </c>
      <c r="P480" s="110"/>
      <c r="Q480" s="109">
        <f>M480+N480+O480+P480</f>
        <v>1767067324</v>
      </c>
      <c r="R480" s="3">
        <v>1759567324</v>
      </c>
      <c r="S480" s="5"/>
      <c r="T480" s="30">
        <v>7500000</v>
      </c>
      <c r="U480" s="5"/>
      <c r="V480" s="5"/>
      <c r="W480" s="28"/>
      <c r="X480" s="28">
        <f>N480-S480</f>
        <v>0</v>
      </c>
      <c r="Y480" s="28">
        <f>O480-T480</f>
        <v>0</v>
      </c>
      <c r="Z480" s="28">
        <f>P480-U480</f>
        <v>0</v>
      </c>
      <c r="AA480" s="4"/>
      <c r="AB480" s="4"/>
      <c r="AC480">
        <f>IF(AB480=G480,1,2)</f>
        <v>2</v>
      </c>
    </row>
    <row r="481" spans="1:30" customFormat="1" ht="31.2" hidden="1" x14ac:dyDescent="0.3">
      <c r="A481" s="7" t="s">
        <v>62</v>
      </c>
      <c r="B481" s="6">
        <v>310</v>
      </c>
      <c r="C481" s="7" t="s">
        <v>1077</v>
      </c>
      <c r="D481" s="7" t="s">
        <v>1274</v>
      </c>
      <c r="E481" s="7" t="s">
        <v>1275</v>
      </c>
      <c r="F481" s="4"/>
      <c r="G481" s="7" t="s">
        <v>1276</v>
      </c>
      <c r="H481" s="7" t="s">
        <v>1277</v>
      </c>
      <c r="I481" s="5"/>
      <c r="J481" s="7" t="s">
        <v>1278</v>
      </c>
      <c r="K481" s="7" t="s">
        <v>24</v>
      </c>
      <c r="L481" s="7" t="s">
        <v>1279</v>
      </c>
      <c r="M481" s="109">
        <v>4651993608</v>
      </c>
      <c r="N481" s="109">
        <v>1194625056</v>
      </c>
      <c r="O481" s="109">
        <v>15000000</v>
      </c>
      <c r="P481" s="110"/>
      <c r="Q481" s="109">
        <f>M481+N481+O481+P481</f>
        <v>5861618664</v>
      </c>
      <c r="R481" s="3">
        <v>4651993608</v>
      </c>
      <c r="S481" s="3">
        <v>1194625056</v>
      </c>
      <c r="T481" s="31">
        <v>15000000</v>
      </c>
      <c r="U481" s="5"/>
      <c r="V481" s="5"/>
      <c r="W481" s="28"/>
      <c r="X481" s="28">
        <f>N481-S481</f>
        <v>0</v>
      </c>
      <c r="Y481" s="28">
        <f>O481-T481</f>
        <v>0</v>
      </c>
      <c r="Z481" s="28">
        <f>P481-U481</f>
        <v>0</v>
      </c>
      <c r="AA481" s="4"/>
      <c r="AB481" s="4"/>
      <c r="AC481">
        <f>IF(AB481=G481,1,2)</f>
        <v>2</v>
      </c>
    </row>
    <row r="482" spans="1:30" customFormat="1" ht="93.6" hidden="1" x14ac:dyDescent="0.3">
      <c r="A482" s="7" t="s">
        <v>18</v>
      </c>
      <c r="B482" s="6">
        <v>311</v>
      </c>
      <c r="C482" s="7" t="s">
        <v>1077</v>
      </c>
      <c r="D482" s="7" t="s">
        <v>1280</v>
      </c>
      <c r="E482" s="7"/>
      <c r="F482" s="4"/>
      <c r="G482" s="7" t="s">
        <v>1281</v>
      </c>
      <c r="H482" s="7" t="s">
        <v>1282</v>
      </c>
      <c r="I482" s="7"/>
      <c r="J482" s="7" t="s">
        <v>1283</v>
      </c>
      <c r="K482" s="7" t="s">
        <v>24</v>
      </c>
      <c r="L482" s="7" t="s">
        <v>1284</v>
      </c>
      <c r="M482" s="109">
        <v>7228048500</v>
      </c>
      <c r="N482" s="111"/>
      <c r="O482" s="109">
        <v>7500000</v>
      </c>
      <c r="P482" s="110"/>
      <c r="Q482" s="109">
        <f>M482+N482+O482+P482</f>
        <v>7235548500</v>
      </c>
      <c r="R482" s="5"/>
      <c r="S482" s="5"/>
      <c r="T482" s="72"/>
      <c r="U482" s="5"/>
      <c r="V482" s="5"/>
      <c r="W482" s="28">
        <v>7228048500</v>
      </c>
      <c r="X482" s="28">
        <f>N482-S482</f>
        <v>0</v>
      </c>
      <c r="Y482" s="36">
        <f>O482-T482</f>
        <v>7500000</v>
      </c>
      <c r="Z482" s="28">
        <f>P482-U482</f>
        <v>0</v>
      </c>
      <c r="AA482" s="10">
        <v>7228048500</v>
      </c>
      <c r="AB482" s="40"/>
      <c r="AC482" s="121">
        <f>IF(AB482=G482,1,2)</f>
        <v>2</v>
      </c>
      <c r="AD482" s="121"/>
    </row>
    <row r="483" spans="1:30" customFormat="1" ht="46.8" hidden="1" x14ac:dyDescent="0.3">
      <c r="A483" s="7" t="s">
        <v>18</v>
      </c>
      <c r="B483" s="6">
        <v>312</v>
      </c>
      <c r="C483" s="7" t="s">
        <v>1077</v>
      </c>
      <c r="D483" s="7" t="s">
        <v>1285</v>
      </c>
      <c r="E483" s="7"/>
      <c r="F483" s="4"/>
      <c r="G483" s="7" t="s">
        <v>1286</v>
      </c>
      <c r="H483" s="7"/>
      <c r="I483" s="7"/>
      <c r="J483" s="7" t="s">
        <v>1287</v>
      </c>
      <c r="K483" s="7" t="s">
        <v>24</v>
      </c>
      <c r="L483" s="7" t="s">
        <v>1288</v>
      </c>
      <c r="M483" s="109">
        <v>0</v>
      </c>
      <c r="N483" s="111"/>
      <c r="O483" s="109">
        <v>7500000</v>
      </c>
      <c r="P483" s="110"/>
      <c r="Q483" s="109">
        <f>M483+N483+O483+P483</f>
        <v>7500000</v>
      </c>
      <c r="R483" s="6">
        <v>0</v>
      </c>
      <c r="S483" s="5"/>
      <c r="T483" s="72"/>
      <c r="U483" s="5"/>
      <c r="V483" s="5"/>
      <c r="W483" s="28"/>
      <c r="X483" s="28">
        <f>N483-S483</f>
        <v>0</v>
      </c>
      <c r="Y483" s="36">
        <f>O483-T483</f>
        <v>7500000</v>
      </c>
      <c r="Z483" s="28">
        <f>P483-U483</f>
        <v>0</v>
      </c>
      <c r="AA483" s="4"/>
      <c r="AB483" s="40"/>
      <c r="AC483" s="121">
        <f>IF(AB483=G483,1,2)</f>
        <v>2</v>
      </c>
      <c r="AD483" s="121"/>
    </row>
    <row r="484" spans="1:30" customFormat="1" ht="46.8" hidden="1" x14ac:dyDescent="0.3">
      <c r="A484" s="7" t="s">
        <v>62</v>
      </c>
      <c r="B484" s="6">
        <v>313</v>
      </c>
      <c r="C484" s="7" t="s">
        <v>1077</v>
      </c>
      <c r="D484" s="7" t="s">
        <v>1289</v>
      </c>
      <c r="E484" s="7" t="s">
        <v>259</v>
      </c>
      <c r="F484" s="4"/>
      <c r="G484" s="7" t="s">
        <v>1290</v>
      </c>
      <c r="H484" s="7" t="s">
        <v>718</v>
      </c>
      <c r="I484" s="7"/>
      <c r="J484" s="7" t="s">
        <v>1291</v>
      </c>
      <c r="K484" s="7" t="s">
        <v>24</v>
      </c>
      <c r="L484" s="7" t="s">
        <v>1292</v>
      </c>
      <c r="M484" s="109">
        <v>1181168502</v>
      </c>
      <c r="N484" s="109">
        <v>283193856</v>
      </c>
      <c r="O484" s="109">
        <v>7500000</v>
      </c>
      <c r="P484" s="110"/>
      <c r="Q484" s="109">
        <f>M484+N484+O484+P484</f>
        <v>1471862358</v>
      </c>
      <c r="R484" s="3">
        <v>1181168502</v>
      </c>
      <c r="S484" s="3">
        <v>283193856</v>
      </c>
      <c r="T484" s="72"/>
      <c r="U484" s="5"/>
      <c r="V484" s="5"/>
      <c r="W484" s="28"/>
      <c r="X484" s="28">
        <f>N484-S484</f>
        <v>0</v>
      </c>
      <c r="Y484" s="36">
        <f>O484-T484</f>
        <v>7500000</v>
      </c>
      <c r="Z484" s="28">
        <f>P484-U484</f>
        <v>0</v>
      </c>
      <c r="AA484" s="4"/>
      <c r="AB484" s="40"/>
      <c r="AC484" s="121">
        <f>IF(AB484=G484,1,2)</f>
        <v>2</v>
      </c>
      <c r="AD484" s="121"/>
    </row>
    <row r="485" spans="1:30" customFormat="1" ht="31.2" hidden="1" x14ac:dyDescent="0.3">
      <c r="A485" s="7" t="s">
        <v>62</v>
      </c>
      <c r="B485" s="6">
        <v>314</v>
      </c>
      <c r="C485" s="7" t="s">
        <v>1077</v>
      </c>
      <c r="D485" s="7" t="s">
        <v>1293</v>
      </c>
      <c r="E485" s="5"/>
      <c r="F485" s="4"/>
      <c r="G485" s="7" t="s">
        <v>1294</v>
      </c>
      <c r="H485" s="5"/>
      <c r="I485" s="5"/>
      <c r="J485" s="7" t="s">
        <v>1295</v>
      </c>
      <c r="K485" s="7" t="s">
        <v>24</v>
      </c>
      <c r="L485" s="7" t="s">
        <v>1296</v>
      </c>
      <c r="M485" s="109">
        <v>1634644894</v>
      </c>
      <c r="N485" s="111"/>
      <c r="O485" s="109">
        <v>7500000</v>
      </c>
      <c r="P485" s="110"/>
      <c r="Q485" s="109">
        <f>M485+N485+O485+P485</f>
        <v>1642144894</v>
      </c>
      <c r="R485" s="3">
        <v>1634644894</v>
      </c>
      <c r="S485" s="5"/>
      <c r="T485" s="30">
        <v>7500000</v>
      </c>
      <c r="U485" s="5"/>
      <c r="V485" s="5"/>
      <c r="W485" s="28"/>
      <c r="X485" s="28">
        <f>N485-S485</f>
        <v>0</v>
      </c>
      <c r="Y485" s="28">
        <f>O485-T485</f>
        <v>0</v>
      </c>
      <c r="Z485" s="28">
        <f>P485-U485</f>
        <v>0</v>
      </c>
      <c r="AA485" s="4"/>
      <c r="AB485" s="4"/>
      <c r="AC485">
        <f>IF(AB485=G485,1,2)</f>
        <v>2</v>
      </c>
    </row>
    <row r="486" spans="1:30" customFormat="1" ht="31.2" hidden="1" x14ac:dyDescent="0.3">
      <c r="A486" s="7" t="s">
        <v>18</v>
      </c>
      <c r="B486" s="6">
        <v>315</v>
      </c>
      <c r="C486" s="7" t="s">
        <v>1077</v>
      </c>
      <c r="D486" s="7" t="s">
        <v>1297</v>
      </c>
      <c r="E486" s="5"/>
      <c r="F486" s="4"/>
      <c r="G486" s="7" t="s">
        <v>1298</v>
      </c>
      <c r="H486" s="5"/>
      <c r="I486" s="5"/>
      <c r="J486" s="7" t="s">
        <v>1299</v>
      </c>
      <c r="K486" s="7" t="s">
        <v>24</v>
      </c>
      <c r="L486" s="7" t="s">
        <v>1300</v>
      </c>
      <c r="M486" s="109">
        <v>2916899139</v>
      </c>
      <c r="N486" s="111"/>
      <c r="O486" s="109">
        <v>7500000</v>
      </c>
      <c r="P486" s="110"/>
      <c r="Q486" s="109">
        <f>M486+N486+O486+P486</f>
        <v>2924399139</v>
      </c>
      <c r="R486" s="3">
        <v>2916899139</v>
      </c>
      <c r="S486" s="5"/>
      <c r="T486" s="30">
        <v>7500000</v>
      </c>
      <c r="U486" s="5"/>
      <c r="V486" s="5"/>
      <c r="W486" s="28"/>
      <c r="X486" s="28">
        <f>N486-S486</f>
        <v>0</v>
      </c>
      <c r="Y486" s="28">
        <f>O486-T486</f>
        <v>0</v>
      </c>
      <c r="Z486" s="28">
        <f>P486-U486</f>
        <v>0</v>
      </c>
      <c r="AA486" s="4"/>
      <c r="AB486" s="4"/>
      <c r="AC486">
        <f>IF(AB486=G486,1,2)</f>
        <v>2</v>
      </c>
    </row>
    <row r="487" spans="1:30" customFormat="1" ht="62.4" hidden="1" customHeight="1" x14ac:dyDescent="0.3">
      <c r="A487" s="41" t="s">
        <v>46</v>
      </c>
      <c r="B487" s="6">
        <v>316</v>
      </c>
      <c r="C487" s="41" t="s">
        <v>1077</v>
      </c>
      <c r="D487" s="41" t="s">
        <v>1301</v>
      </c>
      <c r="E487" s="5"/>
      <c r="F487" s="4"/>
      <c r="G487" s="41" t="s">
        <v>1302</v>
      </c>
      <c r="H487" s="5"/>
      <c r="I487" s="5"/>
      <c r="J487" s="41" t="s">
        <v>1303</v>
      </c>
      <c r="K487" s="41" t="s">
        <v>24</v>
      </c>
      <c r="L487" s="7" t="s">
        <v>1304</v>
      </c>
      <c r="M487" s="113">
        <v>2045718784</v>
      </c>
      <c r="N487" s="111"/>
      <c r="O487" s="113">
        <v>15000000</v>
      </c>
      <c r="P487" s="110"/>
      <c r="Q487" s="109">
        <f>M487+N487+O487+P487</f>
        <v>2060718784</v>
      </c>
      <c r="R487" s="9">
        <v>2045718784</v>
      </c>
      <c r="S487" s="5"/>
      <c r="T487" s="32">
        <v>15000000</v>
      </c>
      <c r="U487" s="5"/>
      <c r="V487" s="5"/>
      <c r="W487" s="28"/>
      <c r="X487" s="28">
        <f>N487-S487</f>
        <v>0</v>
      </c>
      <c r="Y487" s="28">
        <f>O487-T487</f>
        <v>0</v>
      </c>
      <c r="Z487" s="28">
        <f>P487-U487</f>
        <v>0</v>
      </c>
      <c r="AA487" s="4"/>
      <c r="AB487" s="4"/>
      <c r="AC487">
        <f>IF(AB487=G487,1,2)</f>
        <v>2</v>
      </c>
    </row>
    <row r="488" spans="1:30" customFormat="1" ht="46.8" hidden="1" x14ac:dyDescent="0.3">
      <c r="A488" s="7" t="s">
        <v>18</v>
      </c>
      <c r="B488" s="6">
        <v>318</v>
      </c>
      <c r="C488" s="7" t="s">
        <v>1077</v>
      </c>
      <c r="D488" s="7" t="s">
        <v>1310</v>
      </c>
      <c r="E488" s="5"/>
      <c r="F488" s="4"/>
      <c r="G488" s="7" t="s">
        <v>1311</v>
      </c>
      <c r="H488" s="5"/>
      <c r="I488" s="5"/>
      <c r="J488" s="7" t="s">
        <v>1312</v>
      </c>
      <c r="K488" s="7" t="s">
        <v>24</v>
      </c>
      <c r="L488" s="7" t="s">
        <v>1313</v>
      </c>
      <c r="M488" s="109">
        <v>698692632</v>
      </c>
      <c r="N488" s="111"/>
      <c r="O488" s="109">
        <v>7500000</v>
      </c>
      <c r="P488" s="110"/>
      <c r="Q488" s="109">
        <f>M488+N488+O488+P488</f>
        <v>706192632</v>
      </c>
      <c r="R488" s="3">
        <v>698692632</v>
      </c>
      <c r="S488" s="5"/>
      <c r="T488" s="31">
        <v>7500000</v>
      </c>
      <c r="U488" s="5"/>
      <c r="V488" s="5"/>
      <c r="W488" s="28"/>
      <c r="X488" s="28">
        <f>N488-S488</f>
        <v>0</v>
      </c>
      <c r="Y488" s="28">
        <f>O488-T488</f>
        <v>0</v>
      </c>
      <c r="Z488" s="28">
        <f>P488-U488</f>
        <v>0</v>
      </c>
      <c r="AA488" s="4"/>
      <c r="AB488" s="4"/>
      <c r="AC488">
        <f>IF(AB488=G488,1,2)</f>
        <v>2</v>
      </c>
    </row>
    <row r="489" spans="1:30" customFormat="1" ht="62.4" hidden="1" customHeight="1" x14ac:dyDescent="0.3">
      <c r="A489" s="7" t="s">
        <v>62</v>
      </c>
      <c r="B489" s="6">
        <v>320</v>
      </c>
      <c r="C489" s="7" t="s">
        <v>1077</v>
      </c>
      <c r="D489" s="7" t="s">
        <v>1319</v>
      </c>
      <c r="E489" s="5"/>
      <c r="F489" s="4"/>
      <c r="G489" s="7" t="s">
        <v>1320</v>
      </c>
      <c r="H489" s="5"/>
      <c r="I489" s="5"/>
      <c r="J489" s="7" t="s">
        <v>1321</v>
      </c>
      <c r="K489" s="7" t="s">
        <v>24</v>
      </c>
      <c r="L489" s="7" t="s">
        <v>1322</v>
      </c>
      <c r="M489" s="109">
        <v>5629237075</v>
      </c>
      <c r="N489" s="111"/>
      <c r="O489" s="109">
        <v>15000000</v>
      </c>
      <c r="P489" s="110"/>
      <c r="Q489" s="109">
        <f>M489+N489+O489+P489</f>
        <v>5644237075</v>
      </c>
      <c r="R489" s="3">
        <v>5629237075</v>
      </c>
      <c r="S489" s="5"/>
      <c r="T489" s="30">
        <v>15000000</v>
      </c>
      <c r="U489" s="5"/>
      <c r="V489" s="5"/>
      <c r="W489" s="28"/>
      <c r="X489" s="28">
        <f>N489-S489</f>
        <v>0</v>
      </c>
      <c r="Y489" s="28">
        <f>O489-T489</f>
        <v>0</v>
      </c>
      <c r="Z489" s="28">
        <f>P489-U489</f>
        <v>0</v>
      </c>
      <c r="AA489" s="4"/>
      <c r="AB489" s="4"/>
      <c r="AC489">
        <f>IF(AB489=G489,1,2)</f>
        <v>2</v>
      </c>
    </row>
    <row r="490" spans="1:30" customFormat="1" ht="31.2" hidden="1" x14ac:dyDescent="0.3">
      <c r="A490" s="7" t="s">
        <v>18</v>
      </c>
      <c r="B490" s="6">
        <v>321</v>
      </c>
      <c r="C490" s="7" t="s">
        <v>1077</v>
      </c>
      <c r="D490" s="7" t="s">
        <v>1323</v>
      </c>
      <c r="E490" s="7"/>
      <c r="F490" s="4"/>
      <c r="G490" s="7" t="s">
        <v>1324</v>
      </c>
      <c r="H490" s="7"/>
      <c r="I490" s="7"/>
      <c r="J490" s="7" t="s">
        <v>1325</v>
      </c>
      <c r="K490" s="7" t="s">
        <v>24</v>
      </c>
      <c r="L490" s="7" t="s">
        <v>1326</v>
      </c>
      <c r="M490" s="109">
        <v>0</v>
      </c>
      <c r="N490" s="111"/>
      <c r="O490" s="109">
        <v>7500000</v>
      </c>
      <c r="P490" s="110"/>
      <c r="Q490" s="109">
        <f>M490+N490+O490+P490</f>
        <v>7500000</v>
      </c>
      <c r="R490" s="6">
        <v>0</v>
      </c>
      <c r="S490" s="5"/>
      <c r="T490" s="72"/>
      <c r="U490" s="5"/>
      <c r="V490" s="5"/>
      <c r="W490" s="28"/>
      <c r="X490" s="28">
        <f>N490-S490</f>
        <v>0</v>
      </c>
      <c r="Y490" s="36">
        <f>O490-T490</f>
        <v>7500000</v>
      </c>
      <c r="Z490" s="28">
        <f>P490-U490</f>
        <v>0</v>
      </c>
      <c r="AA490" s="4"/>
      <c r="AB490" s="40"/>
      <c r="AC490" s="121">
        <f>IF(AB490=G490,1,2)</f>
        <v>2</v>
      </c>
      <c r="AD490" s="121"/>
    </row>
    <row r="491" spans="1:30" customFormat="1" ht="46.8" hidden="1" x14ac:dyDescent="0.3">
      <c r="A491" s="7" t="s">
        <v>62</v>
      </c>
      <c r="B491" s="6">
        <v>322</v>
      </c>
      <c r="C491" s="7" t="s">
        <v>1077</v>
      </c>
      <c r="D491" s="7" t="s">
        <v>1327</v>
      </c>
      <c r="E491" s="5"/>
      <c r="F491" s="4"/>
      <c r="G491" s="7" t="s">
        <v>1328</v>
      </c>
      <c r="H491" s="5"/>
      <c r="I491" s="5"/>
      <c r="J491" s="7" t="s">
        <v>1329</v>
      </c>
      <c r="K491" s="7" t="s">
        <v>24</v>
      </c>
      <c r="L491" s="7" t="s">
        <v>1330</v>
      </c>
      <c r="M491" s="109">
        <v>1119302208</v>
      </c>
      <c r="N491" s="111"/>
      <c r="O491" s="109">
        <v>15000000</v>
      </c>
      <c r="P491" s="110"/>
      <c r="Q491" s="109">
        <f>M491+N491+O491+P491</f>
        <v>1134302208</v>
      </c>
      <c r="R491" s="3">
        <v>1119302208</v>
      </c>
      <c r="S491" s="5"/>
      <c r="T491" s="30">
        <v>15000000</v>
      </c>
      <c r="U491" s="5"/>
      <c r="V491" s="5"/>
      <c r="W491" s="28"/>
      <c r="X491" s="28">
        <f>N491-S491</f>
        <v>0</v>
      </c>
      <c r="Y491" s="28">
        <f>O491-T491</f>
        <v>0</v>
      </c>
      <c r="Z491" s="28">
        <f>P491-U491</f>
        <v>0</v>
      </c>
      <c r="AA491" s="4"/>
      <c r="AB491" s="4"/>
      <c r="AC491">
        <f>IF(AB491=G491,1,2)</f>
        <v>2</v>
      </c>
    </row>
    <row r="492" spans="1:30" customFormat="1" ht="46.8" hidden="1" x14ac:dyDescent="0.3">
      <c r="A492" s="7" t="s">
        <v>46</v>
      </c>
      <c r="B492" s="6">
        <v>324</v>
      </c>
      <c r="C492" s="7" t="s">
        <v>1077</v>
      </c>
      <c r="D492" s="7" t="s">
        <v>1336</v>
      </c>
      <c r="E492" s="5"/>
      <c r="F492" s="4"/>
      <c r="G492" s="7" t="s">
        <v>1337</v>
      </c>
      <c r="H492" s="5"/>
      <c r="I492" s="5"/>
      <c r="J492" s="7" t="s">
        <v>1338</v>
      </c>
      <c r="K492" s="7" t="s">
        <v>24</v>
      </c>
      <c r="L492" s="7" t="s">
        <v>1339</v>
      </c>
      <c r="M492" s="109">
        <v>11003820410</v>
      </c>
      <c r="N492" s="111"/>
      <c r="O492" s="109">
        <v>15000000</v>
      </c>
      <c r="P492" s="110"/>
      <c r="Q492" s="109">
        <f>M492+N492+O492+P492</f>
        <v>11018820410</v>
      </c>
      <c r="R492" s="3">
        <v>11003820410</v>
      </c>
      <c r="S492" s="5"/>
      <c r="T492" s="30">
        <v>15000000</v>
      </c>
      <c r="U492" s="5"/>
      <c r="V492" s="5"/>
      <c r="W492" s="28"/>
      <c r="X492" s="28">
        <f>N492-S492</f>
        <v>0</v>
      </c>
      <c r="Y492" s="28">
        <f>O492-T492</f>
        <v>0</v>
      </c>
      <c r="Z492" s="28">
        <f>P492-U492</f>
        <v>0</v>
      </c>
      <c r="AA492" s="4"/>
      <c r="AB492" s="4"/>
      <c r="AC492">
        <f>IF(AB492=G492,1,2)</f>
        <v>2</v>
      </c>
    </row>
    <row r="493" spans="1:30" customFormat="1" ht="31.2" hidden="1" x14ac:dyDescent="0.3">
      <c r="A493" s="7" t="s">
        <v>18</v>
      </c>
      <c r="B493" s="6">
        <v>326</v>
      </c>
      <c r="C493" s="7" t="s">
        <v>1077</v>
      </c>
      <c r="D493" s="7" t="s">
        <v>1344</v>
      </c>
      <c r="E493" s="5"/>
      <c r="F493" s="4"/>
      <c r="G493" s="7" t="s">
        <v>1345</v>
      </c>
      <c r="H493" s="5"/>
      <c r="I493" s="5"/>
      <c r="J493" s="7" t="s">
        <v>1346</v>
      </c>
      <c r="K493" s="7" t="s">
        <v>24</v>
      </c>
      <c r="L493" s="7" t="s">
        <v>1347</v>
      </c>
      <c r="M493" s="109">
        <v>8078620056</v>
      </c>
      <c r="N493" s="111"/>
      <c r="O493" s="109">
        <v>15000000</v>
      </c>
      <c r="P493" s="110"/>
      <c r="Q493" s="109">
        <f>M493+N493+O493+P493</f>
        <v>8093620056</v>
      </c>
      <c r="R493" s="3">
        <v>8078620056</v>
      </c>
      <c r="S493" s="5"/>
      <c r="T493" s="30">
        <v>15000000</v>
      </c>
      <c r="U493" s="5"/>
      <c r="V493" s="5"/>
      <c r="W493" s="28"/>
      <c r="X493" s="28">
        <f>N493-S493</f>
        <v>0</v>
      </c>
      <c r="Y493" s="28">
        <f>O493-T493</f>
        <v>0</v>
      </c>
      <c r="Z493" s="28">
        <f>P493-U493</f>
        <v>0</v>
      </c>
      <c r="AA493" s="4"/>
      <c r="AB493" s="4"/>
      <c r="AC493">
        <f>IF(AB493=G493,1,2)</f>
        <v>2</v>
      </c>
    </row>
    <row r="494" spans="1:30" customFormat="1" ht="31.2" hidden="1" x14ac:dyDescent="0.3">
      <c r="A494" s="7" t="s">
        <v>18</v>
      </c>
      <c r="B494" s="6">
        <v>327</v>
      </c>
      <c r="C494" s="7" t="s">
        <v>1077</v>
      </c>
      <c r="D494" s="7" t="s">
        <v>1348</v>
      </c>
      <c r="E494" s="7" t="s">
        <v>1349</v>
      </c>
      <c r="F494" s="4"/>
      <c r="G494" s="7" t="s">
        <v>1350</v>
      </c>
      <c r="H494" s="7"/>
      <c r="I494" s="7"/>
      <c r="J494" s="7" t="s">
        <v>1351</v>
      </c>
      <c r="K494" s="7" t="s">
        <v>24</v>
      </c>
      <c r="L494" s="7" t="s">
        <v>1352</v>
      </c>
      <c r="M494" s="109">
        <v>2028942168</v>
      </c>
      <c r="N494" s="109">
        <v>396202200</v>
      </c>
      <c r="O494" s="109">
        <v>7500000</v>
      </c>
      <c r="P494" s="110"/>
      <c r="Q494" s="109">
        <f>M494+N494+O494+P494</f>
        <v>2432644368</v>
      </c>
      <c r="R494" s="3">
        <v>2028942168</v>
      </c>
      <c r="S494" s="3">
        <v>396202200</v>
      </c>
      <c r="T494" s="72"/>
      <c r="U494" s="5"/>
      <c r="V494" s="5"/>
      <c r="W494" s="28"/>
      <c r="X494" s="28">
        <f>N494-S494</f>
        <v>0</v>
      </c>
      <c r="Y494" s="36">
        <f>O494-T494</f>
        <v>7500000</v>
      </c>
      <c r="Z494" s="28">
        <f>P494-U494</f>
        <v>0</v>
      </c>
      <c r="AA494" s="4"/>
      <c r="AB494" s="40"/>
      <c r="AC494" s="121">
        <f>IF(AB494=G494,1,2)</f>
        <v>2</v>
      </c>
      <c r="AD494" s="121"/>
    </row>
    <row r="495" spans="1:30" customFormat="1" ht="46.8" hidden="1" x14ac:dyDescent="0.3">
      <c r="A495" s="7" t="s">
        <v>18</v>
      </c>
      <c r="B495" s="6">
        <v>328</v>
      </c>
      <c r="C495" s="7" t="s">
        <v>1077</v>
      </c>
      <c r="D495" s="7" t="s">
        <v>1353</v>
      </c>
      <c r="E495" s="5"/>
      <c r="F495" s="4"/>
      <c r="G495" s="7" t="s">
        <v>1354</v>
      </c>
      <c r="H495" s="5"/>
      <c r="I495" s="7" t="s">
        <v>1355</v>
      </c>
      <c r="J495" s="7" t="s">
        <v>1356</v>
      </c>
      <c r="K495" s="7" t="s">
        <v>24</v>
      </c>
      <c r="L495" s="7" t="s">
        <v>1357</v>
      </c>
      <c r="M495" s="109">
        <v>2166823187</v>
      </c>
      <c r="N495" s="111"/>
      <c r="O495" s="109">
        <v>15000000</v>
      </c>
      <c r="P495" s="110"/>
      <c r="Q495" s="109">
        <f>M495+N495+O495+P495</f>
        <v>2181823187</v>
      </c>
      <c r="R495" s="3">
        <v>2166823187</v>
      </c>
      <c r="S495" s="5"/>
      <c r="T495" s="30">
        <v>15000000</v>
      </c>
      <c r="U495" s="5"/>
      <c r="V495" s="5"/>
      <c r="W495" s="28"/>
      <c r="X495" s="28">
        <f>N495-S495</f>
        <v>0</v>
      </c>
      <c r="Y495" s="28">
        <f>O495-T495</f>
        <v>0</v>
      </c>
      <c r="Z495" s="28">
        <f>P495-U495</f>
        <v>0</v>
      </c>
      <c r="AA495" s="4"/>
      <c r="AB495" s="4"/>
      <c r="AC495">
        <f>IF(AB495=G495,1,2)</f>
        <v>2</v>
      </c>
    </row>
    <row r="496" spans="1:30" customFormat="1" ht="31.2" hidden="1" x14ac:dyDescent="0.3">
      <c r="A496" s="7" t="s">
        <v>53</v>
      </c>
      <c r="B496" s="6">
        <v>329</v>
      </c>
      <c r="C496" s="7" t="s">
        <v>1077</v>
      </c>
      <c r="D496" s="7" t="s">
        <v>1358</v>
      </c>
      <c r="E496" s="5"/>
      <c r="F496" s="4"/>
      <c r="G496" s="7" t="s">
        <v>1359</v>
      </c>
      <c r="H496" s="5"/>
      <c r="I496" s="5"/>
      <c r="J496" s="7" t="s">
        <v>1360</v>
      </c>
      <c r="K496" s="7" t="s">
        <v>24</v>
      </c>
      <c r="L496" s="7" t="s">
        <v>1361</v>
      </c>
      <c r="M496" s="109">
        <v>5427333000</v>
      </c>
      <c r="N496" s="111"/>
      <c r="O496" s="109">
        <v>7500000</v>
      </c>
      <c r="P496" s="110"/>
      <c r="Q496" s="109">
        <f>M496+N496+O496+P496</f>
        <v>5434833000</v>
      </c>
      <c r="R496" s="3">
        <v>5427333000</v>
      </c>
      <c r="S496" s="5"/>
      <c r="T496" s="30">
        <v>7500000</v>
      </c>
      <c r="U496" s="5"/>
      <c r="V496" s="5"/>
      <c r="W496" s="28"/>
      <c r="X496" s="28">
        <f>N496-S496</f>
        <v>0</v>
      </c>
      <c r="Y496" s="28">
        <f>O496-T496</f>
        <v>0</v>
      </c>
      <c r="Z496" s="28">
        <f>P496-U496</f>
        <v>0</v>
      </c>
      <c r="AA496" s="4"/>
      <c r="AB496" s="4"/>
      <c r="AC496">
        <f>IF(AB496=G496,1,2)</f>
        <v>2</v>
      </c>
    </row>
    <row r="497" spans="1:30" customFormat="1" ht="31.2" hidden="1" x14ac:dyDescent="0.3">
      <c r="A497" s="7" t="s">
        <v>53</v>
      </c>
      <c r="B497" s="6">
        <v>330</v>
      </c>
      <c r="C497" s="7" t="s">
        <v>1077</v>
      </c>
      <c r="D497" s="7" t="s">
        <v>1362</v>
      </c>
      <c r="E497" s="5"/>
      <c r="F497" s="4"/>
      <c r="G497" s="7" t="s">
        <v>1363</v>
      </c>
      <c r="H497" s="5"/>
      <c r="I497" s="5"/>
      <c r="J497" s="7" t="s">
        <v>1364</v>
      </c>
      <c r="K497" s="7" t="s">
        <v>24</v>
      </c>
      <c r="L497" s="7" t="s">
        <v>1365</v>
      </c>
      <c r="M497" s="109">
        <v>1292171692</v>
      </c>
      <c r="N497" s="111"/>
      <c r="O497" s="109">
        <v>7500000</v>
      </c>
      <c r="P497" s="110"/>
      <c r="Q497" s="109">
        <f>M497+N497+O497+P497</f>
        <v>1299671692</v>
      </c>
      <c r="R497" s="3">
        <v>1292171692</v>
      </c>
      <c r="S497" s="5"/>
      <c r="T497" s="30">
        <v>7500000</v>
      </c>
      <c r="U497" s="5"/>
      <c r="V497" s="5"/>
      <c r="W497" s="28"/>
      <c r="X497" s="28">
        <f>N497-S497</f>
        <v>0</v>
      </c>
      <c r="Y497" s="28">
        <f>O497-T497</f>
        <v>0</v>
      </c>
      <c r="Z497" s="28">
        <f>P497-U497</f>
        <v>0</v>
      </c>
      <c r="AA497" s="4"/>
      <c r="AB497" s="4"/>
      <c r="AC497">
        <f>IF(AB497=G497,1,2)</f>
        <v>2</v>
      </c>
    </row>
    <row r="498" spans="1:30" customFormat="1" ht="62.4" hidden="1" customHeight="1" x14ac:dyDescent="0.3">
      <c r="A498" s="7" t="s">
        <v>53</v>
      </c>
      <c r="B498" s="6">
        <v>331</v>
      </c>
      <c r="C498" s="7" t="s">
        <v>1077</v>
      </c>
      <c r="D498" s="7" t="s">
        <v>1366</v>
      </c>
      <c r="E498" s="7" t="s">
        <v>914</v>
      </c>
      <c r="F498" s="4"/>
      <c r="G498" s="7" t="s">
        <v>1367</v>
      </c>
      <c r="H498" s="5"/>
      <c r="I498" s="5"/>
      <c r="J498" s="7" t="s">
        <v>1368</v>
      </c>
      <c r="K498" s="7" t="s">
        <v>24</v>
      </c>
      <c r="L498" s="7" t="s">
        <v>1369</v>
      </c>
      <c r="M498" s="109">
        <v>6687219200</v>
      </c>
      <c r="N498" s="109">
        <v>415250000</v>
      </c>
      <c r="O498" s="109">
        <v>7500000</v>
      </c>
      <c r="P498" s="110"/>
      <c r="Q498" s="109">
        <f>M498+N498+O498+P498</f>
        <v>7109969200</v>
      </c>
      <c r="R498" s="3">
        <v>6687219200</v>
      </c>
      <c r="S498" s="3">
        <v>415250000</v>
      </c>
      <c r="T498" s="30">
        <v>7500000</v>
      </c>
      <c r="U498" s="5"/>
      <c r="V498" s="5"/>
      <c r="W498" s="28"/>
      <c r="X498" s="28">
        <f>N498-S498</f>
        <v>0</v>
      </c>
      <c r="Y498" s="28">
        <f>O498-T498</f>
        <v>0</v>
      </c>
      <c r="Z498" s="28">
        <f>P498-U498</f>
        <v>0</v>
      </c>
      <c r="AA498" s="4"/>
      <c r="AB498" s="4"/>
      <c r="AC498">
        <f>IF(AB498=G498,1,2)</f>
        <v>2</v>
      </c>
    </row>
    <row r="499" spans="1:30" customFormat="1" ht="46.8" hidden="1" x14ac:dyDescent="0.3">
      <c r="A499" s="7" t="s">
        <v>18</v>
      </c>
      <c r="B499" s="6">
        <v>332</v>
      </c>
      <c r="C499" s="7" t="s">
        <v>1077</v>
      </c>
      <c r="D499" s="7" t="s">
        <v>1370</v>
      </c>
      <c r="E499" s="5"/>
      <c r="F499" s="4"/>
      <c r="G499" s="7" t="s">
        <v>1371</v>
      </c>
      <c r="H499" s="5"/>
      <c r="I499" s="5"/>
      <c r="J499" s="7" t="s">
        <v>1372</v>
      </c>
      <c r="K499" s="7" t="s">
        <v>24</v>
      </c>
      <c r="L499" s="7" t="s">
        <v>1373</v>
      </c>
      <c r="M499" s="109">
        <v>1954058966</v>
      </c>
      <c r="N499" s="111"/>
      <c r="O499" s="109">
        <v>15000000</v>
      </c>
      <c r="P499" s="110"/>
      <c r="Q499" s="109">
        <f>M499+N499+O499+P499</f>
        <v>1969058966</v>
      </c>
      <c r="R499" s="3">
        <v>1954058966</v>
      </c>
      <c r="S499" s="5"/>
      <c r="T499" s="30">
        <v>15000000</v>
      </c>
      <c r="U499" s="5"/>
      <c r="V499" s="5"/>
      <c r="W499" s="28"/>
      <c r="X499" s="28">
        <f>N499-S499</f>
        <v>0</v>
      </c>
      <c r="Y499" s="28">
        <f>O499-T499</f>
        <v>0</v>
      </c>
      <c r="Z499" s="28">
        <f>P499-U499</f>
        <v>0</v>
      </c>
      <c r="AA499" s="4"/>
      <c r="AB499" s="4"/>
      <c r="AC499">
        <f>IF(AB499=G499,1,2)</f>
        <v>2</v>
      </c>
    </row>
    <row r="500" spans="1:30" customFormat="1" ht="46.8" hidden="1" x14ac:dyDescent="0.3">
      <c r="A500" s="7" t="s">
        <v>53</v>
      </c>
      <c r="B500" s="6">
        <v>333</v>
      </c>
      <c r="C500" s="7" t="s">
        <v>1077</v>
      </c>
      <c r="D500" s="7" t="s">
        <v>1374</v>
      </c>
      <c r="E500" s="5"/>
      <c r="F500" s="4"/>
      <c r="G500" s="7" t="s">
        <v>1375</v>
      </c>
      <c r="H500" s="5"/>
      <c r="I500" s="5"/>
      <c r="J500" s="7" t="s">
        <v>1376</v>
      </c>
      <c r="K500" s="7" t="s">
        <v>24</v>
      </c>
      <c r="L500" s="7" t="s">
        <v>1377</v>
      </c>
      <c r="M500" s="109">
        <v>2411362824</v>
      </c>
      <c r="N500" s="111"/>
      <c r="O500" s="109">
        <v>7500000</v>
      </c>
      <c r="P500" s="110"/>
      <c r="Q500" s="109">
        <f>M500+N500+O500+P500</f>
        <v>2418862824</v>
      </c>
      <c r="R500" s="3">
        <v>2411362824</v>
      </c>
      <c r="S500" s="5"/>
      <c r="T500" s="30">
        <v>7500000</v>
      </c>
      <c r="U500" s="5"/>
      <c r="V500" s="5"/>
      <c r="W500" s="28"/>
      <c r="X500" s="28">
        <f>N500-S500</f>
        <v>0</v>
      </c>
      <c r="Y500" s="28">
        <f>O500-T500</f>
        <v>0</v>
      </c>
      <c r="Z500" s="28">
        <f>P500-U500</f>
        <v>0</v>
      </c>
      <c r="AA500" s="4"/>
      <c r="AB500" s="4"/>
      <c r="AC500">
        <f>IF(AB500=G500,1,2)</f>
        <v>2</v>
      </c>
    </row>
    <row r="501" spans="1:30" customFormat="1" ht="46.8" hidden="1" x14ac:dyDescent="0.3">
      <c r="A501" s="7" t="s">
        <v>53</v>
      </c>
      <c r="B501" s="6">
        <v>334</v>
      </c>
      <c r="C501" s="7" t="s">
        <v>1077</v>
      </c>
      <c r="D501" s="7" t="s">
        <v>1378</v>
      </c>
      <c r="E501" s="5"/>
      <c r="F501" s="4"/>
      <c r="G501" s="7" t="s">
        <v>1379</v>
      </c>
      <c r="H501" s="5"/>
      <c r="I501" s="5"/>
      <c r="J501" s="7" t="s">
        <v>1380</v>
      </c>
      <c r="K501" s="7" t="s">
        <v>24</v>
      </c>
      <c r="L501" s="7" t="s">
        <v>1381</v>
      </c>
      <c r="M501" s="109">
        <v>1176308218</v>
      </c>
      <c r="N501" s="111"/>
      <c r="O501" s="109">
        <v>7500000</v>
      </c>
      <c r="P501" s="110"/>
      <c r="Q501" s="109">
        <f>M501+N501+O501+P501</f>
        <v>1183808218</v>
      </c>
      <c r="R501" s="3">
        <v>1176308218</v>
      </c>
      <c r="S501" s="5"/>
      <c r="T501" s="30">
        <v>7500000</v>
      </c>
      <c r="U501" s="5"/>
      <c r="V501" s="5"/>
      <c r="W501" s="28"/>
      <c r="X501" s="28">
        <f>N501-S501</f>
        <v>0</v>
      </c>
      <c r="Y501" s="28">
        <f>O501-T501</f>
        <v>0</v>
      </c>
      <c r="Z501" s="28">
        <f>P501-U501</f>
        <v>0</v>
      </c>
      <c r="AA501" s="4"/>
      <c r="AB501" s="4"/>
      <c r="AC501">
        <f>IF(AB501=G501,1,2)</f>
        <v>2</v>
      </c>
    </row>
    <row r="502" spans="1:30" customFormat="1" ht="31.2" hidden="1" x14ac:dyDescent="0.3">
      <c r="A502" s="7" t="s">
        <v>46</v>
      </c>
      <c r="B502" s="6">
        <v>335</v>
      </c>
      <c r="C502" s="7" t="s">
        <v>1077</v>
      </c>
      <c r="D502" s="7" t="s">
        <v>1382</v>
      </c>
      <c r="E502" s="41" t="s">
        <v>1383</v>
      </c>
      <c r="F502" s="4"/>
      <c r="G502" s="7" t="s">
        <v>1384</v>
      </c>
      <c r="H502" s="41" t="s">
        <v>1385</v>
      </c>
      <c r="I502" s="5"/>
      <c r="J502" s="7" t="s">
        <v>1386</v>
      </c>
      <c r="K502" s="41" t="s">
        <v>24</v>
      </c>
      <c r="L502" s="7" t="s">
        <v>1387</v>
      </c>
      <c r="M502" s="109">
        <v>768083200</v>
      </c>
      <c r="N502" s="109">
        <v>1230901182</v>
      </c>
      <c r="O502" s="109">
        <v>15000000</v>
      </c>
      <c r="P502" s="110"/>
      <c r="Q502" s="109">
        <f>M502+N502+O502+P502</f>
        <v>2013984382</v>
      </c>
      <c r="R502" s="3">
        <v>768083200</v>
      </c>
      <c r="S502" s="3">
        <v>1230901182</v>
      </c>
      <c r="T502" s="30">
        <v>15000000</v>
      </c>
      <c r="U502" s="5"/>
      <c r="V502" s="5"/>
      <c r="W502" s="28"/>
      <c r="X502" s="28">
        <f>N502-S502</f>
        <v>0</v>
      </c>
      <c r="Y502" s="28">
        <f>O502-T502</f>
        <v>0</v>
      </c>
      <c r="Z502" s="28">
        <f>P502-U502</f>
        <v>0</v>
      </c>
      <c r="AA502" s="4"/>
      <c r="AB502" s="4"/>
      <c r="AC502">
        <f>IF(AB502=G502,1,2)</f>
        <v>2</v>
      </c>
    </row>
    <row r="503" spans="1:30" customFormat="1" ht="31.2" hidden="1" x14ac:dyDescent="0.3">
      <c r="A503" s="7" t="s">
        <v>62</v>
      </c>
      <c r="B503" s="6">
        <v>336</v>
      </c>
      <c r="C503" s="7" t="s">
        <v>1077</v>
      </c>
      <c r="D503" s="7" t="s">
        <v>1388</v>
      </c>
      <c r="E503" s="5"/>
      <c r="F503" s="4"/>
      <c r="G503" s="7" t="s">
        <v>1389</v>
      </c>
      <c r="H503" s="5"/>
      <c r="I503" s="5"/>
      <c r="J503" s="7" t="s">
        <v>1390</v>
      </c>
      <c r="K503" s="7" t="s">
        <v>24</v>
      </c>
      <c r="L503" s="7" t="s">
        <v>1391</v>
      </c>
      <c r="M503" s="109">
        <v>0</v>
      </c>
      <c r="N503" s="111"/>
      <c r="O503" s="109">
        <v>7500000</v>
      </c>
      <c r="P503" s="110"/>
      <c r="Q503" s="109">
        <f>M503+N503+O503+P503</f>
        <v>7500000</v>
      </c>
      <c r="R503" s="6">
        <v>0</v>
      </c>
      <c r="S503" s="5"/>
      <c r="T503" s="30">
        <v>7500000</v>
      </c>
      <c r="U503" s="5"/>
      <c r="V503" s="5"/>
      <c r="W503" s="28"/>
      <c r="X503" s="28">
        <f>N503-S503</f>
        <v>0</v>
      </c>
      <c r="Y503" s="28">
        <f>O503-T503</f>
        <v>0</v>
      </c>
      <c r="Z503" s="28">
        <f>P503-U503</f>
        <v>0</v>
      </c>
      <c r="AA503" s="4"/>
      <c r="AB503" s="4"/>
      <c r="AC503">
        <f>IF(AB503=G503,1,2)</f>
        <v>2</v>
      </c>
    </row>
    <row r="504" spans="1:30" customFormat="1" ht="31.2" hidden="1" x14ac:dyDescent="0.3">
      <c r="A504" s="7" t="s">
        <v>46</v>
      </c>
      <c r="B504" s="6">
        <v>337</v>
      </c>
      <c r="C504" s="7" t="s">
        <v>1077</v>
      </c>
      <c r="D504" s="7" t="s">
        <v>1392</v>
      </c>
      <c r="E504" s="5"/>
      <c r="F504" s="4"/>
      <c r="G504" s="7" t="s">
        <v>1393</v>
      </c>
      <c r="H504" s="5"/>
      <c r="I504" s="5"/>
      <c r="J504" s="7" t="s">
        <v>1394</v>
      </c>
      <c r="K504" s="7" t="s">
        <v>24</v>
      </c>
      <c r="L504" s="7" t="s">
        <v>1395</v>
      </c>
      <c r="M504" s="109">
        <v>486048836</v>
      </c>
      <c r="N504" s="111"/>
      <c r="O504" s="109">
        <v>7500000</v>
      </c>
      <c r="P504" s="110"/>
      <c r="Q504" s="109">
        <f>M504+N504+O504+P504</f>
        <v>493548836</v>
      </c>
      <c r="R504" s="3">
        <v>486048836</v>
      </c>
      <c r="S504" s="5"/>
      <c r="T504" s="30">
        <v>7500000</v>
      </c>
      <c r="U504" s="5"/>
      <c r="V504" s="5"/>
      <c r="W504" s="28"/>
      <c r="X504" s="28">
        <f>N504-S504</f>
        <v>0</v>
      </c>
      <c r="Y504" s="28">
        <f>O504-T504</f>
        <v>0</v>
      </c>
      <c r="Z504" s="28">
        <f>P504-U504</f>
        <v>0</v>
      </c>
      <c r="AA504" s="4"/>
      <c r="AB504" s="4"/>
      <c r="AC504">
        <f>IF(AB504=G504,1,2)</f>
        <v>2</v>
      </c>
    </row>
    <row r="505" spans="1:30" customFormat="1" ht="31.2" hidden="1" x14ac:dyDescent="0.3">
      <c r="A505" s="7" t="s">
        <v>46</v>
      </c>
      <c r="B505" s="6">
        <v>339</v>
      </c>
      <c r="C505" s="7" t="s">
        <v>1077</v>
      </c>
      <c r="D505" s="7" t="s">
        <v>1403</v>
      </c>
      <c r="E505" s="5"/>
      <c r="F505" s="4"/>
      <c r="G505" s="7" t="s">
        <v>1404</v>
      </c>
      <c r="H505" s="5"/>
      <c r="I505" s="5"/>
      <c r="J505" s="7" t="s">
        <v>1405</v>
      </c>
      <c r="K505" s="7" t="s">
        <v>24</v>
      </c>
      <c r="L505" s="7" t="s">
        <v>1406</v>
      </c>
      <c r="M505" s="109">
        <v>1514795152</v>
      </c>
      <c r="N505" s="111"/>
      <c r="O505" s="109">
        <v>15000000</v>
      </c>
      <c r="P505" s="110"/>
      <c r="Q505" s="109">
        <f>M505+N505+O505+P505</f>
        <v>1529795152</v>
      </c>
      <c r="R505" s="3">
        <v>1514795152</v>
      </c>
      <c r="S505" s="5"/>
      <c r="T505" s="30">
        <v>15000000</v>
      </c>
      <c r="U505" s="5"/>
      <c r="V505" s="5"/>
      <c r="W505" s="28"/>
      <c r="X505" s="28">
        <f>N505-S505</f>
        <v>0</v>
      </c>
      <c r="Y505" s="28">
        <f>O505-T505</f>
        <v>0</v>
      </c>
      <c r="Z505" s="28">
        <f>P505-U505</f>
        <v>0</v>
      </c>
      <c r="AA505" s="4"/>
      <c r="AB505" s="4"/>
      <c r="AC505">
        <f>IF(AB505=G505,1,2)</f>
        <v>2</v>
      </c>
    </row>
    <row r="506" spans="1:30" customFormat="1" ht="31.2" hidden="1" x14ac:dyDescent="0.3">
      <c r="A506" s="7" t="s">
        <v>53</v>
      </c>
      <c r="B506" s="6">
        <v>340</v>
      </c>
      <c r="C506" s="7" t="s">
        <v>1077</v>
      </c>
      <c r="D506" s="7" t="s">
        <v>1407</v>
      </c>
      <c r="E506" s="7"/>
      <c r="F506" s="4"/>
      <c r="G506" s="7" t="s">
        <v>1408</v>
      </c>
      <c r="H506" s="7"/>
      <c r="I506" s="7"/>
      <c r="J506" s="7" t="s">
        <v>1409</v>
      </c>
      <c r="K506" s="7" t="s">
        <v>24</v>
      </c>
      <c r="L506" s="7" t="s">
        <v>1410</v>
      </c>
      <c r="M506" s="109">
        <v>0</v>
      </c>
      <c r="N506" s="111"/>
      <c r="O506" s="109">
        <v>7500000</v>
      </c>
      <c r="P506" s="110"/>
      <c r="Q506" s="109">
        <f>M506+N506+O506+P506</f>
        <v>7500000</v>
      </c>
      <c r="R506" s="6">
        <v>0</v>
      </c>
      <c r="S506" s="5"/>
      <c r="T506" s="72"/>
      <c r="U506" s="5"/>
      <c r="V506" s="5"/>
      <c r="W506" s="28"/>
      <c r="X506" s="28">
        <f>N506-S506</f>
        <v>0</v>
      </c>
      <c r="Y506" s="36">
        <f>O506-T506</f>
        <v>7500000</v>
      </c>
      <c r="Z506" s="28">
        <f>P506-U506</f>
        <v>0</v>
      </c>
      <c r="AA506" s="4"/>
      <c r="AB506" s="40"/>
      <c r="AC506" s="121">
        <f>IF(AB506=G506,1,2)</f>
        <v>2</v>
      </c>
      <c r="AD506" s="121"/>
    </row>
    <row r="507" spans="1:30" customFormat="1" ht="46.8" hidden="1" x14ac:dyDescent="0.3">
      <c r="A507" s="7" t="s">
        <v>53</v>
      </c>
      <c r="B507" s="6">
        <v>342</v>
      </c>
      <c r="C507" s="7" t="s">
        <v>1077</v>
      </c>
      <c r="D507" s="7" t="s">
        <v>1416</v>
      </c>
      <c r="E507" s="5"/>
      <c r="F507" s="4"/>
      <c r="G507" s="7" t="s">
        <v>1417</v>
      </c>
      <c r="H507" s="5"/>
      <c r="I507" s="5"/>
      <c r="J507" s="7" t="s">
        <v>1418</v>
      </c>
      <c r="K507" s="7" t="s">
        <v>24</v>
      </c>
      <c r="L507" s="7" t="s">
        <v>1419</v>
      </c>
      <c r="M507" s="109">
        <v>938372032</v>
      </c>
      <c r="N507" s="111"/>
      <c r="O507" s="109">
        <v>15000000</v>
      </c>
      <c r="P507" s="110"/>
      <c r="Q507" s="109">
        <f>M507+N507+O507+P507</f>
        <v>953372032</v>
      </c>
      <c r="R507" s="3">
        <v>938372032</v>
      </c>
      <c r="S507" s="5"/>
      <c r="T507" s="30">
        <v>15000000</v>
      </c>
      <c r="U507" s="5"/>
      <c r="V507" s="5"/>
      <c r="W507" s="28"/>
      <c r="X507" s="28">
        <f>N507-S507</f>
        <v>0</v>
      </c>
      <c r="Y507" s="28">
        <f>O507-T507</f>
        <v>0</v>
      </c>
      <c r="Z507" s="28">
        <f>P507-U507</f>
        <v>0</v>
      </c>
      <c r="AA507" s="4"/>
      <c r="AB507" s="4"/>
      <c r="AC507">
        <f>IF(AB507=G507,1,2)</f>
        <v>2</v>
      </c>
    </row>
    <row r="508" spans="1:30" customFormat="1" ht="31.2" hidden="1" x14ac:dyDescent="0.3">
      <c r="A508" s="7" t="s">
        <v>46</v>
      </c>
      <c r="B508" s="6">
        <v>343</v>
      </c>
      <c r="C508" s="7" t="s">
        <v>1077</v>
      </c>
      <c r="D508" s="7" t="s">
        <v>1420</v>
      </c>
      <c r="E508" s="5"/>
      <c r="F508" s="4"/>
      <c r="G508" s="7" t="s">
        <v>1421</v>
      </c>
      <c r="H508" s="5"/>
      <c r="I508" s="5"/>
      <c r="J508" s="7" t="s">
        <v>1422</v>
      </c>
      <c r="K508" s="7" t="s">
        <v>24</v>
      </c>
      <c r="L508" s="7" t="s">
        <v>1423</v>
      </c>
      <c r="M508" s="109">
        <v>296069312</v>
      </c>
      <c r="N508" s="111"/>
      <c r="O508" s="109">
        <v>7500000</v>
      </c>
      <c r="P508" s="110"/>
      <c r="Q508" s="109">
        <f>M508+N508+O508+P508</f>
        <v>303569312</v>
      </c>
      <c r="R508" s="3">
        <v>296069312</v>
      </c>
      <c r="S508" s="5"/>
      <c r="T508" s="30">
        <v>7500000</v>
      </c>
      <c r="U508" s="5"/>
      <c r="V508" s="5"/>
      <c r="W508" s="28"/>
      <c r="X508" s="28">
        <f>N508-S508</f>
        <v>0</v>
      </c>
      <c r="Y508" s="28">
        <f>O508-T508</f>
        <v>0</v>
      </c>
      <c r="Z508" s="28">
        <f>P508-U508</f>
        <v>0</v>
      </c>
      <c r="AA508" s="4"/>
      <c r="AB508" s="4"/>
      <c r="AC508">
        <f>IF(AB508=G508,1,2)</f>
        <v>2</v>
      </c>
    </row>
    <row r="509" spans="1:30" customFormat="1" ht="46.8" hidden="1" x14ac:dyDescent="0.3">
      <c r="A509" s="7" t="s">
        <v>18</v>
      </c>
      <c r="B509" s="6">
        <v>345</v>
      </c>
      <c r="C509" s="7" t="s">
        <v>1077</v>
      </c>
      <c r="D509" s="7" t="s">
        <v>1429</v>
      </c>
      <c r="E509" s="7"/>
      <c r="F509" s="4"/>
      <c r="G509" s="7" t="s">
        <v>1430</v>
      </c>
      <c r="H509" s="7"/>
      <c r="I509" s="7"/>
      <c r="J509" s="7" t="s">
        <v>1431</v>
      </c>
      <c r="K509" s="7" t="s">
        <v>24</v>
      </c>
      <c r="L509" s="7" t="s">
        <v>1432</v>
      </c>
      <c r="M509" s="109">
        <v>10000000</v>
      </c>
      <c r="N509" s="111"/>
      <c r="O509" s="109">
        <v>15000000</v>
      </c>
      <c r="P509" s="110"/>
      <c r="Q509" s="109">
        <f>M509+N509+O509+P509</f>
        <v>25000000</v>
      </c>
      <c r="R509" s="5"/>
      <c r="S509" s="5"/>
      <c r="T509" s="72"/>
      <c r="U509" s="5"/>
      <c r="V509" s="5"/>
      <c r="W509" s="28">
        <v>10000000</v>
      </c>
      <c r="X509" s="28">
        <f>N509-S509</f>
        <v>0</v>
      </c>
      <c r="Y509" s="36">
        <f>O509-T509</f>
        <v>15000000</v>
      </c>
      <c r="Z509" s="28">
        <f>P509-U509</f>
        <v>0</v>
      </c>
      <c r="AA509" s="10">
        <v>10000000</v>
      </c>
      <c r="AB509" s="40"/>
      <c r="AC509" s="121">
        <f>IF(AB509=G509,1,2)</f>
        <v>2</v>
      </c>
      <c r="AD509" s="121"/>
    </row>
    <row r="510" spans="1:30" customFormat="1" ht="78" hidden="1" customHeight="1" x14ac:dyDescent="0.3">
      <c r="A510" s="7" t="s">
        <v>46</v>
      </c>
      <c r="B510" s="6">
        <v>346</v>
      </c>
      <c r="C510" s="7" t="s">
        <v>1077</v>
      </c>
      <c r="D510" s="7" t="s">
        <v>1433</v>
      </c>
      <c r="E510" s="7" t="s">
        <v>373</v>
      </c>
      <c r="F510" s="4"/>
      <c r="G510" s="7" t="s">
        <v>1434</v>
      </c>
      <c r="H510" s="7" t="s">
        <v>1435</v>
      </c>
      <c r="I510" s="5"/>
      <c r="J510" s="7" t="s">
        <v>1436</v>
      </c>
      <c r="K510" s="7" t="s">
        <v>24</v>
      </c>
      <c r="L510" s="7" t="s">
        <v>1437</v>
      </c>
      <c r="M510" s="109">
        <v>11061492360</v>
      </c>
      <c r="N510" s="109">
        <v>127192000</v>
      </c>
      <c r="O510" s="109">
        <v>15000000</v>
      </c>
      <c r="P510" s="110"/>
      <c r="Q510" s="109">
        <f>M510+N510+O510+P510</f>
        <v>11203684360</v>
      </c>
      <c r="R510" s="3">
        <v>11061492360</v>
      </c>
      <c r="S510" s="3">
        <v>127192000</v>
      </c>
      <c r="T510" s="30">
        <v>15000000</v>
      </c>
      <c r="U510" s="5"/>
      <c r="V510" s="5"/>
      <c r="W510" s="28"/>
      <c r="X510" s="28">
        <f>N510-S510</f>
        <v>0</v>
      </c>
      <c r="Y510" s="28">
        <f>O510-T510</f>
        <v>0</v>
      </c>
      <c r="Z510" s="28">
        <f>P510-U510</f>
        <v>0</v>
      </c>
      <c r="AA510" s="4"/>
      <c r="AB510" s="4"/>
      <c r="AC510">
        <f>IF(AB510=G510,1,2)</f>
        <v>2</v>
      </c>
    </row>
    <row r="511" spans="1:30" customFormat="1" ht="46.8" hidden="1" x14ac:dyDescent="0.3">
      <c r="A511" s="7" t="s">
        <v>18</v>
      </c>
      <c r="B511" s="6">
        <v>347</v>
      </c>
      <c r="C511" s="7" t="s">
        <v>1077</v>
      </c>
      <c r="D511" s="7" t="s">
        <v>1438</v>
      </c>
      <c r="E511" s="5"/>
      <c r="F511" s="4"/>
      <c r="G511" s="7" t="s">
        <v>1439</v>
      </c>
      <c r="H511" s="5"/>
      <c r="I511" s="5"/>
      <c r="J511" s="7" t="s">
        <v>1440</v>
      </c>
      <c r="K511" s="7" t="s">
        <v>24</v>
      </c>
      <c r="L511" s="7" t="s">
        <v>1441</v>
      </c>
      <c r="M511" s="109">
        <v>551324800</v>
      </c>
      <c r="N511" s="111"/>
      <c r="O511" s="109">
        <v>15000000</v>
      </c>
      <c r="P511" s="110"/>
      <c r="Q511" s="109">
        <f>M511+N511+O511+P511</f>
        <v>566324800</v>
      </c>
      <c r="R511" s="3">
        <v>551324800</v>
      </c>
      <c r="S511" s="5"/>
      <c r="T511" s="30">
        <v>15000000</v>
      </c>
      <c r="U511" s="5"/>
      <c r="V511" s="5"/>
      <c r="W511" s="28"/>
      <c r="X511" s="28">
        <f>N511-S511</f>
        <v>0</v>
      </c>
      <c r="Y511" s="28">
        <f>O511-T511</f>
        <v>0</v>
      </c>
      <c r="Z511" s="28">
        <f>P511-U511</f>
        <v>0</v>
      </c>
      <c r="AA511" s="4"/>
      <c r="AB511" s="4"/>
      <c r="AC511">
        <f>IF(AB511=G511,1,2)</f>
        <v>2</v>
      </c>
    </row>
    <row r="512" spans="1:30" customFormat="1" ht="31.2" hidden="1" x14ac:dyDescent="0.3">
      <c r="A512" s="7" t="s">
        <v>62</v>
      </c>
      <c r="B512" s="6">
        <v>348</v>
      </c>
      <c r="C512" s="7" t="s">
        <v>1077</v>
      </c>
      <c r="D512" s="7" t="s">
        <v>1442</v>
      </c>
      <c r="E512" s="5"/>
      <c r="F512" s="4"/>
      <c r="G512" s="7" t="s">
        <v>1443</v>
      </c>
      <c r="H512" s="5"/>
      <c r="I512" s="5"/>
      <c r="J512" s="7" t="s">
        <v>1444</v>
      </c>
      <c r="K512" s="7" t="s">
        <v>24</v>
      </c>
      <c r="L512" s="7" t="s">
        <v>1445</v>
      </c>
      <c r="M512" s="109">
        <v>4341330000</v>
      </c>
      <c r="N512" s="111"/>
      <c r="O512" s="109">
        <v>7500000</v>
      </c>
      <c r="P512" s="110"/>
      <c r="Q512" s="109">
        <f>M512+N512+O512+P512</f>
        <v>4348830000</v>
      </c>
      <c r="R512" s="3">
        <v>4341330000</v>
      </c>
      <c r="S512" s="5"/>
      <c r="T512" s="30">
        <v>7500000</v>
      </c>
      <c r="U512" s="5"/>
      <c r="V512" s="5"/>
      <c r="W512" s="28"/>
      <c r="X512" s="28">
        <f>N512-S512</f>
        <v>0</v>
      </c>
      <c r="Y512" s="28">
        <f>O512-T512</f>
        <v>0</v>
      </c>
      <c r="Z512" s="28">
        <f>P512-U512</f>
        <v>0</v>
      </c>
      <c r="AA512" s="4"/>
      <c r="AB512" s="4"/>
      <c r="AC512">
        <f>IF(AB512=G512,1,2)</f>
        <v>2</v>
      </c>
    </row>
    <row r="513" spans="1:30" customFormat="1" ht="46.8" hidden="1" x14ac:dyDescent="0.3">
      <c r="A513" s="7" t="s">
        <v>53</v>
      </c>
      <c r="B513" s="6">
        <v>349</v>
      </c>
      <c r="C513" s="7" t="s">
        <v>1077</v>
      </c>
      <c r="D513" s="7" t="s">
        <v>1446</v>
      </c>
      <c r="E513" s="5"/>
      <c r="F513" s="4"/>
      <c r="G513" s="7" t="s">
        <v>1447</v>
      </c>
      <c r="H513" s="5"/>
      <c r="I513" s="5"/>
      <c r="J513" s="7" t="s">
        <v>1448</v>
      </c>
      <c r="K513" s="7" t="s">
        <v>24</v>
      </c>
      <c r="L513" s="7" t="s">
        <v>1449</v>
      </c>
      <c r="M513" s="109">
        <v>674476192</v>
      </c>
      <c r="N513" s="111"/>
      <c r="O513" s="109">
        <v>15000000</v>
      </c>
      <c r="P513" s="110"/>
      <c r="Q513" s="109">
        <f>M513+N513+O513+P513</f>
        <v>689476192</v>
      </c>
      <c r="R513" s="3">
        <v>674476192</v>
      </c>
      <c r="S513" s="5"/>
      <c r="T513" s="30">
        <v>15000000</v>
      </c>
      <c r="U513" s="5"/>
      <c r="V513" s="5"/>
      <c r="W513" s="28"/>
      <c r="X513" s="28">
        <f>N513-S513</f>
        <v>0</v>
      </c>
      <c r="Y513" s="28">
        <f>O513-T513</f>
        <v>0</v>
      </c>
      <c r="Z513" s="28">
        <f>P513-U513</f>
        <v>0</v>
      </c>
      <c r="AA513" s="4"/>
      <c r="AB513" s="4"/>
      <c r="AC513">
        <f>IF(AB513=G513,1,2)</f>
        <v>2</v>
      </c>
    </row>
    <row r="514" spans="1:30" customFormat="1" ht="46.8" hidden="1" x14ac:dyDescent="0.3">
      <c r="A514" s="7" t="s">
        <v>18</v>
      </c>
      <c r="B514" s="6">
        <v>350</v>
      </c>
      <c r="C514" s="7" t="s">
        <v>1077</v>
      </c>
      <c r="D514" s="7" t="s">
        <v>1450</v>
      </c>
      <c r="E514" s="5"/>
      <c r="F514" s="4"/>
      <c r="G514" s="7" t="s">
        <v>1451</v>
      </c>
      <c r="H514" s="5"/>
      <c r="I514" s="5"/>
      <c r="J514" s="7" t="s">
        <v>1452</v>
      </c>
      <c r="K514" s="7" t="s">
        <v>24</v>
      </c>
      <c r="L514" s="7" t="s">
        <v>1453</v>
      </c>
      <c r="M514" s="109">
        <v>65141933</v>
      </c>
      <c r="N514" s="111"/>
      <c r="O514" s="109">
        <v>7500000</v>
      </c>
      <c r="P514" s="110"/>
      <c r="Q514" s="109">
        <f>M514+N514+O514+P514</f>
        <v>72641933</v>
      </c>
      <c r="R514" s="3">
        <v>65141933</v>
      </c>
      <c r="S514" s="5"/>
      <c r="T514" s="30">
        <v>7500000</v>
      </c>
      <c r="U514" s="5"/>
      <c r="V514" s="5"/>
      <c r="W514" s="28"/>
      <c r="X514" s="28">
        <f>N514-S514</f>
        <v>0</v>
      </c>
      <c r="Y514" s="28">
        <f>O514-T514</f>
        <v>0</v>
      </c>
      <c r="Z514" s="28">
        <f>P514-U514</f>
        <v>0</v>
      </c>
      <c r="AA514" s="4"/>
      <c r="AB514" s="4"/>
      <c r="AC514">
        <f>IF(AB514=G514,1,2)</f>
        <v>2</v>
      </c>
    </row>
    <row r="515" spans="1:30" customFormat="1" ht="46.8" hidden="1" x14ac:dyDescent="0.3">
      <c r="A515" s="7" t="s">
        <v>53</v>
      </c>
      <c r="B515" s="6">
        <v>351</v>
      </c>
      <c r="C515" s="7" t="s">
        <v>1077</v>
      </c>
      <c r="D515" s="7" t="s">
        <v>1454</v>
      </c>
      <c r="E515" s="5"/>
      <c r="F515" s="4"/>
      <c r="G515" s="7" t="s">
        <v>1455</v>
      </c>
      <c r="H515" s="5"/>
      <c r="I515" s="5"/>
      <c r="J515" s="7" t="s">
        <v>1456</v>
      </c>
      <c r="K515" s="7" t="s">
        <v>24</v>
      </c>
      <c r="L515" s="7" t="s">
        <v>1457</v>
      </c>
      <c r="M515" s="109">
        <v>2508309760</v>
      </c>
      <c r="N515" s="111"/>
      <c r="O515" s="109">
        <v>15000000</v>
      </c>
      <c r="P515" s="110"/>
      <c r="Q515" s="109">
        <f>M515+N515+O515+P515</f>
        <v>2523309760</v>
      </c>
      <c r="R515" s="3">
        <v>2508309760</v>
      </c>
      <c r="S515" s="5"/>
      <c r="T515" s="30">
        <v>15000000</v>
      </c>
      <c r="U515" s="5"/>
      <c r="V515" s="5"/>
      <c r="W515" s="28"/>
      <c r="X515" s="28">
        <f>N515-S515</f>
        <v>0</v>
      </c>
      <c r="Y515" s="28">
        <f>O515-T515</f>
        <v>0</v>
      </c>
      <c r="Z515" s="28">
        <f>P515-U515</f>
        <v>0</v>
      </c>
      <c r="AA515" s="4"/>
      <c r="AB515" s="4"/>
      <c r="AC515">
        <f>IF(AB515=G515,1,2)</f>
        <v>2</v>
      </c>
    </row>
    <row r="516" spans="1:30" customFormat="1" ht="46.8" hidden="1" x14ac:dyDescent="0.3">
      <c r="A516" s="7" t="s">
        <v>46</v>
      </c>
      <c r="B516" s="6">
        <v>352</v>
      </c>
      <c r="C516" s="7" t="s">
        <v>1077</v>
      </c>
      <c r="D516" s="7" t="s">
        <v>1458</v>
      </c>
      <c r="E516" s="7"/>
      <c r="F516" s="4"/>
      <c r="G516" s="7" t="s">
        <v>1459</v>
      </c>
      <c r="H516" s="7"/>
      <c r="I516" s="7"/>
      <c r="J516" s="7" t="s">
        <v>1460</v>
      </c>
      <c r="K516" s="7" t="s">
        <v>24</v>
      </c>
      <c r="L516" s="7" t="s">
        <v>1461</v>
      </c>
      <c r="M516" s="109">
        <v>0</v>
      </c>
      <c r="N516" s="111"/>
      <c r="O516" s="109">
        <v>7500000</v>
      </c>
      <c r="P516" s="110"/>
      <c r="Q516" s="109">
        <f>M516+N516+O516+P516</f>
        <v>7500000</v>
      </c>
      <c r="R516" s="6">
        <v>0</v>
      </c>
      <c r="S516" s="5"/>
      <c r="T516" s="72"/>
      <c r="U516" s="5"/>
      <c r="V516" s="5"/>
      <c r="W516" s="28"/>
      <c r="X516" s="28">
        <f>N516-S516</f>
        <v>0</v>
      </c>
      <c r="Y516" s="36">
        <f>O516-T516</f>
        <v>7500000</v>
      </c>
      <c r="Z516" s="28">
        <f>P516-U516</f>
        <v>0</v>
      </c>
      <c r="AA516" s="4"/>
      <c r="AB516" s="40"/>
      <c r="AC516" s="121">
        <f>IF(AB516=G516,1,2)</f>
        <v>2</v>
      </c>
      <c r="AD516" s="121"/>
    </row>
    <row r="517" spans="1:30" customFormat="1" ht="31.2" hidden="1" x14ac:dyDescent="0.3">
      <c r="A517" s="7" t="s">
        <v>46</v>
      </c>
      <c r="B517" s="6">
        <v>353</v>
      </c>
      <c r="C517" s="7" t="s">
        <v>1077</v>
      </c>
      <c r="D517" s="7" t="s">
        <v>1462</v>
      </c>
      <c r="E517" s="5"/>
      <c r="F517" s="4"/>
      <c r="G517" s="7" t="s">
        <v>1463</v>
      </c>
      <c r="H517" s="5"/>
      <c r="I517" s="5"/>
      <c r="J517" s="7" t="s">
        <v>1464</v>
      </c>
      <c r="K517" s="7" t="s">
        <v>24</v>
      </c>
      <c r="L517" s="7" t="s">
        <v>1465</v>
      </c>
      <c r="M517" s="109">
        <v>3137001240</v>
      </c>
      <c r="N517" s="111"/>
      <c r="O517" s="109">
        <v>15000000</v>
      </c>
      <c r="P517" s="110"/>
      <c r="Q517" s="109">
        <f>M517+N517+O517+P517</f>
        <v>3152001240</v>
      </c>
      <c r="R517" s="3">
        <v>3137001240</v>
      </c>
      <c r="S517" s="5"/>
      <c r="T517" s="30">
        <v>15000000</v>
      </c>
      <c r="U517" s="5"/>
      <c r="V517" s="5"/>
      <c r="W517" s="28"/>
      <c r="X517" s="28">
        <f>N517-S517</f>
        <v>0</v>
      </c>
      <c r="Y517" s="28">
        <f>O517-T517</f>
        <v>0</v>
      </c>
      <c r="Z517" s="28">
        <f>P517-U517</f>
        <v>0</v>
      </c>
      <c r="AA517" s="4"/>
      <c r="AB517" s="4"/>
      <c r="AC517">
        <f>IF(AB517=G517,1,2)</f>
        <v>2</v>
      </c>
    </row>
    <row r="518" spans="1:30" customFormat="1" ht="31.2" hidden="1" x14ac:dyDescent="0.3">
      <c r="A518" s="7" t="s">
        <v>46</v>
      </c>
      <c r="B518" s="6">
        <v>354</v>
      </c>
      <c r="C518" s="7" t="s">
        <v>1077</v>
      </c>
      <c r="D518" s="7" t="s">
        <v>1466</v>
      </c>
      <c r="E518" s="5"/>
      <c r="F518" s="4"/>
      <c r="G518" s="7" t="s">
        <v>1467</v>
      </c>
      <c r="H518" s="5"/>
      <c r="I518" s="5"/>
      <c r="J518" s="7" t="s">
        <v>1468</v>
      </c>
      <c r="K518" s="7" t="s">
        <v>24</v>
      </c>
      <c r="L518" s="7" t="s">
        <v>1469</v>
      </c>
      <c r="M518" s="109">
        <v>2986318488</v>
      </c>
      <c r="N518" s="111"/>
      <c r="O518" s="109">
        <v>15000000</v>
      </c>
      <c r="P518" s="110"/>
      <c r="Q518" s="109">
        <f>M518+N518+O518+P518</f>
        <v>3001318488</v>
      </c>
      <c r="R518" s="3">
        <v>2986318488</v>
      </c>
      <c r="S518" s="5"/>
      <c r="T518" s="30">
        <v>15000000</v>
      </c>
      <c r="U518" s="5"/>
      <c r="V518" s="5"/>
      <c r="W518" s="28"/>
      <c r="X518" s="28">
        <f>N518-S518</f>
        <v>0</v>
      </c>
      <c r="Y518" s="28">
        <f>O518-T518</f>
        <v>0</v>
      </c>
      <c r="Z518" s="28">
        <f>P518-U518</f>
        <v>0</v>
      </c>
      <c r="AA518" s="4"/>
      <c r="AB518" s="4"/>
      <c r="AC518">
        <f>IF(AB518=G518,1,2)</f>
        <v>2</v>
      </c>
    </row>
    <row r="519" spans="1:30" customFormat="1" ht="46.8" hidden="1" x14ac:dyDescent="0.3">
      <c r="A519" s="7" t="s">
        <v>62</v>
      </c>
      <c r="B519" s="6">
        <v>355</v>
      </c>
      <c r="C519" s="7" t="s">
        <v>1077</v>
      </c>
      <c r="D519" s="7" t="s">
        <v>1470</v>
      </c>
      <c r="E519" s="5"/>
      <c r="F519" s="4"/>
      <c r="G519" s="7" t="s">
        <v>1471</v>
      </c>
      <c r="H519" s="5"/>
      <c r="I519" s="5"/>
      <c r="J519" s="7" t="s">
        <v>1472</v>
      </c>
      <c r="K519" s="7" t="s">
        <v>24</v>
      </c>
      <c r="L519" s="7" t="s">
        <v>1473</v>
      </c>
      <c r="M519" s="109">
        <v>124614064</v>
      </c>
      <c r="N519" s="111"/>
      <c r="O519" s="109">
        <v>7500000</v>
      </c>
      <c r="P519" s="110"/>
      <c r="Q519" s="109">
        <f>M519+N519+O519+P519</f>
        <v>132114064</v>
      </c>
      <c r="R519" s="3">
        <v>124614064</v>
      </c>
      <c r="S519" s="5"/>
      <c r="T519" s="30">
        <v>7500000</v>
      </c>
      <c r="U519" s="5"/>
      <c r="V519" s="5"/>
      <c r="W519" s="28"/>
      <c r="X519" s="28">
        <f>N519-S519</f>
        <v>0</v>
      </c>
      <c r="Y519" s="28">
        <f>O519-T519</f>
        <v>0</v>
      </c>
      <c r="Z519" s="28">
        <f>P519-U519</f>
        <v>0</v>
      </c>
      <c r="AA519" s="4"/>
      <c r="AB519" s="4"/>
      <c r="AC519">
        <f>IF(AB519=G519,1,2)</f>
        <v>2</v>
      </c>
    </row>
    <row r="520" spans="1:30" customFormat="1" ht="31.2" hidden="1" x14ac:dyDescent="0.3">
      <c r="A520" s="7" t="s">
        <v>18</v>
      </c>
      <c r="B520" s="6">
        <v>356</v>
      </c>
      <c r="C520" s="7" t="s">
        <v>1077</v>
      </c>
      <c r="D520" s="7" t="s">
        <v>1474</v>
      </c>
      <c r="E520" s="5"/>
      <c r="F520" s="4"/>
      <c r="G520" s="7" t="s">
        <v>1475</v>
      </c>
      <c r="H520" s="5"/>
      <c r="I520" s="5"/>
      <c r="J520" s="7" t="s">
        <v>1476</v>
      </c>
      <c r="K520" s="7" t="s">
        <v>24</v>
      </c>
      <c r="L520" s="7" t="s">
        <v>1477</v>
      </c>
      <c r="M520" s="109">
        <v>2246345440</v>
      </c>
      <c r="N520" s="111"/>
      <c r="O520" s="109">
        <v>15000000</v>
      </c>
      <c r="P520" s="110"/>
      <c r="Q520" s="109">
        <f>M520+N520+O520+P520</f>
        <v>2261345440</v>
      </c>
      <c r="R520" s="3">
        <v>2246345440</v>
      </c>
      <c r="S520" s="5"/>
      <c r="T520" s="30">
        <v>15000000</v>
      </c>
      <c r="U520" s="5"/>
      <c r="V520" s="5"/>
      <c r="W520" s="28"/>
      <c r="X520" s="28">
        <f>N520-S520</f>
        <v>0</v>
      </c>
      <c r="Y520" s="28">
        <f>O520-T520</f>
        <v>0</v>
      </c>
      <c r="Z520" s="28">
        <f>P520-U520</f>
        <v>0</v>
      </c>
      <c r="AA520" s="4"/>
      <c r="AB520" s="4"/>
      <c r="AC520">
        <f>IF(AB520=G520,1,2)</f>
        <v>2</v>
      </c>
    </row>
    <row r="521" spans="1:30" customFormat="1" ht="31.2" hidden="1" x14ac:dyDescent="0.3">
      <c r="A521" s="7" t="s">
        <v>46</v>
      </c>
      <c r="B521" s="6">
        <v>357</v>
      </c>
      <c r="C521" s="7" t="s">
        <v>1077</v>
      </c>
      <c r="D521" s="7" t="s">
        <v>1478</v>
      </c>
      <c r="E521" s="5"/>
      <c r="F521" s="4"/>
      <c r="G521" s="7" t="s">
        <v>1479</v>
      </c>
      <c r="H521" s="5"/>
      <c r="I521" s="5"/>
      <c r="J521" s="7" t="s">
        <v>1480</v>
      </c>
      <c r="K521" s="7" t="s">
        <v>24</v>
      </c>
      <c r="L521" s="7" t="s">
        <v>1481</v>
      </c>
      <c r="M521" s="109">
        <v>693893100</v>
      </c>
      <c r="N521" s="111"/>
      <c r="O521" s="109">
        <v>15000000</v>
      </c>
      <c r="P521" s="110"/>
      <c r="Q521" s="109">
        <f>M521+N521+O521+P521</f>
        <v>708893100</v>
      </c>
      <c r="R521" s="3">
        <v>693893100</v>
      </c>
      <c r="S521" s="5"/>
      <c r="T521" s="30">
        <v>15000000</v>
      </c>
      <c r="U521" s="5"/>
      <c r="V521" s="5"/>
      <c r="W521" s="28"/>
      <c r="X521" s="28">
        <f>N521-S521</f>
        <v>0</v>
      </c>
      <c r="Y521" s="28">
        <f>O521-T521</f>
        <v>0</v>
      </c>
      <c r="Z521" s="28">
        <f>P521-U521</f>
        <v>0</v>
      </c>
      <c r="AA521" s="4"/>
      <c r="AB521" s="4"/>
      <c r="AC521">
        <f>IF(AB521=G521,1,2)</f>
        <v>2</v>
      </c>
    </row>
    <row r="522" spans="1:30" customFormat="1" ht="31.2" hidden="1" x14ac:dyDescent="0.3">
      <c r="A522" s="7" t="s">
        <v>18</v>
      </c>
      <c r="B522" s="6">
        <v>359</v>
      </c>
      <c r="C522" s="7" t="s">
        <v>1077</v>
      </c>
      <c r="D522" s="7" t="s">
        <v>1486</v>
      </c>
      <c r="E522" s="7"/>
      <c r="F522" s="4"/>
      <c r="G522" s="7" t="s">
        <v>1487</v>
      </c>
      <c r="H522" s="7"/>
      <c r="I522" s="7"/>
      <c r="J522" s="7" t="s">
        <v>1488</v>
      </c>
      <c r="K522" s="7" t="s">
        <v>24</v>
      </c>
      <c r="L522" s="7" t="s">
        <v>1489</v>
      </c>
      <c r="M522" s="109">
        <v>1333962300</v>
      </c>
      <c r="N522" s="111"/>
      <c r="O522" s="109">
        <v>7500000</v>
      </c>
      <c r="P522" s="110"/>
      <c r="Q522" s="109">
        <f>M522+N522+O522+P522</f>
        <v>1341462300</v>
      </c>
      <c r="R522" s="3">
        <v>1333962300</v>
      </c>
      <c r="S522" s="5"/>
      <c r="T522" s="72"/>
      <c r="U522" s="5"/>
      <c r="V522" s="5"/>
      <c r="W522" s="28"/>
      <c r="X522" s="28">
        <f>N522-S522</f>
        <v>0</v>
      </c>
      <c r="Y522" s="36">
        <f>O522-T522</f>
        <v>7500000</v>
      </c>
      <c r="Z522" s="28">
        <f>P522-U522</f>
        <v>0</v>
      </c>
      <c r="AA522" s="4"/>
      <c r="AB522" s="40"/>
      <c r="AC522" s="121">
        <f>IF(AB522=G522,1,2)</f>
        <v>2</v>
      </c>
      <c r="AD522" s="121"/>
    </row>
    <row r="523" spans="1:30" customFormat="1" ht="31.2" hidden="1" x14ac:dyDescent="0.3">
      <c r="A523" s="7" t="s">
        <v>18</v>
      </c>
      <c r="B523" s="6">
        <v>360</v>
      </c>
      <c r="C523" s="7" t="s">
        <v>1077</v>
      </c>
      <c r="D523" s="7" t="s">
        <v>1490</v>
      </c>
      <c r="E523" s="5"/>
      <c r="F523" s="4"/>
      <c r="G523" s="7" t="s">
        <v>1491</v>
      </c>
      <c r="H523" s="7" t="s">
        <v>1282</v>
      </c>
      <c r="I523" s="5"/>
      <c r="J523" s="7" t="s">
        <v>1492</v>
      </c>
      <c r="K523" s="7" t="s">
        <v>24</v>
      </c>
      <c r="L523" s="7" t="s">
        <v>1493</v>
      </c>
      <c r="M523" s="109">
        <v>1884646500</v>
      </c>
      <c r="N523" s="111"/>
      <c r="O523" s="109">
        <v>7500000</v>
      </c>
      <c r="P523" s="110"/>
      <c r="Q523" s="109">
        <f>M523+N523+O523+P523</f>
        <v>1892146500</v>
      </c>
      <c r="R523" s="3">
        <v>1884646500</v>
      </c>
      <c r="S523" s="5"/>
      <c r="T523" s="30">
        <v>7500000</v>
      </c>
      <c r="U523" s="5"/>
      <c r="V523" s="5"/>
      <c r="W523" s="28"/>
      <c r="X523" s="28">
        <f>N523-S523</f>
        <v>0</v>
      </c>
      <c r="Y523" s="28">
        <f>O523-T523</f>
        <v>0</v>
      </c>
      <c r="Z523" s="28">
        <f>P523-U523</f>
        <v>0</v>
      </c>
      <c r="AA523" s="4"/>
      <c r="AB523" s="4"/>
      <c r="AC523">
        <f>IF(AB523=G523,1,2)</f>
        <v>2</v>
      </c>
    </row>
    <row r="524" spans="1:30" customFormat="1" ht="46.8" hidden="1" x14ac:dyDescent="0.3">
      <c r="A524" s="7" t="s">
        <v>18</v>
      </c>
      <c r="B524" s="6">
        <v>361</v>
      </c>
      <c r="C524" s="7" t="s">
        <v>1077</v>
      </c>
      <c r="D524" s="7" t="s">
        <v>1494</v>
      </c>
      <c r="E524" s="5"/>
      <c r="F524" s="4"/>
      <c r="G524" s="7" t="s">
        <v>1495</v>
      </c>
      <c r="H524" s="5"/>
      <c r="I524" s="5"/>
      <c r="J524" s="7" t="s">
        <v>1496</v>
      </c>
      <c r="K524" s="7" t="s">
        <v>24</v>
      </c>
      <c r="L524" s="7" t="s">
        <v>1497</v>
      </c>
      <c r="M524" s="109">
        <v>827738776</v>
      </c>
      <c r="N524" s="111"/>
      <c r="O524" s="109">
        <v>15000000</v>
      </c>
      <c r="P524" s="110"/>
      <c r="Q524" s="109">
        <f>M524+N524+O524+P524</f>
        <v>842738776</v>
      </c>
      <c r="R524" s="3">
        <v>827738776</v>
      </c>
      <c r="S524" s="5"/>
      <c r="T524" s="30">
        <v>15000000</v>
      </c>
      <c r="U524" s="5"/>
      <c r="V524" s="5"/>
      <c r="W524" s="28"/>
      <c r="X524" s="28">
        <f>N524-S524</f>
        <v>0</v>
      </c>
      <c r="Y524" s="28">
        <f>O524-T524</f>
        <v>0</v>
      </c>
      <c r="Z524" s="28">
        <f>P524-U524</f>
        <v>0</v>
      </c>
      <c r="AA524" s="4"/>
      <c r="AB524" s="4"/>
      <c r="AC524">
        <f>IF(AB524=G524,1,2)</f>
        <v>2</v>
      </c>
    </row>
    <row r="525" spans="1:30" customFormat="1" ht="46.8" hidden="1" x14ac:dyDescent="0.3">
      <c r="A525" s="7" t="s">
        <v>53</v>
      </c>
      <c r="B525" s="6">
        <v>362</v>
      </c>
      <c r="C525" s="7" t="s">
        <v>1077</v>
      </c>
      <c r="D525" s="7" t="s">
        <v>1498</v>
      </c>
      <c r="E525" s="5"/>
      <c r="F525" s="4"/>
      <c r="G525" s="7" t="s">
        <v>1499</v>
      </c>
      <c r="H525" s="5"/>
      <c r="I525" s="5"/>
      <c r="J525" s="7" t="s">
        <v>1500</v>
      </c>
      <c r="K525" s="7" t="s">
        <v>24</v>
      </c>
      <c r="L525" s="7" t="s">
        <v>1501</v>
      </c>
      <c r="M525" s="109">
        <v>3291977680</v>
      </c>
      <c r="N525" s="111"/>
      <c r="O525" s="109">
        <v>15000000</v>
      </c>
      <c r="P525" s="110"/>
      <c r="Q525" s="109">
        <f>M525+N525+O525+P525</f>
        <v>3306977680</v>
      </c>
      <c r="R525" s="3">
        <v>3291977680</v>
      </c>
      <c r="S525" s="5"/>
      <c r="T525" s="31">
        <v>15000000</v>
      </c>
      <c r="U525" s="5"/>
      <c r="V525" s="5"/>
      <c r="W525" s="28"/>
      <c r="X525" s="28">
        <f>N525-S525</f>
        <v>0</v>
      </c>
      <c r="Y525" s="28">
        <f>O525-T525</f>
        <v>0</v>
      </c>
      <c r="Z525" s="28">
        <f>P525-U525</f>
        <v>0</v>
      </c>
      <c r="AA525" s="4"/>
      <c r="AB525" s="4"/>
      <c r="AC525">
        <f>IF(AB525=G525,1,2)</f>
        <v>2</v>
      </c>
    </row>
    <row r="526" spans="1:30" customFormat="1" ht="46.8" hidden="1" x14ac:dyDescent="0.3">
      <c r="A526" s="7" t="s">
        <v>53</v>
      </c>
      <c r="B526" s="6">
        <v>363</v>
      </c>
      <c r="C526" s="7" t="s">
        <v>1077</v>
      </c>
      <c r="D526" s="7" t="s">
        <v>1502</v>
      </c>
      <c r="E526" s="5"/>
      <c r="F526" s="4"/>
      <c r="G526" s="7" t="s">
        <v>1503</v>
      </c>
      <c r="H526" s="5"/>
      <c r="I526" s="5"/>
      <c r="J526" s="7" t="s">
        <v>1422</v>
      </c>
      <c r="K526" s="7" t="s">
        <v>24</v>
      </c>
      <c r="L526" s="7" t="s">
        <v>1504</v>
      </c>
      <c r="M526" s="109">
        <v>937421750</v>
      </c>
      <c r="N526" s="111"/>
      <c r="O526" s="109">
        <v>7500000</v>
      </c>
      <c r="P526" s="110"/>
      <c r="Q526" s="109">
        <f>M526+N526+O526+P526</f>
        <v>944921750</v>
      </c>
      <c r="R526" s="3">
        <v>937421750</v>
      </c>
      <c r="S526" s="5"/>
      <c r="T526" s="30">
        <v>7500000</v>
      </c>
      <c r="U526" s="5"/>
      <c r="V526" s="5"/>
      <c r="W526" s="28"/>
      <c r="X526" s="28">
        <f>N526-S526</f>
        <v>0</v>
      </c>
      <c r="Y526" s="28">
        <f>O526-T526</f>
        <v>0</v>
      </c>
      <c r="Z526" s="28">
        <f>P526-U526</f>
        <v>0</v>
      </c>
      <c r="AA526" s="4"/>
      <c r="AB526" s="4"/>
      <c r="AC526">
        <f>IF(AB526=G526,1,2)</f>
        <v>2</v>
      </c>
    </row>
    <row r="527" spans="1:30" customFormat="1" ht="46.8" hidden="1" x14ac:dyDescent="0.3">
      <c r="A527" s="7" t="s">
        <v>62</v>
      </c>
      <c r="B527" s="6">
        <v>364</v>
      </c>
      <c r="C527" s="7" t="s">
        <v>1077</v>
      </c>
      <c r="D527" s="7" t="s">
        <v>1505</v>
      </c>
      <c r="E527" s="7" t="s">
        <v>1506</v>
      </c>
      <c r="F527" s="4"/>
      <c r="G527" s="7" t="s">
        <v>1507</v>
      </c>
      <c r="H527" s="7" t="s">
        <v>1508</v>
      </c>
      <c r="I527" s="5"/>
      <c r="J527" s="7" t="s">
        <v>1509</v>
      </c>
      <c r="K527" s="7" t="s">
        <v>24</v>
      </c>
      <c r="L527" s="7" t="s">
        <v>1510</v>
      </c>
      <c r="M527" s="109">
        <v>10000000</v>
      </c>
      <c r="N527" s="109">
        <v>762996660</v>
      </c>
      <c r="O527" s="109">
        <v>15000000</v>
      </c>
      <c r="P527" s="110"/>
      <c r="Q527" s="109">
        <f>M527+N527+O527+P527</f>
        <v>787996660</v>
      </c>
      <c r="R527" s="3">
        <v>10000000</v>
      </c>
      <c r="S527" s="3">
        <v>762996660</v>
      </c>
      <c r="T527" s="30">
        <v>15000000</v>
      </c>
      <c r="U527" s="5"/>
      <c r="V527" s="5"/>
      <c r="W527" s="28"/>
      <c r="X527" s="28">
        <f>N527-S527</f>
        <v>0</v>
      </c>
      <c r="Y527" s="28">
        <f>O527-T527</f>
        <v>0</v>
      </c>
      <c r="Z527" s="28">
        <f>P527-U527</f>
        <v>0</v>
      </c>
      <c r="AA527" s="4"/>
      <c r="AB527" s="4"/>
      <c r="AC527">
        <f>IF(AB527=G527,1,2)</f>
        <v>2</v>
      </c>
    </row>
    <row r="528" spans="1:30" customFormat="1" ht="46.8" hidden="1" x14ac:dyDescent="0.3">
      <c r="A528" s="7" t="s">
        <v>46</v>
      </c>
      <c r="B528" s="6">
        <v>365</v>
      </c>
      <c r="C528" s="7" t="s">
        <v>1077</v>
      </c>
      <c r="D528" s="7" t="s">
        <v>1511</v>
      </c>
      <c r="E528" s="7" t="s">
        <v>1512</v>
      </c>
      <c r="F528" s="4"/>
      <c r="G528" s="7" t="s">
        <v>1513</v>
      </c>
      <c r="H528" s="7" t="s">
        <v>1514</v>
      </c>
      <c r="I528" s="5"/>
      <c r="J528" s="7" t="s">
        <v>197</v>
      </c>
      <c r="K528" s="7" t="s">
        <v>24</v>
      </c>
      <c r="L528" s="7" t="s">
        <v>1515</v>
      </c>
      <c r="M528" s="109">
        <v>1975869376</v>
      </c>
      <c r="N528" s="109">
        <v>579124224</v>
      </c>
      <c r="O528" s="109">
        <v>15000000</v>
      </c>
      <c r="P528" s="110"/>
      <c r="Q528" s="109">
        <f>M528+N528+O528+P528</f>
        <v>2569993600</v>
      </c>
      <c r="R528" s="3">
        <v>1975869376</v>
      </c>
      <c r="S528" s="3">
        <v>579124224</v>
      </c>
      <c r="T528" s="30">
        <v>15000000</v>
      </c>
      <c r="U528" s="5"/>
      <c r="V528" s="5"/>
      <c r="W528" s="28"/>
      <c r="X528" s="28">
        <f>N528-S528</f>
        <v>0</v>
      </c>
      <c r="Y528" s="28">
        <f>O528-T528</f>
        <v>0</v>
      </c>
      <c r="Z528" s="28">
        <f>P528-U528</f>
        <v>0</v>
      </c>
      <c r="AA528" s="4"/>
      <c r="AB528" s="4"/>
      <c r="AC528">
        <f>IF(AB528=G528,1,2)</f>
        <v>2</v>
      </c>
    </row>
    <row r="529" spans="1:30" customFormat="1" ht="46.8" hidden="1" x14ac:dyDescent="0.3">
      <c r="A529" s="7" t="s">
        <v>53</v>
      </c>
      <c r="B529" s="6">
        <v>366</v>
      </c>
      <c r="C529" s="7" t="s">
        <v>1077</v>
      </c>
      <c r="D529" s="7" t="s">
        <v>1516</v>
      </c>
      <c r="E529" s="7" t="s">
        <v>914</v>
      </c>
      <c r="F529" s="4"/>
      <c r="G529" s="7" t="s">
        <v>1517</v>
      </c>
      <c r="H529" s="5"/>
      <c r="I529" s="5"/>
      <c r="J529" s="7" t="s">
        <v>1518</v>
      </c>
      <c r="K529" s="7" t="s">
        <v>24</v>
      </c>
      <c r="L529" s="7" t="s">
        <v>1519</v>
      </c>
      <c r="M529" s="109">
        <v>1715172160</v>
      </c>
      <c r="N529" s="109">
        <v>196024320</v>
      </c>
      <c r="O529" s="109">
        <v>15000000</v>
      </c>
      <c r="P529" s="110"/>
      <c r="Q529" s="109">
        <f>M529+N529+O529+P529</f>
        <v>1926196480</v>
      </c>
      <c r="R529" s="3">
        <v>1715172160</v>
      </c>
      <c r="S529" s="3">
        <v>196024320</v>
      </c>
      <c r="T529" s="30">
        <v>15000000</v>
      </c>
      <c r="U529" s="5"/>
      <c r="V529" s="5"/>
      <c r="W529" s="28"/>
      <c r="X529" s="28">
        <f>N529-S529</f>
        <v>0</v>
      </c>
      <c r="Y529" s="28">
        <f>O529-T529</f>
        <v>0</v>
      </c>
      <c r="Z529" s="28">
        <f>P529-U529</f>
        <v>0</v>
      </c>
      <c r="AA529" s="4"/>
      <c r="AB529" s="4"/>
      <c r="AC529">
        <f>IF(AB529=G529,1,2)</f>
        <v>2</v>
      </c>
    </row>
    <row r="530" spans="1:30" customFormat="1" ht="31.2" hidden="1" x14ac:dyDescent="0.3">
      <c r="A530" s="7" t="s">
        <v>46</v>
      </c>
      <c r="B530" s="6">
        <v>367</v>
      </c>
      <c r="C530" s="7" t="s">
        <v>1077</v>
      </c>
      <c r="D530" s="7" t="s">
        <v>1520</v>
      </c>
      <c r="E530" s="5"/>
      <c r="F530" s="4"/>
      <c r="G530" s="7" t="s">
        <v>1521</v>
      </c>
      <c r="H530" s="5"/>
      <c r="I530" s="5"/>
      <c r="J530" s="7" t="s">
        <v>1522</v>
      </c>
      <c r="K530" s="7" t="s">
        <v>24</v>
      </c>
      <c r="L530" s="7" t="s">
        <v>1523</v>
      </c>
      <c r="M530" s="109">
        <v>1139494794</v>
      </c>
      <c r="N530" s="111"/>
      <c r="O530" s="109">
        <v>7500000</v>
      </c>
      <c r="P530" s="110"/>
      <c r="Q530" s="109">
        <f>M530+N530+O530+P530</f>
        <v>1146994794</v>
      </c>
      <c r="R530" s="3">
        <v>1139494794</v>
      </c>
      <c r="S530" s="5"/>
      <c r="T530" s="30">
        <v>7500000</v>
      </c>
      <c r="U530" s="5"/>
      <c r="V530" s="5"/>
      <c r="W530" s="28"/>
      <c r="X530" s="28">
        <f>N530-S530</f>
        <v>0</v>
      </c>
      <c r="Y530" s="28">
        <f>O530-T530</f>
        <v>0</v>
      </c>
      <c r="Z530" s="28">
        <f>P530-U530</f>
        <v>0</v>
      </c>
      <c r="AA530" s="4"/>
      <c r="AB530" s="4"/>
      <c r="AC530">
        <f>IF(AB530=G530,1,2)</f>
        <v>2</v>
      </c>
    </row>
    <row r="531" spans="1:30" customFormat="1" ht="46.8" hidden="1" x14ac:dyDescent="0.3">
      <c r="A531" s="7" t="s">
        <v>62</v>
      </c>
      <c r="B531" s="6">
        <v>368</v>
      </c>
      <c r="C531" s="7" t="s">
        <v>1077</v>
      </c>
      <c r="D531" s="7" t="s">
        <v>1524</v>
      </c>
      <c r="E531" s="5"/>
      <c r="F531" s="4"/>
      <c r="G531" s="7" t="s">
        <v>1525</v>
      </c>
      <c r="H531" s="5"/>
      <c r="I531" s="5"/>
      <c r="J531" s="7" t="s">
        <v>1526</v>
      </c>
      <c r="K531" s="7" t="s">
        <v>24</v>
      </c>
      <c r="L531" s="7" t="s">
        <v>1527</v>
      </c>
      <c r="M531" s="109">
        <v>3291977680</v>
      </c>
      <c r="N531" s="111"/>
      <c r="O531" s="109">
        <v>15000000</v>
      </c>
      <c r="P531" s="110"/>
      <c r="Q531" s="109">
        <f>M531+N531+O531+P531</f>
        <v>3306977680</v>
      </c>
      <c r="R531" s="3">
        <v>3291977680</v>
      </c>
      <c r="S531" s="5"/>
      <c r="T531" s="30">
        <v>15000000</v>
      </c>
      <c r="U531" s="5"/>
      <c r="V531" s="5"/>
      <c r="W531" s="28"/>
      <c r="X531" s="28">
        <f>N531-S531</f>
        <v>0</v>
      </c>
      <c r="Y531" s="28">
        <f>O531-T531</f>
        <v>0</v>
      </c>
      <c r="Z531" s="28">
        <f>P531-U531</f>
        <v>0</v>
      </c>
      <c r="AA531" s="4"/>
      <c r="AB531" s="4"/>
      <c r="AC531">
        <f>IF(AB531=G531,1,2)</f>
        <v>2</v>
      </c>
    </row>
    <row r="532" spans="1:30" customFormat="1" ht="46.8" hidden="1" x14ac:dyDescent="0.3">
      <c r="A532" s="7" t="s">
        <v>18</v>
      </c>
      <c r="B532" s="6">
        <v>369</v>
      </c>
      <c r="C532" s="7" t="s">
        <v>1077</v>
      </c>
      <c r="D532" s="7" t="s">
        <v>1528</v>
      </c>
      <c r="E532" s="5"/>
      <c r="F532" s="4"/>
      <c r="G532" s="7" t="s">
        <v>1529</v>
      </c>
      <c r="H532" s="5"/>
      <c r="I532" s="5"/>
      <c r="J532" s="7" t="s">
        <v>1530</v>
      </c>
      <c r="K532" s="7" t="s">
        <v>24</v>
      </c>
      <c r="L532" s="7" t="s">
        <v>1531</v>
      </c>
      <c r="M532" s="109">
        <v>923485600</v>
      </c>
      <c r="N532" s="111"/>
      <c r="O532" s="109">
        <v>15000000</v>
      </c>
      <c r="P532" s="110"/>
      <c r="Q532" s="109">
        <f>M532+N532+O532+P532</f>
        <v>938485600</v>
      </c>
      <c r="R532" s="3">
        <v>923485600</v>
      </c>
      <c r="S532" s="5"/>
      <c r="T532" s="30">
        <v>15000000</v>
      </c>
      <c r="U532" s="5"/>
      <c r="V532" s="5"/>
      <c r="W532" s="28"/>
      <c r="X532" s="28">
        <f>N532-S532</f>
        <v>0</v>
      </c>
      <c r="Y532" s="28">
        <f>O532-T532</f>
        <v>0</v>
      </c>
      <c r="Z532" s="28">
        <f>P532-U532</f>
        <v>0</v>
      </c>
      <c r="AA532" s="4"/>
      <c r="AB532" s="4"/>
      <c r="AC532">
        <f>IF(AB532=G532,1,2)</f>
        <v>2</v>
      </c>
    </row>
    <row r="533" spans="1:30" customFormat="1" ht="62.4" hidden="1" x14ac:dyDescent="0.3">
      <c r="A533" s="7" t="s">
        <v>46</v>
      </c>
      <c r="B533" s="6">
        <v>370</v>
      </c>
      <c r="C533" s="7" t="s">
        <v>1077</v>
      </c>
      <c r="D533" s="7" t="s">
        <v>1532</v>
      </c>
      <c r="E533" s="7" t="s">
        <v>3872</v>
      </c>
      <c r="F533" s="4"/>
      <c r="G533" s="7" t="s">
        <v>1534</v>
      </c>
      <c r="H533" s="7" t="s">
        <v>3900</v>
      </c>
      <c r="I533" s="5"/>
      <c r="J533" s="7" t="s">
        <v>1536</v>
      </c>
      <c r="K533" s="7" t="s">
        <v>24</v>
      </c>
      <c r="L533" s="7" t="s">
        <v>1537</v>
      </c>
      <c r="M533" s="109">
        <v>2060615056</v>
      </c>
      <c r="N533" s="109">
        <v>753654790</v>
      </c>
      <c r="O533" s="109">
        <v>15000000</v>
      </c>
      <c r="P533" s="110"/>
      <c r="Q533" s="109">
        <f>M533+N533+O533+P533</f>
        <v>2829269846</v>
      </c>
      <c r="R533" s="3">
        <v>2060615056</v>
      </c>
      <c r="S533" s="3">
        <v>753654790</v>
      </c>
      <c r="T533" s="30">
        <v>15000000</v>
      </c>
      <c r="U533" s="5"/>
      <c r="V533" s="5"/>
      <c r="W533" s="28"/>
      <c r="X533" s="28">
        <f>N533-S533</f>
        <v>0</v>
      </c>
      <c r="Y533" s="28">
        <f>O533-T533</f>
        <v>0</v>
      </c>
      <c r="Z533" s="28">
        <f>P533-U533</f>
        <v>0</v>
      </c>
      <c r="AA533" s="4"/>
      <c r="AB533" s="4"/>
      <c r="AC533">
        <f>IF(AB533=G533,1,2)</f>
        <v>2</v>
      </c>
    </row>
    <row r="534" spans="1:30" customFormat="1" ht="31.2" hidden="1" x14ac:dyDescent="0.3">
      <c r="A534" s="7" t="s">
        <v>46</v>
      </c>
      <c r="B534" s="6">
        <v>371</v>
      </c>
      <c r="C534" s="7" t="s">
        <v>1077</v>
      </c>
      <c r="D534" s="7" t="s">
        <v>1538</v>
      </c>
      <c r="E534" s="5"/>
      <c r="F534" s="4"/>
      <c r="G534" s="7" t="s">
        <v>1539</v>
      </c>
      <c r="H534" s="5"/>
      <c r="I534" s="5"/>
      <c r="J534" s="7" t="s">
        <v>1540</v>
      </c>
      <c r="K534" s="7" t="s">
        <v>24</v>
      </c>
      <c r="L534" s="7" t="s">
        <v>1541</v>
      </c>
      <c r="M534" s="109">
        <v>0</v>
      </c>
      <c r="N534" s="111"/>
      <c r="O534" s="109">
        <v>7500000</v>
      </c>
      <c r="P534" s="110"/>
      <c r="Q534" s="109">
        <f>M534+N534+O534+P534</f>
        <v>7500000</v>
      </c>
      <c r="R534" s="6">
        <v>0</v>
      </c>
      <c r="S534" s="5"/>
      <c r="T534" s="31">
        <v>7500000</v>
      </c>
      <c r="U534" s="5"/>
      <c r="V534" s="5"/>
      <c r="W534" s="28"/>
      <c r="X534" s="28">
        <f>N534-S534</f>
        <v>0</v>
      </c>
      <c r="Y534" s="28">
        <f>O534-T534</f>
        <v>0</v>
      </c>
      <c r="Z534" s="28">
        <f>P534-U534</f>
        <v>0</v>
      </c>
      <c r="AA534" s="4"/>
      <c r="AB534" s="4"/>
      <c r="AC534">
        <f>IF(AB534=G534,1,2)</f>
        <v>2</v>
      </c>
    </row>
    <row r="535" spans="1:30" customFormat="1" ht="46.8" hidden="1" x14ac:dyDescent="0.3">
      <c r="A535" s="7" t="s">
        <v>53</v>
      </c>
      <c r="B535" s="6">
        <v>372</v>
      </c>
      <c r="C535" s="7" t="s">
        <v>1077</v>
      </c>
      <c r="D535" s="7" t="s">
        <v>1542</v>
      </c>
      <c r="E535" s="5"/>
      <c r="F535" s="4"/>
      <c r="G535" s="7" t="s">
        <v>1543</v>
      </c>
      <c r="H535" s="5"/>
      <c r="I535" s="5"/>
      <c r="J535" s="7" t="s">
        <v>1422</v>
      </c>
      <c r="K535" s="7" t="s">
        <v>24</v>
      </c>
      <c r="L535" s="7" t="s">
        <v>1544</v>
      </c>
      <c r="M535" s="109">
        <v>921360322</v>
      </c>
      <c r="N535" s="111"/>
      <c r="O535" s="109">
        <v>7500000</v>
      </c>
      <c r="P535" s="110"/>
      <c r="Q535" s="109">
        <f>M535+N535+O535+P535</f>
        <v>928860322</v>
      </c>
      <c r="R535" s="3">
        <v>921360322</v>
      </c>
      <c r="S535" s="5"/>
      <c r="T535" s="30">
        <v>7500000</v>
      </c>
      <c r="U535" s="5"/>
      <c r="V535" s="5"/>
      <c r="W535" s="28"/>
      <c r="X535" s="28">
        <f>N535-S535</f>
        <v>0</v>
      </c>
      <c r="Y535" s="28">
        <f>O535-T535</f>
        <v>0</v>
      </c>
      <c r="Z535" s="28">
        <f>P535-U535</f>
        <v>0</v>
      </c>
      <c r="AA535" s="4"/>
      <c r="AB535" s="4"/>
      <c r="AC535">
        <f>IF(AB535=G535,1,2)</f>
        <v>2</v>
      </c>
    </row>
    <row r="536" spans="1:30" customFormat="1" ht="31.2" hidden="1" x14ac:dyDescent="0.3">
      <c r="A536" s="7" t="s">
        <v>18</v>
      </c>
      <c r="B536" s="6">
        <v>374</v>
      </c>
      <c r="C536" s="7" t="s">
        <v>1077</v>
      </c>
      <c r="D536" s="7" t="s">
        <v>1550</v>
      </c>
      <c r="E536" s="7" t="s">
        <v>1383</v>
      </c>
      <c r="F536" s="4"/>
      <c r="G536" s="7" t="s">
        <v>1551</v>
      </c>
      <c r="H536" s="5"/>
      <c r="I536" s="5"/>
      <c r="J536" s="7" t="s">
        <v>1552</v>
      </c>
      <c r="K536" s="7" t="s">
        <v>24</v>
      </c>
      <c r="L536" s="7" t="s">
        <v>1553</v>
      </c>
      <c r="M536" s="109">
        <v>1332855184</v>
      </c>
      <c r="N536" s="109">
        <v>1083625992</v>
      </c>
      <c r="O536" s="109">
        <v>15000000</v>
      </c>
      <c r="P536" s="110"/>
      <c r="Q536" s="109">
        <f>M536+N536+O536+P536</f>
        <v>2431481176</v>
      </c>
      <c r="R536" s="3">
        <v>1332855184</v>
      </c>
      <c r="S536" s="3">
        <v>1083625992</v>
      </c>
      <c r="T536" s="30">
        <v>15000000</v>
      </c>
      <c r="U536" s="5"/>
      <c r="V536" s="5"/>
      <c r="W536" s="28"/>
      <c r="X536" s="28">
        <f>N536-S536</f>
        <v>0</v>
      </c>
      <c r="Y536" s="28">
        <f>O536-T536</f>
        <v>0</v>
      </c>
      <c r="Z536" s="28">
        <f>P536-U536</f>
        <v>0</v>
      </c>
      <c r="AA536" s="4"/>
      <c r="AB536" s="4"/>
      <c r="AC536">
        <f>IF(AB536=G536,1,2)</f>
        <v>2</v>
      </c>
    </row>
    <row r="537" spans="1:30" customFormat="1" ht="46.8" hidden="1" x14ac:dyDescent="0.3">
      <c r="A537" s="7" t="s">
        <v>62</v>
      </c>
      <c r="B537" s="6">
        <v>375</v>
      </c>
      <c r="C537" s="7" t="s">
        <v>1077</v>
      </c>
      <c r="D537" s="7" t="s">
        <v>1554</v>
      </c>
      <c r="E537" s="5"/>
      <c r="F537" s="4"/>
      <c r="G537" s="7" t="s">
        <v>1555</v>
      </c>
      <c r="H537" s="5"/>
      <c r="I537" s="5"/>
      <c r="J537" s="7" t="s">
        <v>1556</v>
      </c>
      <c r="K537" s="7" t="s">
        <v>24</v>
      </c>
      <c r="L537" s="7" t="s">
        <v>1557</v>
      </c>
      <c r="M537" s="109">
        <v>1438986832</v>
      </c>
      <c r="N537" s="111"/>
      <c r="O537" s="109">
        <v>15000000</v>
      </c>
      <c r="P537" s="110"/>
      <c r="Q537" s="109">
        <f>M537+N537+O537+P537</f>
        <v>1453986832</v>
      </c>
      <c r="R537" s="3">
        <v>1438986832</v>
      </c>
      <c r="S537" s="5"/>
      <c r="T537" s="30">
        <v>15000000</v>
      </c>
      <c r="U537" s="5"/>
      <c r="V537" s="5"/>
      <c r="W537" s="28"/>
      <c r="X537" s="28">
        <f>N537-S537</f>
        <v>0</v>
      </c>
      <c r="Y537" s="28">
        <f>O537-T537</f>
        <v>0</v>
      </c>
      <c r="Z537" s="28">
        <f>P537-U537</f>
        <v>0</v>
      </c>
      <c r="AA537" s="4"/>
      <c r="AB537" s="4"/>
      <c r="AC537">
        <f>IF(AB537=G537,1,2)</f>
        <v>2</v>
      </c>
    </row>
    <row r="538" spans="1:30" customFormat="1" ht="31.2" hidden="1" x14ac:dyDescent="0.3">
      <c r="A538" s="7" t="s">
        <v>62</v>
      </c>
      <c r="B538" s="6">
        <v>377</v>
      </c>
      <c r="C538" s="7" t="s">
        <v>1077</v>
      </c>
      <c r="D538" s="7" t="s">
        <v>1563</v>
      </c>
      <c r="E538" s="7" t="s">
        <v>1564</v>
      </c>
      <c r="F538" s="4"/>
      <c r="G538" s="7" t="s">
        <v>1565</v>
      </c>
      <c r="H538" s="7" t="s">
        <v>1566</v>
      </c>
      <c r="I538" s="5"/>
      <c r="J538" s="7" t="s">
        <v>1567</v>
      </c>
      <c r="K538" s="7" t="s">
        <v>24</v>
      </c>
      <c r="L538" s="7" t="s">
        <v>1406</v>
      </c>
      <c r="M538" s="109">
        <v>1565965768</v>
      </c>
      <c r="N538" s="109">
        <v>410266836</v>
      </c>
      <c r="O538" s="109">
        <v>15000000</v>
      </c>
      <c r="P538" s="110"/>
      <c r="Q538" s="109">
        <f>M538+N538+O538+P538</f>
        <v>1991232604</v>
      </c>
      <c r="R538" s="3">
        <v>1565965768</v>
      </c>
      <c r="S538" s="28">
        <v>410266836</v>
      </c>
      <c r="T538" s="30">
        <v>15000000</v>
      </c>
      <c r="U538" s="5"/>
      <c r="V538" s="5"/>
      <c r="W538" s="28"/>
      <c r="X538" s="28">
        <f>N538-S538</f>
        <v>0</v>
      </c>
      <c r="Y538" s="28">
        <f>O538-T538</f>
        <v>0</v>
      </c>
      <c r="Z538" s="28">
        <f>P538-U538</f>
        <v>0</v>
      </c>
      <c r="AA538" s="4"/>
      <c r="AB538" s="4"/>
      <c r="AC538">
        <f>IF(AB538=G538,1,2)</f>
        <v>2</v>
      </c>
    </row>
    <row r="539" spans="1:30" customFormat="1" ht="31.2" hidden="1" x14ac:dyDescent="0.3">
      <c r="A539" s="7" t="s">
        <v>62</v>
      </c>
      <c r="B539" s="6">
        <v>378</v>
      </c>
      <c r="C539" s="7" t="s">
        <v>1077</v>
      </c>
      <c r="D539" s="7" t="s">
        <v>1568</v>
      </c>
      <c r="E539" s="5"/>
      <c r="F539" s="4"/>
      <c r="G539" s="7" t="s">
        <v>1569</v>
      </c>
      <c r="H539" s="5"/>
      <c r="I539" s="5"/>
      <c r="J539" s="7" t="s">
        <v>1570</v>
      </c>
      <c r="K539" s="7" t="s">
        <v>24</v>
      </c>
      <c r="L539" s="7" t="s">
        <v>1571</v>
      </c>
      <c r="M539" s="109">
        <v>1173810916</v>
      </c>
      <c r="N539" s="111"/>
      <c r="O539" s="109">
        <v>15000000</v>
      </c>
      <c r="P539" s="110"/>
      <c r="Q539" s="109">
        <f>M539+N539+O539+P539</f>
        <v>1188810916</v>
      </c>
      <c r="R539" s="3">
        <v>1173810916</v>
      </c>
      <c r="S539" s="5"/>
      <c r="T539" s="30">
        <v>15000000</v>
      </c>
      <c r="U539" s="5"/>
      <c r="V539" s="5"/>
      <c r="W539" s="28"/>
      <c r="X539" s="28">
        <f>N539-S539</f>
        <v>0</v>
      </c>
      <c r="Y539" s="28">
        <f>O539-T539</f>
        <v>0</v>
      </c>
      <c r="Z539" s="28">
        <f>P539-U539</f>
        <v>0</v>
      </c>
      <c r="AA539" s="4"/>
      <c r="AB539" s="4"/>
      <c r="AC539">
        <f>IF(AB539=G539,1,2)</f>
        <v>2</v>
      </c>
    </row>
    <row r="540" spans="1:30" customFormat="1" ht="31.2" hidden="1" x14ac:dyDescent="0.3">
      <c r="A540" s="7" t="s">
        <v>62</v>
      </c>
      <c r="B540" s="6">
        <v>379</v>
      </c>
      <c r="C540" s="7" t="s">
        <v>1077</v>
      </c>
      <c r="D540" s="7" t="s">
        <v>1572</v>
      </c>
      <c r="E540" s="7"/>
      <c r="F540" s="4"/>
      <c r="G540" s="7" t="s">
        <v>1573</v>
      </c>
      <c r="H540" s="7"/>
      <c r="I540" s="7"/>
      <c r="J540" s="7" t="s">
        <v>1574</v>
      </c>
      <c r="K540" s="7" t="s">
        <v>24</v>
      </c>
      <c r="L540" s="7" t="s">
        <v>1575</v>
      </c>
      <c r="M540" s="109">
        <v>1932455460</v>
      </c>
      <c r="N540" s="111"/>
      <c r="O540" s="109">
        <v>7500000</v>
      </c>
      <c r="P540" s="110"/>
      <c r="Q540" s="109">
        <f>M540+N540+O540+P540</f>
        <v>1939955460</v>
      </c>
      <c r="R540" s="3">
        <v>1932455460</v>
      </c>
      <c r="S540" s="5"/>
      <c r="T540" s="72"/>
      <c r="U540" s="5"/>
      <c r="V540" s="5"/>
      <c r="W540" s="28"/>
      <c r="X540" s="28">
        <f>N540-S540</f>
        <v>0</v>
      </c>
      <c r="Y540" s="36">
        <f>O540-T540</f>
        <v>7500000</v>
      </c>
      <c r="Z540" s="28">
        <f>P540-U540</f>
        <v>0</v>
      </c>
      <c r="AA540" s="4"/>
      <c r="AB540" s="40"/>
      <c r="AC540" s="121">
        <f>IF(AB540=G540,1,2)</f>
        <v>2</v>
      </c>
      <c r="AD540" s="121"/>
    </row>
    <row r="541" spans="1:30" customFormat="1" ht="46.8" hidden="1" x14ac:dyDescent="0.3">
      <c r="A541" s="7" t="s">
        <v>18</v>
      </c>
      <c r="B541" s="6">
        <v>380</v>
      </c>
      <c r="C541" s="7" t="s">
        <v>1077</v>
      </c>
      <c r="D541" s="7" t="s">
        <v>1576</v>
      </c>
      <c r="E541" s="7" t="s">
        <v>1512</v>
      </c>
      <c r="F541" s="4"/>
      <c r="G541" s="7" t="s">
        <v>1577</v>
      </c>
      <c r="H541" s="7" t="s">
        <v>1578</v>
      </c>
      <c r="I541" s="5"/>
      <c r="J541" s="7" t="s">
        <v>1579</v>
      </c>
      <c r="K541" s="7" t="s">
        <v>24</v>
      </c>
      <c r="L541" s="7" t="s">
        <v>1580</v>
      </c>
      <c r="M541" s="109">
        <v>7987138183</v>
      </c>
      <c r="N541" s="109">
        <v>674307533</v>
      </c>
      <c r="O541" s="109">
        <v>15000000</v>
      </c>
      <c r="P541" s="110"/>
      <c r="Q541" s="109">
        <f>M541+N541+O541+P541</f>
        <v>8676445716</v>
      </c>
      <c r="R541" s="3">
        <v>7987138183</v>
      </c>
      <c r="S541" s="3">
        <v>674307533</v>
      </c>
      <c r="T541" s="30">
        <v>15000000</v>
      </c>
      <c r="U541" s="5"/>
      <c r="V541" s="5"/>
      <c r="W541" s="28"/>
      <c r="X541" s="28">
        <f>N541-S541</f>
        <v>0</v>
      </c>
      <c r="Y541" s="28">
        <f>O541-T541</f>
        <v>0</v>
      </c>
      <c r="Z541" s="28">
        <f>P541-U541</f>
        <v>0</v>
      </c>
      <c r="AA541" s="4"/>
      <c r="AB541" s="4"/>
      <c r="AC541">
        <f>IF(AB541=G541,1,2)</f>
        <v>2</v>
      </c>
    </row>
    <row r="542" spans="1:30" customFormat="1" ht="31.2" hidden="1" x14ac:dyDescent="0.3">
      <c r="A542" s="7" t="s">
        <v>18</v>
      </c>
      <c r="B542" s="6">
        <v>381</v>
      </c>
      <c r="C542" s="7" t="s">
        <v>1077</v>
      </c>
      <c r="D542" s="7" t="s">
        <v>1581</v>
      </c>
      <c r="E542" s="7" t="s">
        <v>1582</v>
      </c>
      <c r="F542" s="4"/>
      <c r="G542" s="7" t="s">
        <v>1583</v>
      </c>
      <c r="H542" s="7" t="s">
        <v>1584</v>
      </c>
      <c r="I542" s="5"/>
      <c r="J542" s="7" t="s">
        <v>1585</v>
      </c>
      <c r="K542" s="7" t="s">
        <v>24</v>
      </c>
      <c r="L542" s="7" t="s">
        <v>1586</v>
      </c>
      <c r="M542" s="109">
        <v>3114350704</v>
      </c>
      <c r="N542" s="109">
        <v>818534808</v>
      </c>
      <c r="O542" s="109">
        <v>15000000</v>
      </c>
      <c r="P542" s="110"/>
      <c r="Q542" s="109">
        <f>M542+N542+O542+P542</f>
        <v>3947885512</v>
      </c>
      <c r="R542" s="3">
        <v>3114350704</v>
      </c>
      <c r="S542" s="3">
        <v>818534808</v>
      </c>
      <c r="T542" s="30">
        <v>15000000</v>
      </c>
      <c r="U542" s="5"/>
      <c r="V542" s="5"/>
      <c r="W542" s="28"/>
      <c r="X542" s="28">
        <f>N542-S542</f>
        <v>0</v>
      </c>
      <c r="Y542" s="28">
        <f>O542-T542</f>
        <v>0</v>
      </c>
      <c r="Z542" s="28">
        <f>P542-U542</f>
        <v>0</v>
      </c>
      <c r="AA542" s="4"/>
      <c r="AB542" s="4"/>
      <c r="AC542">
        <f>IF(AB542=G542,1,2)</f>
        <v>2</v>
      </c>
    </row>
    <row r="543" spans="1:30" customFormat="1" ht="46.8" hidden="1" customHeight="1" x14ac:dyDescent="0.3">
      <c r="A543" s="7" t="s">
        <v>62</v>
      </c>
      <c r="B543" s="6">
        <v>382</v>
      </c>
      <c r="C543" s="7" t="s">
        <v>1077</v>
      </c>
      <c r="D543" s="7" t="s">
        <v>1587</v>
      </c>
      <c r="E543" s="5"/>
      <c r="F543" s="4"/>
      <c r="G543" s="7" t="s">
        <v>1588</v>
      </c>
      <c r="H543" s="5"/>
      <c r="I543" s="5"/>
      <c r="J543" s="7" t="s">
        <v>1589</v>
      </c>
      <c r="K543" s="7" t="s">
        <v>24</v>
      </c>
      <c r="L543" s="7" t="s">
        <v>1590</v>
      </c>
      <c r="M543" s="109">
        <v>1601529450</v>
      </c>
      <c r="N543" s="111"/>
      <c r="O543" s="109">
        <v>7500000</v>
      </c>
      <c r="P543" s="110"/>
      <c r="Q543" s="109">
        <f>M543+N543+O543+P543</f>
        <v>1609029450</v>
      </c>
      <c r="R543" s="3">
        <v>1601529450</v>
      </c>
      <c r="S543" s="5"/>
      <c r="T543" s="30">
        <v>7500000</v>
      </c>
      <c r="U543" s="5"/>
      <c r="V543" s="5"/>
      <c r="W543" s="28"/>
      <c r="X543" s="28">
        <f>N543-S543</f>
        <v>0</v>
      </c>
      <c r="Y543" s="28">
        <f>O543-T543</f>
        <v>0</v>
      </c>
      <c r="Z543" s="28">
        <f>P543-U543</f>
        <v>0</v>
      </c>
      <c r="AA543" s="4"/>
      <c r="AB543" s="4"/>
      <c r="AC543">
        <f>IF(AB543=G543,1,2)</f>
        <v>2</v>
      </c>
    </row>
    <row r="544" spans="1:30" customFormat="1" ht="46.8" hidden="1" x14ac:dyDescent="0.3">
      <c r="A544" s="7" t="s">
        <v>62</v>
      </c>
      <c r="B544" s="6">
        <v>383</v>
      </c>
      <c r="C544" s="7" t="s">
        <v>1591</v>
      </c>
      <c r="D544" s="7" t="s">
        <v>1592</v>
      </c>
      <c r="E544" s="5"/>
      <c r="F544" s="4"/>
      <c r="G544" s="7" t="s">
        <v>1593</v>
      </c>
      <c r="H544" s="5"/>
      <c r="I544" s="5"/>
      <c r="J544" s="7" t="s">
        <v>1594</v>
      </c>
      <c r="K544" s="7" t="s">
        <v>24</v>
      </c>
      <c r="L544" s="7" t="s">
        <v>1595</v>
      </c>
      <c r="M544" s="109">
        <v>11297433580</v>
      </c>
      <c r="N544" s="111"/>
      <c r="O544" s="109">
        <v>15000000</v>
      </c>
      <c r="P544" s="110"/>
      <c r="Q544" s="109">
        <f>M544+N544+O544+P544</f>
        <v>11312433580</v>
      </c>
      <c r="R544" s="3">
        <v>11297433580</v>
      </c>
      <c r="S544" s="5"/>
      <c r="T544" s="30">
        <v>15000000</v>
      </c>
      <c r="U544" s="5"/>
      <c r="V544" s="5"/>
      <c r="W544" s="28"/>
      <c r="X544" s="28">
        <f>N544-S544</f>
        <v>0</v>
      </c>
      <c r="Y544" s="28">
        <f>O544-T544</f>
        <v>0</v>
      </c>
      <c r="Z544" s="28">
        <f>P544-U544</f>
        <v>0</v>
      </c>
      <c r="AA544" s="4"/>
      <c r="AB544" s="4"/>
      <c r="AC544">
        <f>IF(AB544=G544,1,2)</f>
        <v>2</v>
      </c>
    </row>
    <row r="545" spans="1:30" customFormat="1" ht="78" hidden="1" x14ac:dyDescent="0.3">
      <c r="A545" s="7" t="s">
        <v>1601</v>
      </c>
      <c r="B545" s="6">
        <v>385</v>
      </c>
      <c r="C545" s="7" t="s">
        <v>1591</v>
      </c>
      <c r="D545" s="7" t="s">
        <v>1602</v>
      </c>
      <c r="E545" s="7" t="s">
        <v>1603</v>
      </c>
      <c r="F545" s="4"/>
      <c r="G545" s="7" t="s">
        <v>1604</v>
      </c>
      <c r="H545" s="7"/>
      <c r="I545" s="7" t="s">
        <v>1605</v>
      </c>
      <c r="J545" s="7" t="s">
        <v>1606</v>
      </c>
      <c r="K545" s="7" t="s">
        <v>24</v>
      </c>
      <c r="L545" s="7" t="s">
        <v>1607</v>
      </c>
      <c r="M545" s="109">
        <v>0</v>
      </c>
      <c r="N545" s="111"/>
      <c r="O545" s="109">
        <v>7500000</v>
      </c>
      <c r="P545" s="110"/>
      <c r="Q545" s="109">
        <f>M545+N545+O545+P545</f>
        <v>7500000</v>
      </c>
      <c r="R545" s="6">
        <v>0</v>
      </c>
      <c r="S545" s="5"/>
      <c r="T545" s="72"/>
      <c r="U545" s="5"/>
      <c r="V545" s="5"/>
      <c r="W545" s="28"/>
      <c r="X545" s="28">
        <f>N545-S545</f>
        <v>0</v>
      </c>
      <c r="Y545" s="36">
        <f>O545-T545</f>
        <v>7500000</v>
      </c>
      <c r="Z545" s="28">
        <f>P545-U545</f>
        <v>0</v>
      </c>
      <c r="AA545" s="4"/>
      <c r="AB545" s="40"/>
      <c r="AC545" s="121">
        <f>IF(AB545=G545,1,2)</f>
        <v>2</v>
      </c>
      <c r="AD545" s="121"/>
    </row>
    <row r="546" spans="1:30" customFormat="1" ht="46.8" hidden="1" x14ac:dyDescent="0.3">
      <c r="A546" s="7" t="s">
        <v>18</v>
      </c>
      <c r="B546" s="6">
        <v>386</v>
      </c>
      <c r="C546" s="7" t="s">
        <v>1591</v>
      </c>
      <c r="D546" s="7" t="s">
        <v>1608</v>
      </c>
      <c r="E546" s="7"/>
      <c r="F546" s="4"/>
      <c r="G546" s="7" t="s">
        <v>1609</v>
      </c>
      <c r="H546" s="7"/>
      <c r="I546" s="7"/>
      <c r="J546" s="7" t="s">
        <v>1610</v>
      </c>
      <c r="K546" s="7" t="s">
        <v>24</v>
      </c>
      <c r="L546" s="7" t="s">
        <v>1611</v>
      </c>
      <c r="M546" s="109">
        <v>10000000</v>
      </c>
      <c r="N546" s="111"/>
      <c r="O546" s="109">
        <v>15000000</v>
      </c>
      <c r="P546" s="110"/>
      <c r="Q546" s="109">
        <f>M546+N546+O546+P546</f>
        <v>25000000</v>
      </c>
      <c r="R546" s="5"/>
      <c r="S546" s="5"/>
      <c r="T546" s="72"/>
      <c r="U546" s="5"/>
      <c r="V546" s="5"/>
      <c r="W546" s="28">
        <v>10000000</v>
      </c>
      <c r="X546" s="28">
        <f>N546-S546</f>
        <v>0</v>
      </c>
      <c r="Y546" s="36">
        <f>O546-T546</f>
        <v>15000000</v>
      </c>
      <c r="Z546" s="28">
        <f>P546-U546</f>
        <v>0</v>
      </c>
      <c r="AA546" s="13">
        <v>10000000</v>
      </c>
      <c r="AB546" s="40"/>
      <c r="AC546" s="121">
        <f>IF(AB546=G546,1,2)</f>
        <v>2</v>
      </c>
      <c r="AD546" s="121"/>
    </row>
    <row r="547" spans="1:30" customFormat="1" ht="62.4" hidden="1" customHeight="1" x14ac:dyDescent="0.3">
      <c r="A547" s="7" t="s">
        <v>18</v>
      </c>
      <c r="B547" s="6">
        <v>387</v>
      </c>
      <c r="C547" s="7" t="s">
        <v>1591</v>
      </c>
      <c r="D547" s="7" t="s">
        <v>1612</v>
      </c>
      <c r="E547" s="5"/>
      <c r="F547" s="4"/>
      <c r="G547" s="7" t="s">
        <v>1613</v>
      </c>
      <c r="H547" s="5"/>
      <c r="I547" s="5"/>
      <c r="J547" s="7" t="s">
        <v>1614</v>
      </c>
      <c r="K547" s="7" t="s">
        <v>24</v>
      </c>
      <c r="L547" s="7" t="s">
        <v>1615</v>
      </c>
      <c r="M547" s="109">
        <v>316671600</v>
      </c>
      <c r="N547" s="111"/>
      <c r="O547" s="109">
        <v>7500000</v>
      </c>
      <c r="P547" s="110"/>
      <c r="Q547" s="109">
        <f>M547+N547+O547+P547</f>
        <v>324171600</v>
      </c>
      <c r="R547" s="3">
        <v>316671600</v>
      </c>
      <c r="S547" s="5"/>
      <c r="T547" s="30">
        <v>7500000</v>
      </c>
      <c r="U547" s="5"/>
      <c r="V547" s="5"/>
      <c r="W547" s="28"/>
      <c r="X547" s="28">
        <f>N547-S547</f>
        <v>0</v>
      </c>
      <c r="Y547" s="28">
        <f>O547-T547</f>
        <v>0</v>
      </c>
      <c r="Z547" s="28">
        <f>P547-U547</f>
        <v>0</v>
      </c>
      <c r="AA547" s="4"/>
      <c r="AB547" s="4"/>
      <c r="AC547">
        <f>IF(AB547=G547,1,2)</f>
        <v>2</v>
      </c>
    </row>
    <row r="548" spans="1:30" customFormat="1" ht="62.4" hidden="1" customHeight="1" x14ac:dyDescent="0.3">
      <c r="A548" s="7" t="s">
        <v>18</v>
      </c>
      <c r="B548" s="6">
        <v>388</v>
      </c>
      <c r="C548" s="7" t="s">
        <v>1591</v>
      </c>
      <c r="D548" s="7" t="s">
        <v>1616</v>
      </c>
      <c r="E548" s="5"/>
      <c r="F548" s="4"/>
      <c r="G548" s="7" t="s">
        <v>1617</v>
      </c>
      <c r="H548" s="5"/>
      <c r="I548" s="5"/>
      <c r="J548" s="7" t="s">
        <v>1618</v>
      </c>
      <c r="K548" s="7" t="s">
        <v>24</v>
      </c>
      <c r="L548" s="7" t="s">
        <v>1619</v>
      </c>
      <c r="M548" s="109">
        <v>467090610</v>
      </c>
      <c r="N548" s="111"/>
      <c r="O548" s="109">
        <v>7500000</v>
      </c>
      <c r="P548" s="110"/>
      <c r="Q548" s="109">
        <f>M548+N548+O548+P548</f>
        <v>474590610</v>
      </c>
      <c r="R548" s="9">
        <v>467090610</v>
      </c>
      <c r="S548" s="5"/>
      <c r="T548" s="30">
        <v>7500000</v>
      </c>
      <c r="U548" s="5"/>
      <c r="V548" s="5"/>
      <c r="W548" s="28"/>
      <c r="X548" s="28">
        <f>N548-S548</f>
        <v>0</v>
      </c>
      <c r="Y548" s="28">
        <f>O548-T548</f>
        <v>0</v>
      </c>
      <c r="Z548" s="28">
        <f>P548-U548</f>
        <v>0</v>
      </c>
      <c r="AA548" s="4"/>
      <c r="AB548" s="4"/>
      <c r="AC548">
        <f>IF(AB548=G548,1,2)</f>
        <v>2</v>
      </c>
    </row>
    <row r="549" spans="1:30" customFormat="1" ht="46.8" hidden="1" x14ac:dyDescent="0.3">
      <c r="A549" s="7" t="s">
        <v>18</v>
      </c>
      <c r="B549" s="6">
        <v>389</v>
      </c>
      <c r="C549" s="7" t="s">
        <v>1591</v>
      </c>
      <c r="D549" s="7" t="s">
        <v>1620</v>
      </c>
      <c r="E549" s="5"/>
      <c r="F549" s="4"/>
      <c r="G549" s="7" t="s">
        <v>1621</v>
      </c>
      <c r="H549" s="5"/>
      <c r="I549" s="5"/>
      <c r="J549" s="7" t="s">
        <v>1622</v>
      </c>
      <c r="K549" s="7" t="s">
        <v>24</v>
      </c>
      <c r="L549" s="7" t="s">
        <v>1623</v>
      </c>
      <c r="M549" s="109">
        <v>938372032</v>
      </c>
      <c r="N549" s="111"/>
      <c r="O549" s="109">
        <v>15000000</v>
      </c>
      <c r="P549" s="110"/>
      <c r="Q549" s="109">
        <f>M549+N549+O549+P549</f>
        <v>953372032</v>
      </c>
      <c r="R549" s="3">
        <v>938372032</v>
      </c>
      <c r="S549" s="5"/>
      <c r="T549" s="30">
        <v>15000000</v>
      </c>
      <c r="U549" s="5"/>
      <c r="V549" s="5"/>
      <c r="W549" s="28"/>
      <c r="X549" s="28">
        <f>N549-S549</f>
        <v>0</v>
      </c>
      <c r="Y549" s="28">
        <f>O549-T549</f>
        <v>0</v>
      </c>
      <c r="Z549" s="28">
        <f>P549-U549</f>
        <v>0</v>
      </c>
      <c r="AA549" s="4"/>
      <c r="AB549" s="4"/>
      <c r="AC549">
        <f>IF(AB549=G549,1,2)</f>
        <v>2</v>
      </c>
    </row>
    <row r="550" spans="1:30" customFormat="1" ht="46.8" hidden="1" x14ac:dyDescent="0.3">
      <c r="A550" s="7" t="s">
        <v>1601</v>
      </c>
      <c r="B550" s="6">
        <v>390</v>
      </c>
      <c r="C550" s="7" t="s">
        <v>1591</v>
      </c>
      <c r="D550" s="7" t="s">
        <v>1624</v>
      </c>
      <c r="E550" s="7"/>
      <c r="F550" s="4"/>
      <c r="G550" s="7" t="s">
        <v>1625</v>
      </c>
      <c r="H550" s="7"/>
      <c r="I550" s="7"/>
      <c r="J550" s="7" t="s">
        <v>1626</v>
      </c>
      <c r="K550" s="7" t="s">
        <v>24</v>
      </c>
      <c r="L550" s="7" t="s">
        <v>1627</v>
      </c>
      <c r="M550" s="109">
        <v>6416500</v>
      </c>
      <c r="N550" s="111"/>
      <c r="O550" s="109">
        <v>7500000</v>
      </c>
      <c r="P550" s="110"/>
      <c r="Q550" s="109">
        <f>M550+N550+O550+P550</f>
        <v>13916500</v>
      </c>
      <c r="R550" s="5"/>
      <c r="S550" s="5"/>
      <c r="T550" s="72"/>
      <c r="U550" s="5"/>
      <c r="V550" s="5"/>
      <c r="W550" s="28">
        <v>6416500</v>
      </c>
      <c r="X550" s="28">
        <f>N550-S550</f>
        <v>0</v>
      </c>
      <c r="Y550" s="36">
        <f>O550-T550</f>
        <v>7500000</v>
      </c>
      <c r="Z550" s="28">
        <f>P550-U550</f>
        <v>0</v>
      </c>
      <c r="AA550" s="8">
        <v>6416500</v>
      </c>
      <c r="AB550" s="40"/>
      <c r="AC550" s="121">
        <f>IF(AB550=G550,1,2)</f>
        <v>2</v>
      </c>
      <c r="AD550" s="121"/>
    </row>
    <row r="551" spans="1:30" customFormat="1" ht="46.8" hidden="1" x14ac:dyDescent="0.3">
      <c r="A551" s="7" t="s">
        <v>53</v>
      </c>
      <c r="B551" s="6">
        <v>391</v>
      </c>
      <c r="C551" s="7" t="s">
        <v>1591</v>
      </c>
      <c r="D551" s="7" t="s">
        <v>1628</v>
      </c>
      <c r="E551" s="5"/>
      <c r="F551" s="4"/>
      <c r="G551" s="7" t="s">
        <v>1629</v>
      </c>
      <c r="H551" s="5"/>
      <c r="I551" s="5"/>
      <c r="J551" s="7" t="s">
        <v>1630</v>
      </c>
      <c r="K551" s="7" t="s">
        <v>24</v>
      </c>
      <c r="L551" s="7" t="s">
        <v>1631</v>
      </c>
      <c r="M551" s="109">
        <v>1417969836</v>
      </c>
      <c r="N551" s="111"/>
      <c r="O551" s="109">
        <v>15000000</v>
      </c>
      <c r="P551" s="110"/>
      <c r="Q551" s="109">
        <f>M551+N551+O551+P551</f>
        <v>1432969836</v>
      </c>
      <c r="R551" s="3">
        <v>1417969836</v>
      </c>
      <c r="S551" s="5"/>
      <c r="T551" s="30">
        <v>15000000</v>
      </c>
      <c r="U551" s="5"/>
      <c r="V551" s="5"/>
      <c r="W551" s="28"/>
      <c r="X551" s="28">
        <f>N551-S551</f>
        <v>0</v>
      </c>
      <c r="Y551" s="28">
        <f>O551-T551</f>
        <v>0</v>
      </c>
      <c r="Z551" s="28">
        <f>P551-U551</f>
        <v>0</v>
      </c>
      <c r="AA551" s="4"/>
      <c r="AB551" s="4"/>
      <c r="AC551">
        <f>IF(AB551=G551,1,2)</f>
        <v>2</v>
      </c>
    </row>
    <row r="552" spans="1:30" customFormat="1" ht="46.8" hidden="1" x14ac:dyDescent="0.3">
      <c r="A552" s="7" t="s">
        <v>18</v>
      </c>
      <c r="B552" s="6">
        <v>392</v>
      </c>
      <c r="C552" s="7" t="s">
        <v>1591</v>
      </c>
      <c r="D552" s="7" t="s">
        <v>1632</v>
      </c>
      <c r="E552" s="5"/>
      <c r="F552" s="4"/>
      <c r="G552" s="7" t="s">
        <v>1633</v>
      </c>
      <c r="H552" s="5"/>
      <c r="I552" s="5"/>
      <c r="J552" s="7" t="s">
        <v>1634</v>
      </c>
      <c r="K552" s="7" t="s">
        <v>24</v>
      </c>
      <c r="L552" s="7" t="s">
        <v>1635</v>
      </c>
      <c r="M552" s="109">
        <v>593759250</v>
      </c>
      <c r="N552" s="111"/>
      <c r="O552" s="109">
        <v>7500000</v>
      </c>
      <c r="P552" s="110"/>
      <c r="Q552" s="109">
        <f>M552+N552+O552+P552</f>
        <v>601259250</v>
      </c>
      <c r="R552" s="3">
        <v>593759250</v>
      </c>
      <c r="S552" s="5"/>
      <c r="T552" s="30">
        <v>7500000</v>
      </c>
      <c r="U552" s="5"/>
      <c r="V552" s="5"/>
      <c r="W552" s="28"/>
      <c r="X552" s="28">
        <f>N552-S552</f>
        <v>0</v>
      </c>
      <c r="Y552" s="28">
        <f>O552-T552</f>
        <v>0</v>
      </c>
      <c r="Z552" s="28">
        <f>P552-U552</f>
        <v>0</v>
      </c>
      <c r="AA552" s="4"/>
      <c r="AB552" s="4"/>
      <c r="AC552">
        <f>IF(AB552=G552,1,2)</f>
        <v>2</v>
      </c>
    </row>
    <row r="553" spans="1:30" customFormat="1" ht="46.8" hidden="1" x14ac:dyDescent="0.3">
      <c r="A553" s="7" t="s">
        <v>46</v>
      </c>
      <c r="B553" s="6">
        <v>393</v>
      </c>
      <c r="C553" s="7" t="s">
        <v>1591</v>
      </c>
      <c r="D553" s="7" t="s">
        <v>1636</v>
      </c>
      <c r="E553" s="5"/>
      <c r="F553" s="4"/>
      <c r="G553" s="7" t="s">
        <v>1637</v>
      </c>
      <c r="H553" s="5"/>
      <c r="I553" s="5"/>
      <c r="J553" s="7" t="s">
        <v>1638</v>
      </c>
      <c r="K553" s="7" t="s">
        <v>24</v>
      </c>
      <c r="L553" s="7" t="s">
        <v>1639</v>
      </c>
      <c r="M553" s="109">
        <v>0</v>
      </c>
      <c r="N553" s="111"/>
      <c r="O553" s="109">
        <v>7500000</v>
      </c>
      <c r="P553" s="110"/>
      <c r="Q553" s="109">
        <f>M553+N553+O553+P553</f>
        <v>7500000</v>
      </c>
      <c r="R553" s="6">
        <v>0</v>
      </c>
      <c r="S553" s="5"/>
      <c r="T553" s="30">
        <v>7500000</v>
      </c>
      <c r="U553" s="5"/>
      <c r="V553" s="5"/>
      <c r="W553" s="28"/>
      <c r="X553" s="28">
        <f>N553-S553</f>
        <v>0</v>
      </c>
      <c r="Y553" s="28">
        <f>O553-T553</f>
        <v>0</v>
      </c>
      <c r="Z553" s="28">
        <f>P553-U553</f>
        <v>0</v>
      </c>
      <c r="AA553" s="4"/>
      <c r="AB553" s="4"/>
      <c r="AC553">
        <f>IF(AB553=G553,1,2)</f>
        <v>2</v>
      </c>
    </row>
    <row r="554" spans="1:30" customFormat="1" ht="46.8" hidden="1" x14ac:dyDescent="0.3">
      <c r="A554" s="7" t="s">
        <v>1601</v>
      </c>
      <c r="B554" s="6">
        <v>394</v>
      </c>
      <c r="C554" s="7" t="s">
        <v>1591</v>
      </c>
      <c r="D554" s="7" t="s">
        <v>1640</v>
      </c>
      <c r="E554" s="5"/>
      <c r="F554" s="4"/>
      <c r="G554" s="7" t="s">
        <v>1641</v>
      </c>
      <c r="H554" s="5"/>
      <c r="I554" s="5"/>
      <c r="J554" s="7" t="s">
        <v>1642</v>
      </c>
      <c r="K554" s="7" t="s">
        <v>24</v>
      </c>
      <c r="L554" s="7" t="s">
        <v>1643</v>
      </c>
      <c r="M554" s="109">
        <v>12385885580</v>
      </c>
      <c r="N554" s="111"/>
      <c r="O554" s="109">
        <v>15000000</v>
      </c>
      <c r="P554" s="110"/>
      <c r="Q554" s="109">
        <f>M554+N554+O554+P554</f>
        <v>12400885580</v>
      </c>
      <c r="R554" s="3">
        <v>12385885580</v>
      </c>
      <c r="S554" s="5"/>
      <c r="T554" s="30">
        <v>15000000</v>
      </c>
      <c r="U554" s="5"/>
      <c r="V554" s="5"/>
      <c r="W554" s="28"/>
      <c r="X554" s="28">
        <f>N554-S554</f>
        <v>0</v>
      </c>
      <c r="Y554" s="28">
        <f>O554-T554</f>
        <v>0</v>
      </c>
      <c r="Z554" s="28">
        <f>P554-U554</f>
        <v>0</v>
      </c>
      <c r="AA554" s="4"/>
      <c r="AB554" s="4"/>
      <c r="AC554">
        <f>IF(AB554=G554,1,2)</f>
        <v>2</v>
      </c>
    </row>
    <row r="555" spans="1:30" customFormat="1" ht="46.8" hidden="1" x14ac:dyDescent="0.3">
      <c r="A555" s="7" t="s">
        <v>62</v>
      </c>
      <c r="B555" s="6">
        <v>395</v>
      </c>
      <c r="C555" s="7" t="s">
        <v>1591</v>
      </c>
      <c r="D555" s="7" t="s">
        <v>1644</v>
      </c>
      <c r="E555" s="5"/>
      <c r="F555" s="4"/>
      <c r="G555" s="7" t="s">
        <v>1645</v>
      </c>
      <c r="H555" s="5"/>
      <c r="I555" s="5"/>
      <c r="J555" s="7" t="s">
        <v>1646</v>
      </c>
      <c r="K555" s="7" t="s">
        <v>24</v>
      </c>
      <c r="L555" s="7" t="s">
        <v>1631</v>
      </c>
      <c r="M555" s="109">
        <v>1322232264</v>
      </c>
      <c r="N555" s="111"/>
      <c r="O555" s="109">
        <v>15000000</v>
      </c>
      <c r="P555" s="110"/>
      <c r="Q555" s="109">
        <f>M555+N555+O555+P555</f>
        <v>1337232264</v>
      </c>
      <c r="R555" s="3">
        <v>1322232264</v>
      </c>
      <c r="S555" s="5"/>
      <c r="T555" s="30">
        <v>15000000</v>
      </c>
      <c r="U555" s="5"/>
      <c r="V555" s="5"/>
      <c r="W555" s="28"/>
      <c r="X555" s="28">
        <f>N555-S555</f>
        <v>0</v>
      </c>
      <c r="Y555" s="28">
        <f>O555-T555</f>
        <v>0</v>
      </c>
      <c r="Z555" s="28">
        <f>P555-U555</f>
        <v>0</v>
      </c>
      <c r="AA555" s="4"/>
      <c r="AB555" s="4"/>
      <c r="AC555">
        <f>IF(AB555=G555,1,2)</f>
        <v>2</v>
      </c>
    </row>
    <row r="556" spans="1:30" customFormat="1" ht="46.8" hidden="1" x14ac:dyDescent="0.3">
      <c r="A556" s="7" t="s">
        <v>46</v>
      </c>
      <c r="B556" s="6">
        <v>398</v>
      </c>
      <c r="C556" s="7" t="s">
        <v>1591</v>
      </c>
      <c r="D556" s="7" t="s">
        <v>1658</v>
      </c>
      <c r="E556" s="5"/>
      <c r="F556" s="4"/>
      <c r="G556" s="7" t="s">
        <v>1659</v>
      </c>
      <c r="H556" s="5"/>
      <c r="I556" s="5"/>
      <c r="J556" s="7" t="s">
        <v>1660</v>
      </c>
      <c r="K556" s="7" t="s">
        <v>24</v>
      </c>
      <c r="L556" s="7" t="s">
        <v>1661</v>
      </c>
      <c r="M556" s="109">
        <v>32537495820</v>
      </c>
      <c r="N556" s="111"/>
      <c r="O556" s="109">
        <v>15000000</v>
      </c>
      <c r="P556" s="110"/>
      <c r="Q556" s="109">
        <f>M556+N556+O556+P556</f>
        <v>32552495820</v>
      </c>
      <c r="R556" s="3">
        <v>32537495820</v>
      </c>
      <c r="S556" s="5"/>
      <c r="T556" s="31">
        <v>15000000</v>
      </c>
      <c r="U556" s="5"/>
      <c r="V556" s="5"/>
      <c r="W556" s="28"/>
      <c r="X556" s="28">
        <f>N556-S556</f>
        <v>0</v>
      </c>
      <c r="Y556" s="28">
        <f>O556-T556</f>
        <v>0</v>
      </c>
      <c r="Z556" s="28">
        <f>P556-U556</f>
        <v>0</v>
      </c>
      <c r="AA556" s="4"/>
      <c r="AB556" s="4"/>
      <c r="AC556">
        <f>IF(AB556=G556,1,2)</f>
        <v>2</v>
      </c>
    </row>
    <row r="557" spans="1:30" customFormat="1" ht="46.8" hidden="1" x14ac:dyDescent="0.3">
      <c r="A557" s="7" t="s">
        <v>53</v>
      </c>
      <c r="B557" s="6">
        <v>399</v>
      </c>
      <c r="C557" s="7" t="s">
        <v>1591</v>
      </c>
      <c r="D557" s="7" t="s">
        <v>1662</v>
      </c>
      <c r="E557" s="7" t="s">
        <v>1663</v>
      </c>
      <c r="F557" s="4"/>
      <c r="G557" s="7" t="s">
        <v>1664</v>
      </c>
      <c r="H557" s="5"/>
      <c r="I557" s="5"/>
      <c r="J557" s="7" t="s">
        <v>1665</v>
      </c>
      <c r="K557" s="7" t="s">
        <v>24</v>
      </c>
      <c r="L557" s="7" t="s">
        <v>1666</v>
      </c>
      <c r="M557" s="109">
        <v>813568192</v>
      </c>
      <c r="N557" s="109">
        <v>98912520</v>
      </c>
      <c r="O557" s="109">
        <v>15000000</v>
      </c>
      <c r="P557" s="110"/>
      <c r="Q557" s="109">
        <f>M557+N557+O557+P557</f>
        <v>927480712</v>
      </c>
      <c r="R557" s="3">
        <v>813568192</v>
      </c>
      <c r="S557" s="3">
        <v>98912520</v>
      </c>
      <c r="T557" s="31">
        <v>15000000</v>
      </c>
      <c r="U557" s="5"/>
      <c r="V557" s="5"/>
      <c r="W557" s="28"/>
      <c r="X557" s="28">
        <f>N557-S557</f>
        <v>0</v>
      </c>
      <c r="Y557" s="28">
        <f>O557-T557</f>
        <v>0</v>
      </c>
      <c r="Z557" s="28">
        <f>P557-U557</f>
        <v>0</v>
      </c>
      <c r="AA557" s="4"/>
      <c r="AB557" s="4"/>
      <c r="AC557">
        <f>IF(AB557=G557,1,2)</f>
        <v>2</v>
      </c>
    </row>
    <row r="558" spans="1:30" customFormat="1" ht="46.8" hidden="1" x14ac:dyDescent="0.3">
      <c r="A558" s="7" t="s">
        <v>46</v>
      </c>
      <c r="B558" s="6">
        <v>401</v>
      </c>
      <c r="C558" s="7" t="s">
        <v>1591</v>
      </c>
      <c r="D558" s="7" t="s">
        <v>1674</v>
      </c>
      <c r="E558" s="5"/>
      <c r="F558" s="4"/>
      <c r="G558" s="7" t="s">
        <v>1675</v>
      </c>
      <c r="H558" s="5"/>
      <c r="I558" s="5"/>
      <c r="J558" s="7" t="s">
        <v>1676</v>
      </c>
      <c r="K558" s="7" t="s">
        <v>24</v>
      </c>
      <c r="L558" s="7" t="s">
        <v>1677</v>
      </c>
      <c r="M558" s="109">
        <v>1621052482</v>
      </c>
      <c r="N558" s="111"/>
      <c r="O558" s="109">
        <v>7500000</v>
      </c>
      <c r="P558" s="110"/>
      <c r="Q558" s="109">
        <f>M558+N558+O558+P558</f>
        <v>1628552482</v>
      </c>
      <c r="R558" s="3">
        <v>1621052482</v>
      </c>
      <c r="S558" s="5"/>
      <c r="T558" s="30">
        <v>7500000</v>
      </c>
      <c r="U558" s="5"/>
      <c r="V558" s="5"/>
      <c r="W558" s="28"/>
      <c r="X558" s="28">
        <f>N558-S558</f>
        <v>0</v>
      </c>
      <c r="Y558" s="28">
        <f>O558-T558</f>
        <v>0</v>
      </c>
      <c r="Z558" s="28">
        <f>P558-U558</f>
        <v>0</v>
      </c>
      <c r="AA558" s="4"/>
      <c r="AB558" s="4"/>
      <c r="AC558">
        <f>IF(AB558=G558,1,2)</f>
        <v>2</v>
      </c>
    </row>
    <row r="559" spans="1:30" customFormat="1" ht="46.8" hidden="1" x14ac:dyDescent="0.3">
      <c r="A559" s="7" t="s">
        <v>53</v>
      </c>
      <c r="B559" s="6">
        <v>403</v>
      </c>
      <c r="C559" s="7" t="s">
        <v>1591</v>
      </c>
      <c r="D559" s="7" t="s">
        <v>1682</v>
      </c>
      <c r="E559" s="5"/>
      <c r="F559" s="4"/>
      <c r="G559" s="7" t="s">
        <v>1683</v>
      </c>
      <c r="H559" s="5"/>
      <c r="I559" s="5"/>
      <c r="J559" s="7" t="s">
        <v>1684</v>
      </c>
      <c r="K559" s="7" t="s">
        <v>24</v>
      </c>
      <c r="L559" s="7" t="s">
        <v>1631</v>
      </c>
      <c r="M559" s="109">
        <v>1938637001</v>
      </c>
      <c r="N559" s="111"/>
      <c r="O559" s="109">
        <v>15000000</v>
      </c>
      <c r="P559" s="110"/>
      <c r="Q559" s="109">
        <f>M559+N559+O559+P559</f>
        <v>1953637001</v>
      </c>
      <c r="R559" s="3">
        <v>1938637001</v>
      </c>
      <c r="S559" s="5"/>
      <c r="T559" s="30">
        <v>15000000</v>
      </c>
      <c r="U559" s="5"/>
      <c r="V559" s="5"/>
      <c r="W559" s="28"/>
      <c r="X559" s="28">
        <f>N559-S559</f>
        <v>0</v>
      </c>
      <c r="Y559" s="28">
        <f>O559-T559</f>
        <v>0</v>
      </c>
      <c r="Z559" s="28">
        <f>P559-U559</f>
        <v>0</v>
      </c>
      <c r="AA559" s="4"/>
      <c r="AB559" s="4"/>
      <c r="AC559">
        <f>IF(AB559=G559,1,2)</f>
        <v>2</v>
      </c>
    </row>
    <row r="560" spans="1:30" customFormat="1" ht="46.8" hidden="1" x14ac:dyDescent="0.3">
      <c r="A560" s="7" t="s">
        <v>62</v>
      </c>
      <c r="B560" s="6">
        <v>404</v>
      </c>
      <c r="C560" s="7" t="s">
        <v>1591</v>
      </c>
      <c r="D560" s="7" t="s">
        <v>1685</v>
      </c>
      <c r="E560" s="5"/>
      <c r="F560" s="4"/>
      <c r="G560" s="7" t="s">
        <v>1686</v>
      </c>
      <c r="H560" s="5"/>
      <c r="I560" s="5"/>
      <c r="J560" s="7" t="s">
        <v>1687</v>
      </c>
      <c r="K560" s="7" t="s">
        <v>24</v>
      </c>
      <c r="L560" s="7" t="s">
        <v>1688</v>
      </c>
      <c r="M560" s="109">
        <v>1137670028</v>
      </c>
      <c r="N560" s="111"/>
      <c r="O560" s="109">
        <v>7500000</v>
      </c>
      <c r="P560" s="110"/>
      <c r="Q560" s="109">
        <f>M560+N560+O560+P560</f>
        <v>1145170028</v>
      </c>
      <c r="R560" s="3">
        <v>1137670028</v>
      </c>
      <c r="S560" s="5"/>
      <c r="T560" s="30">
        <v>7500000</v>
      </c>
      <c r="U560" s="5"/>
      <c r="V560" s="5"/>
      <c r="W560" s="28"/>
      <c r="X560" s="28">
        <f>N560-S560</f>
        <v>0</v>
      </c>
      <c r="Y560" s="28">
        <f>O560-T560</f>
        <v>0</v>
      </c>
      <c r="Z560" s="28">
        <f>P560-U560</f>
        <v>0</v>
      </c>
      <c r="AA560" s="4"/>
      <c r="AB560" s="4"/>
      <c r="AC560">
        <f>IF(AB560=G560,1,2)</f>
        <v>2</v>
      </c>
    </row>
    <row r="561" spans="1:30" customFormat="1" ht="46.8" hidden="1" x14ac:dyDescent="0.3">
      <c r="A561" s="7" t="s">
        <v>1601</v>
      </c>
      <c r="B561" s="6">
        <v>406</v>
      </c>
      <c r="C561" s="7" t="s">
        <v>1591</v>
      </c>
      <c r="D561" s="7" t="s">
        <v>1693</v>
      </c>
      <c r="E561" s="5"/>
      <c r="F561" s="4"/>
      <c r="G561" s="7" t="s">
        <v>1694</v>
      </c>
      <c r="H561" s="5"/>
      <c r="I561" s="5"/>
      <c r="J561" s="7" t="s">
        <v>1695</v>
      </c>
      <c r="K561" s="7" t="s">
        <v>24</v>
      </c>
      <c r="L561" s="7" t="s">
        <v>1696</v>
      </c>
      <c r="M561" s="109">
        <v>4967225580</v>
      </c>
      <c r="N561" s="111"/>
      <c r="O561" s="109">
        <v>7500000</v>
      </c>
      <c r="P561" s="110"/>
      <c r="Q561" s="109">
        <f>M561+N561+O561+P561</f>
        <v>4974725580</v>
      </c>
      <c r="R561" s="36">
        <v>4967225580</v>
      </c>
      <c r="S561" s="5"/>
      <c r="T561" s="30">
        <v>7500000</v>
      </c>
      <c r="U561" s="5"/>
      <c r="V561" s="5"/>
      <c r="W561" s="28"/>
      <c r="X561" s="28">
        <f>N561-S561</f>
        <v>0</v>
      </c>
      <c r="Y561" s="28">
        <f>O561-T561</f>
        <v>0</v>
      </c>
      <c r="Z561" s="28">
        <f>P561-U561</f>
        <v>0</v>
      </c>
      <c r="AA561" s="4"/>
      <c r="AB561" s="4"/>
      <c r="AC561">
        <f>IF(AB561=G561,1,2)</f>
        <v>2</v>
      </c>
    </row>
    <row r="562" spans="1:30" customFormat="1" ht="46.8" hidden="1" x14ac:dyDescent="0.3">
      <c r="A562" s="7" t="s">
        <v>1601</v>
      </c>
      <c r="B562" s="6">
        <v>407</v>
      </c>
      <c r="C562" s="7" t="s">
        <v>1591</v>
      </c>
      <c r="D562" s="7" t="s">
        <v>1697</v>
      </c>
      <c r="E562" s="7"/>
      <c r="F562" s="4"/>
      <c r="G562" s="7" t="s">
        <v>1698</v>
      </c>
      <c r="H562" s="7"/>
      <c r="I562" s="7"/>
      <c r="J562" s="7" t="s">
        <v>1699</v>
      </c>
      <c r="K562" s="7" t="s">
        <v>24</v>
      </c>
      <c r="L562" s="7" t="s">
        <v>1700</v>
      </c>
      <c r="M562" s="109">
        <v>10000000</v>
      </c>
      <c r="N562" s="111"/>
      <c r="O562" s="109">
        <v>15000000</v>
      </c>
      <c r="P562" s="110"/>
      <c r="Q562" s="109">
        <f>M562+N562+O562+P562</f>
        <v>25000000</v>
      </c>
      <c r="R562" s="5"/>
      <c r="S562" s="5"/>
      <c r="T562" s="72"/>
      <c r="U562" s="5"/>
      <c r="V562" s="5"/>
      <c r="W562" s="28">
        <v>10000000</v>
      </c>
      <c r="X562" s="28">
        <f>N562-S562</f>
        <v>0</v>
      </c>
      <c r="Y562" s="36">
        <f>O562-T562</f>
        <v>15000000</v>
      </c>
      <c r="Z562" s="28">
        <f>P562-U562</f>
        <v>0</v>
      </c>
      <c r="AA562" s="8">
        <v>10000000</v>
      </c>
      <c r="AB562" s="40"/>
      <c r="AC562" s="121">
        <f>IF(AB562=G562,1,2)</f>
        <v>2</v>
      </c>
      <c r="AD562" s="121"/>
    </row>
    <row r="563" spans="1:30" customFormat="1" ht="46.8" hidden="1" x14ac:dyDescent="0.3">
      <c r="A563" s="7" t="s">
        <v>62</v>
      </c>
      <c r="B563" s="6">
        <v>408</v>
      </c>
      <c r="C563" s="7" t="s">
        <v>1591</v>
      </c>
      <c r="D563" s="7" t="s">
        <v>1701</v>
      </c>
      <c r="E563" s="7"/>
      <c r="F563" s="4"/>
      <c r="G563" s="7" t="s">
        <v>1702</v>
      </c>
      <c r="H563" s="7"/>
      <c r="I563" s="7"/>
      <c r="J563" s="7" t="s">
        <v>1703</v>
      </c>
      <c r="K563" s="7" t="s">
        <v>24</v>
      </c>
      <c r="L563" s="7" t="s">
        <v>1704</v>
      </c>
      <c r="M563" s="109">
        <v>6525000</v>
      </c>
      <c r="N563" s="111"/>
      <c r="O563" s="109">
        <v>7500000</v>
      </c>
      <c r="P563" s="110"/>
      <c r="Q563" s="109">
        <f>M563+N563+O563+P563</f>
        <v>14025000</v>
      </c>
      <c r="R563" s="5"/>
      <c r="S563" s="5"/>
      <c r="T563" s="72"/>
      <c r="U563" s="5"/>
      <c r="V563" s="5"/>
      <c r="W563" s="28">
        <v>6525000</v>
      </c>
      <c r="X563" s="28">
        <f>N563-S563</f>
        <v>0</v>
      </c>
      <c r="Y563" s="36">
        <f>O563-T563</f>
        <v>7500000</v>
      </c>
      <c r="Z563" s="28">
        <f>P563-U563</f>
        <v>0</v>
      </c>
      <c r="AA563" s="10">
        <v>6525000</v>
      </c>
      <c r="AB563" s="40"/>
      <c r="AC563" s="121">
        <f>IF(AB563=G563,1,2)</f>
        <v>2</v>
      </c>
      <c r="AD563" s="121"/>
    </row>
    <row r="564" spans="1:30" customFormat="1" ht="46.8" hidden="1" x14ac:dyDescent="0.3">
      <c r="A564" s="7" t="s">
        <v>46</v>
      </c>
      <c r="B564" s="6">
        <v>409</v>
      </c>
      <c r="C564" s="7" t="s">
        <v>1591</v>
      </c>
      <c r="D564" s="7" t="s">
        <v>1705</v>
      </c>
      <c r="E564" s="7"/>
      <c r="F564" s="4"/>
      <c r="G564" s="7" t="s">
        <v>1706</v>
      </c>
      <c r="H564" s="7"/>
      <c r="I564" s="7" t="s">
        <v>1707</v>
      </c>
      <c r="J564" s="7" t="s">
        <v>1708</v>
      </c>
      <c r="K564" s="7" t="s">
        <v>24</v>
      </c>
      <c r="L564" s="7" t="s">
        <v>1709</v>
      </c>
      <c r="M564" s="109">
        <v>0</v>
      </c>
      <c r="N564" s="111"/>
      <c r="O564" s="109">
        <v>7500000</v>
      </c>
      <c r="P564" s="110"/>
      <c r="Q564" s="109">
        <f>M564+N564+O564+P564</f>
        <v>7500000</v>
      </c>
      <c r="R564" s="6">
        <v>0</v>
      </c>
      <c r="S564" s="5"/>
      <c r="T564" s="72"/>
      <c r="U564" s="5"/>
      <c r="V564" s="5"/>
      <c r="W564" s="28"/>
      <c r="X564" s="28">
        <f>N564-S564</f>
        <v>0</v>
      </c>
      <c r="Y564" s="36">
        <f>O564-T564</f>
        <v>7500000</v>
      </c>
      <c r="Z564" s="28">
        <f>P564-U564</f>
        <v>0</v>
      </c>
      <c r="AA564" s="4"/>
      <c r="AB564" s="40"/>
      <c r="AC564" s="121">
        <f>IF(AB564=G564,1,2)</f>
        <v>2</v>
      </c>
      <c r="AD564" s="121"/>
    </row>
    <row r="565" spans="1:30" customFormat="1" ht="46.8" hidden="1" x14ac:dyDescent="0.3">
      <c r="A565" s="7" t="s">
        <v>1601</v>
      </c>
      <c r="B565" s="6">
        <v>412</v>
      </c>
      <c r="C565" s="7" t="s">
        <v>1591</v>
      </c>
      <c r="D565" s="7" t="s">
        <v>1720</v>
      </c>
      <c r="E565" s="5"/>
      <c r="F565" s="4"/>
      <c r="G565" s="7" t="s">
        <v>1721</v>
      </c>
      <c r="H565" s="5"/>
      <c r="I565" s="5"/>
      <c r="J565" s="7" t="s">
        <v>1722</v>
      </c>
      <c r="K565" s="7" t="s">
        <v>24</v>
      </c>
      <c r="L565" s="7" t="s">
        <v>1723</v>
      </c>
      <c r="M565" s="109">
        <v>2422464300</v>
      </c>
      <c r="N565" s="111"/>
      <c r="O565" s="109">
        <v>7500000</v>
      </c>
      <c r="P565" s="110"/>
      <c r="Q565" s="109">
        <f>M565+N565+O565+P565</f>
        <v>2429964300</v>
      </c>
      <c r="R565" s="36">
        <v>2422464300</v>
      </c>
      <c r="S565" s="5"/>
      <c r="T565" s="30">
        <v>7500000</v>
      </c>
      <c r="U565" s="5"/>
      <c r="V565" s="5"/>
      <c r="W565" s="28"/>
      <c r="X565" s="28">
        <f>N565-S565</f>
        <v>0</v>
      </c>
      <c r="Y565" s="28">
        <f>O565-T565</f>
        <v>0</v>
      </c>
      <c r="Z565" s="28">
        <f>P565-U565</f>
        <v>0</v>
      </c>
      <c r="AA565" s="4"/>
      <c r="AB565" s="4"/>
      <c r="AC565">
        <f>IF(AB565=G565,1,2)</f>
        <v>2</v>
      </c>
    </row>
    <row r="566" spans="1:30" customFormat="1" ht="46.8" hidden="1" x14ac:dyDescent="0.3">
      <c r="A566" s="7" t="s">
        <v>53</v>
      </c>
      <c r="B566" s="6">
        <v>413</v>
      </c>
      <c r="C566" s="7" t="s">
        <v>1591</v>
      </c>
      <c r="D566" s="7" t="s">
        <v>1724</v>
      </c>
      <c r="E566" s="5"/>
      <c r="F566" s="4"/>
      <c r="G566" s="7" t="s">
        <v>1725</v>
      </c>
      <c r="H566" s="5"/>
      <c r="I566" s="5"/>
      <c r="J566" s="7" t="s">
        <v>1726</v>
      </c>
      <c r="K566" s="7" t="s">
        <v>24</v>
      </c>
      <c r="L566" s="7" t="s">
        <v>1727</v>
      </c>
      <c r="M566" s="109">
        <v>2392845896</v>
      </c>
      <c r="N566" s="111"/>
      <c r="O566" s="109">
        <v>7500000</v>
      </c>
      <c r="P566" s="110"/>
      <c r="Q566" s="109">
        <f>M566+N566+O566+P566</f>
        <v>2400345896</v>
      </c>
      <c r="R566" s="3">
        <v>2392845896</v>
      </c>
      <c r="S566" s="5"/>
      <c r="T566" s="30">
        <v>7500000</v>
      </c>
      <c r="U566" s="5"/>
      <c r="V566" s="5"/>
      <c r="W566" s="28"/>
      <c r="X566" s="28">
        <f>N566-S566</f>
        <v>0</v>
      </c>
      <c r="Y566" s="28">
        <f>O566-T566</f>
        <v>0</v>
      </c>
      <c r="Z566" s="28">
        <f>P566-U566</f>
        <v>0</v>
      </c>
      <c r="AA566" s="4"/>
      <c r="AB566" s="4"/>
      <c r="AC566">
        <f>IF(AB566=G566,1,2)</f>
        <v>2</v>
      </c>
    </row>
    <row r="567" spans="1:30" customFormat="1" ht="46.8" hidden="1" x14ac:dyDescent="0.3">
      <c r="A567" s="7" t="s">
        <v>62</v>
      </c>
      <c r="B567" s="6">
        <v>414</v>
      </c>
      <c r="C567" s="7" t="s">
        <v>1591</v>
      </c>
      <c r="D567" s="7" t="s">
        <v>1728</v>
      </c>
      <c r="E567" s="5"/>
      <c r="F567" s="4"/>
      <c r="G567" s="7" t="s">
        <v>1729</v>
      </c>
      <c r="H567" s="5"/>
      <c r="I567" s="5"/>
      <c r="J567" s="7" t="s">
        <v>1730</v>
      </c>
      <c r="K567" s="7" t="s">
        <v>24</v>
      </c>
      <c r="L567" s="7" t="s">
        <v>1731</v>
      </c>
      <c r="M567" s="109">
        <v>3732755792</v>
      </c>
      <c r="N567" s="111"/>
      <c r="O567" s="109">
        <v>15000000</v>
      </c>
      <c r="P567" s="110"/>
      <c r="Q567" s="109">
        <f>M567+N567+O567+P567</f>
        <v>3747755792</v>
      </c>
      <c r="R567" s="3">
        <v>3732755792</v>
      </c>
      <c r="S567" s="5"/>
      <c r="T567" s="30">
        <v>15000000</v>
      </c>
      <c r="U567" s="5"/>
      <c r="V567" s="5"/>
      <c r="W567" s="28"/>
      <c r="X567" s="28">
        <f>N567-S567</f>
        <v>0</v>
      </c>
      <c r="Y567" s="28">
        <f>O567-T567</f>
        <v>0</v>
      </c>
      <c r="Z567" s="28">
        <f>P567-U567</f>
        <v>0</v>
      </c>
      <c r="AA567" s="4"/>
      <c r="AB567" s="4"/>
      <c r="AC567">
        <f>IF(AB567=G567,1,2)</f>
        <v>2</v>
      </c>
    </row>
    <row r="568" spans="1:30" customFormat="1" ht="46.8" hidden="1" x14ac:dyDescent="0.3">
      <c r="A568" s="7" t="s">
        <v>1601</v>
      </c>
      <c r="B568" s="6">
        <v>415</v>
      </c>
      <c r="C568" s="7" t="s">
        <v>1591</v>
      </c>
      <c r="D568" s="7" t="s">
        <v>1732</v>
      </c>
      <c r="E568" s="5"/>
      <c r="F568" s="4"/>
      <c r="G568" s="7" t="s">
        <v>1733</v>
      </c>
      <c r="H568" s="5"/>
      <c r="I568" s="5"/>
      <c r="J568" s="7" t="s">
        <v>1734</v>
      </c>
      <c r="K568" s="7" t="s">
        <v>24</v>
      </c>
      <c r="L568" s="7" t="s">
        <v>1735</v>
      </c>
      <c r="M568" s="109">
        <v>585805584</v>
      </c>
      <c r="N568" s="111"/>
      <c r="O568" s="109">
        <v>7500000</v>
      </c>
      <c r="P568" s="110"/>
      <c r="Q568" s="109">
        <f>M568+N568+O568+P568</f>
        <v>593305584</v>
      </c>
      <c r="R568" s="36">
        <v>585805584</v>
      </c>
      <c r="S568" s="5"/>
      <c r="T568" s="30">
        <v>7500000</v>
      </c>
      <c r="U568" s="5"/>
      <c r="V568" s="5"/>
      <c r="W568" s="28"/>
      <c r="X568" s="28">
        <f>N568-S568</f>
        <v>0</v>
      </c>
      <c r="Y568" s="28">
        <f>O568-T568</f>
        <v>0</v>
      </c>
      <c r="Z568" s="28">
        <f>P568-U568</f>
        <v>0</v>
      </c>
      <c r="AA568" s="4"/>
      <c r="AB568" s="4"/>
      <c r="AC568">
        <f>IF(AB568=G568,1,2)</f>
        <v>2</v>
      </c>
    </row>
    <row r="569" spans="1:30" customFormat="1" ht="46.8" hidden="1" x14ac:dyDescent="0.3">
      <c r="A569" s="7" t="s">
        <v>18</v>
      </c>
      <c r="B569" s="6">
        <v>416</v>
      </c>
      <c r="C569" s="7" t="s">
        <v>1591</v>
      </c>
      <c r="D569" s="7" t="s">
        <v>1736</v>
      </c>
      <c r="E569" s="5"/>
      <c r="F569" s="4"/>
      <c r="G569" s="7" t="s">
        <v>1737</v>
      </c>
      <c r="H569" s="5"/>
      <c r="I569" s="5"/>
      <c r="J569" s="7" t="s">
        <v>1738</v>
      </c>
      <c r="K569" s="7" t="s">
        <v>24</v>
      </c>
      <c r="L569" s="7" t="s">
        <v>1739</v>
      </c>
      <c r="M569" s="109">
        <v>2508309760</v>
      </c>
      <c r="N569" s="111"/>
      <c r="O569" s="109">
        <v>15000000</v>
      </c>
      <c r="P569" s="110"/>
      <c r="Q569" s="109">
        <f>M569+N569+O569+P569</f>
        <v>2523309760</v>
      </c>
      <c r="R569" s="3">
        <v>2508309760</v>
      </c>
      <c r="S569" s="5"/>
      <c r="T569" s="30">
        <v>15000000</v>
      </c>
      <c r="U569" s="5"/>
      <c r="V569" s="5"/>
      <c r="W569" s="28"/>
      <c r="X569" s="28">
        <f>N569-S569</f>
        <v>0</v>
      </c>
      <c r="Y569" s="28">
        <f>O569-T569</f>
        <v>0</v>
      </c>
      <c r="Z569" s="28">
        <f>P569-U569</f>
        <v>0</v>
      </c>
      <c r="AA569" s="4"/>
      <c r="AB569" s="4"/>
      <c r="AC569">
        <f>IF(AB569=G569,1,2)</f>
        <v>2</v>
      </c>
    </row>
    <row r="570" spans="1:30" customFormat="1" ht="46.8" hidden="1" x14ac:dyDescent="0.3">
      <c r="A570" s="7" t="s">
        <v>1601</v>
      </c>
      <c r="B570" s="6">
        <v>417</v>
      </c>
      <c r="C570" s="7" t="s">
        <v>1591</v>
      </c>
      <c r="D570" s="7" t="s">
        <v>1740</v>
      </c>
      <c r="E570" s="7"/>
      <c r="F570" s="4"/>
      <c r="G570" s="7" t="s">
        <v>1741</v>
      </c>
      <c r="H570" s="7"/>
      <c r="I570" s="7"/>
      <c r="J570" s="7" t="s">
        <v>1742</v>
      </c>
      <c r="K570" s="7" t="s">
        <v>24</v>
      </c>
      <c r="L570" s="7" t="s">
        <v>1743</v>
      </c>
      <c r="M570" s="109">
        <v>0</v>
      </c>
      <c r="N570" s="111"/>
      <c r="O570" s="109">
        <v>7500000</v>
      </c>
      <c r="P570" s="110"/>
      <c r="Q570" s="109">
        <f>M570+N570+O570+P570</f>
        <v>7500000</v>
      </c>
      <c r="R570" s="6">
        <v>0</v>
      </c>
      <c r="S570" s="5"/>
      <c r="T570" s="72"/>
      <c r="U570" s="5"/>
      <c r="V570" s="5"/>
      <c r="W570" s="28"/>
      <c r="X570" s="28">
        <f>N570-S570</f>
        <v>0</v>
      </c>
      <c r="Y570" s="36">
        <f>O570-T570</f>
        <v>7500000</v>
      </c>
      <c r="Z570" s="28">
        <f>P570-U570</f>
        <v>0</v>
      </c>
      <c r="AA570" s="4"/>
      <c r="AB570" s="40"/>
      <c r="AC570" s="121">
        <f>IF(AB570=G570,1,2)</f>
        <v>2</v>
      </c>
      <c r="AD570" s="121"/>
    </row>
    <row r="571" spans="1:30" customFormat="1" ht="46.8" hidden="1" x14ac:dyDescent="0.3">
      <c r="A571" s="7" t="s">
        <v>18</v>
      </c>
      <c r="B571" s="6">
        <v>418</v>
      </c>
      <c r="C571" s="7" t="s">
        <v>1591</v>
      </c>
      <c r="D571" s="7" t="s">
        <v>1744</v>
      </c>
      <c r="E571" s="5"/>
      <c r="F571" s="4"/>
      <c r="G571" s="7" t="s">
        <v>1745</v>
      </c>
      <c r="H571" s="5"/>
      <c r="I571" s="5"/>
      <c r="J571" s="7" t="s">
        <v>1746</v>
      </c>
      <c r="K571" s="7" t="s">
        <v>24</v>
      </c>
      <c r="L571" s="7" t="s">
        <v>1747</v>
      </c>
      <c r="M571" s="109">
        <v>515507992</v>
      </c>
      <c r="N571" s="111"/>
      <c r="O571" s="109">
        <v>7500000</v>
      </c>
      <c r="P571" s="110"/>
      <c r="Q571" s="109">
        <f>M571+N571+O571+P571</f>
        <v>523007992</v>
      </c>
      <c r="R571" s="9">
        <v>515507992</v>
      </c>
      <c r="S571" s="5"/>
      <c r="T571" s="30">
        <v>7500000</v>
      </c>
      <c r="U571" s="5"/>
      <c r="V571" s="5"/>
      <c r="W571" s="28"/>
      <c r="X571" s="28">
        <f>N571-S571</f>
        <v>0</v>
      </c>
      <c r="Y571" s="28">
        <f>O571-T571</f>
        <v>0</v>
      </c>
      <c r="Z571" s="28">
        <f>P571-U571</f>
        <v>0</v>
      </c>
      <c r="AA571" s="4"/>
      <c r="AB571" s="4"/>
      <c r="AC571">
        <f>IF(AB571=G571,1,2)</f>
        <v>2</v>
      </c>
    </row>
    <row r="572" spans="1:30" customFormat="1" ht="62.4" hidden="1" customHeight="1" x14ac:dyDescent="0.3">
      <c r="A572" s="7" t="s">
        <v>62</v>
      </c>
      <c r="B572" s="6">
        <v>419</v>
      </c>
      <c r="C572" s="7" t="s">
        <v>1591</v>
      </c>
      <c r="D572" s="7" t="s">
        <v>1748</v>
      </c>
      <c r="E572" s="5"/>
      <c r="F572" s="4"/>
      <c r="G572" s="7" t="s">
        <v>1749</v>
      </c>
      <c r="H572" s="5"/>
      <c r="I572" s="5"/>
      <c r="J572" s="7" t="s">
        <v>1750</v>
      </c>
      <c r="K572" s="7" t="s">
        <v>24</v>
      </c>
      <c r="L572" s="7" t="s">
        <v>1751</v>
      </c>
      <c r="M572" s="109">
        <v>1967943264</v>
      </c>
      <c r="N572" s="111"/>
      <c r="O572" s="109">
        <v>7500000</v>
      </c>
      <c r="P572" s="110"/>
      <c r="Q572" s="109">
        <f>M572+N572+O572+P572</f>
        <v>1975443264</v>
      </c>
      <c r="R572" s="3">
        <v>1967943264</v>
      </c>
      <c r="S572" s="5"/>
      <c r="T572" s="30">
        <v>7500000</v>
      </c>
      <c r="U572" s="5"/>
      <c r="V572" s="5"/>
      <c r="W572" s="28"/>
      <c r="X572" s="28">
        <f>N572-S572</f>
        <v>0</v>
      </c>
      <c r="Y572" s="28">
        <f>O572-T572</f>
        <v>0</v>
      </c>
      <c r="Z572" s="28">
        <f>P572-U572</f>
        <v>0</v>
      </c>
      <c r="AA572" s="4"/>
      <c r="AB572" s="4"/>
      <c r="AC572">
        <f>IF(AB572=G572,1,2)</f>
        <v>2</v>
      </c>
    </row>
    <row r="573" spans="1:30" customFormat="1" ht="46.8" hidden="1" x14ac:dyDescent="0.3">
      <c r="A573" s="7" t="s">
        <v>62</v>
      </c>
      <c r="B573" s="6">
        <v>420</v>
      </c>
      <c r="C573" s="7" t="s">
        <v>1591</v>
      </c>
      <c r="D573" s="7" t="s">
        <v>1752</v>
      </c>
      <c r="E573" s="7"/>
      <c r="F573" s="4"/>
      <c r="G573" s="7" t="s">
        <v>1753</v>
      </c>
      <c r="H573" s="7"/>
      <c r="I573" s="7"/>
      <c r="J573" s="7" t="s">
        <v>1754</v>
      </c>
      <c r="K573" s="7" t="s">
        <v>24</v>
      </c>
      <c r="L573" s="7" t="s">
        <v>1755</v>
      </c>
      <c r="M573" s="109">
        <v>3075917326</v>
      </c>
      <c r="N573" s="111"/>
      <c r="O573" s="109">
        <v>7500000</v>
      </c>
      <c r="P573" s="110"/>
      <c r="Q573" s="109">
        <f>M573+N573+O573+P573</f>
        <v>3083417326</v>
      </c>
      <c r="R573" s="5"/>
      <c r="S573" s="5"/>
      <c r="T573" s="72"/>
      <c r="U573" s="5"/>
      <c r="V573" s="5"/>
      <c r="W573" s="28">
        <v>3075917326</v>
      </c>
      <c r="X573" s="28">
        <f>N573-S573</f>
        <v>0</v>
      </c>
      <c r="Y573" s="36">
        <f>O573-T573</f>
        <v>7500000</v>
      </c>
      <c r="Z573" s="28">
        <f>P573-U573</f>
        <v>0</v>
      </c>
      <c r="AA573" s="10">
        <v>3075917326</v>
      </c>
      <c r="AB573" s="40"/>
      <c r="AC573" s="121">
        <f>IF(AB573=G573,1,2)</f>
        <v>2</v>
      </c>
      <c r="AD573" s="121"/>
    </row>
    <row r="574" spans="1:30" customFormat="1" ht="46.8" hidden="1" x14ac:dyDescent="0.3">
      <c r="A574" s="7" t="s">
        <v>18</v>
      </c>
      <c r="B574" s="6">
        <v>421</v>
      </c>
      <c r="C574" s="7" t="s">
        <v>1591</v>
      </c>
      <c r="D574" s="7" t="s">
        <v>1756</v>
      </c>
      <c r="E574" s="5"/>
      <c r="F574" s="4"/>
      <c r="G574" s="7" t="s">
        <v>1757</v>
      </c>
      <c r="H574" s="5"/>
      <c r="I574" s="5"/>
      <c r="J574" s="7" t="s">
        <v>1758</v>
      </c>
      <c r="K574" s="7" t="s">
        <v>24</v>
      </c>
      <c r="L574" s="7" t="s">
        <v>1759</v>
      </c>
      <c r="M574" s="109">
        <v>10850167780</v>
      </c>
      <c r="N574" s="111"/>
      <c r="O574" s="109">
        <v>15000000</v>
      </c>
      <c r="P574" s="110"/>
      <c r="Q574" s="109">
        <f>M574+N574+O574+P574</f>
        <v>10865167780</v>
      </c>
      <c r="R574" s="3">
        <v>10850167780</v>
      </c>
      <c r="S574" s="5"/>
      <c r="T574" s="30">
        <v>15000000</v>
      </c>
      <c r="U574" s="5"/>
      <c r="V574" s="5"/>
      <c r="W574" s="28"/>
      <c r="X574" s="28">
        <f>N574-S574</f>
        <v>0</v>
      </c>
      <c r="Y574" s="28">
        <f>O574-T574</f>
        <v>0</v>
      </c>
      <c r="Z574" s="28">
        <f>P574-U574</f>
        <v>0</v>
      </c>
      <c r="AA574" s="4"/>
      <c r="AB574" s="4"/>
      <c r="AC574">
        <f>IF(AB574=G574,1,2)</f>
        <v>2</v>
      </c>
    </row>
    <row r="575" spans="1:30" customFormat="1" ht="46.8" hidden="1" x14ac:dyDescent="0.3">
      <c r="A575" s="7" t="s">
        <v>53</v>
      </c>
      <c r="B575" s="6">
        <v>422</v>
      </c>
      <c r="C575" s="7" t="s">
        <v>1591</v>
      </c>
      <c r="D575" s="7" t="s">
        <v>1760</v>
      </c>
      <c r="E575" s="5"/>
      <c r="F575" s="4"/>
      <c r="G575" s="7" t="s">
        <v>1761</v>
      </c>
      <c r="H575" s="5"/>
      <c r="I575" s="5"/>
      <c r="J575" s="7" t="s">
        <v>1762</v>
      </c>
      <c r="K575" s="7" t="s">
        <v>24</v>
      </c>
      <c r="L575" s="7" t="s">
        <v>1763</v>
      </c>
      <c r="M575" s="109">
        <v>963584580</v>
      </c>
      <c r="N575" s="111"/>
      <c r="O575" s="109">
        <v>7500000</v>
      </c>
      <c r="P575" s="110"/>
      <c r="Q575" s="109">
        <f>M575+N575+O575+P575</f>
        <v>971084580</v>
      </c>
      <c r="R575" s="3">
        <v>963584580</v>
      </c>
      <c r="S575" s="5"/>
      <c r="T575" s="30">
        <v>7500000</v>
      </c>
      <c r="U575" s="5"/>
      <c r="V575" s="5"/>
      <c r="W575" s="28"/>
      <c r="X575" s="28">
        <f>N575-S575</f>
        <v>0</v>
      </c>
      <c r="Y575" s="28">
        <f>O575-T575</f>
        <v>0</v>
      </c>
      <c r="Z575" s="28">
        <f>P575-U575</f>
        <v>0</v>
      </c>
      <c r="AA575" s="4"/>
      <c r="AB575" s="4"/>
      <c r="AC575">
        <f>IF(AB575=G575,1,2)</f>
        <v>2</v>
      </c>
    </row>
    <row r="576" spans="1:30" customFormat="1" ht="62.4" hidden="1" x14ac:dyDescent="0.3">
      <c r="A576" s="7" t="s">
        <v>53</v>
      </c>
      <c r="B576" s="6">
        <v>423</v>
      </c>
      <c r="C576" s="7" t="s">
        <v>1591</v>
      </c>
      <c r="D576" s="7" t="s">
        <v>1764</v>
      </c>
      <c r="E576" s="5"/>
      <c r="F576" s="4"/>
      <c r="G576" s="7" t="s">
        <v>1765</v>
      </c>
      <c r="H576" s="5"/>
      <c r="I576" s="5"/>
      <c r="J576" s="7" t="s">
        <v>1766</v>
      </c>
      <c r="K576" s="7" t="s">
        <v>24</v>
      </c>
      <c r="L576" s="7" t="s">
        <v>1767</v>
      </c>
      <c r="M576" s="109">
        <v>7215729060</v>
      </c>
      <c r="N576" s="111"/>
      <c r="O576" s="109">
        <v>15000000</v>
      </c>
      <c r="P576" s="110"/>
      <c r="Q576" s="109">
        <f>M576+N576+O576+P576</f>
        <v>7230729060</v>
      </c>
      <c r="R576" s="3">
        <v>7215729060</v>
      </c>
      <c r="S576" s="5"/>
      <c r="T576" s="30">
        <v>15000000</v>
      </c>
      <c r="U576" s="5"/>
      <c r="V576" s="5"/>
      <c r="W576" s="28"/>
      <c r="X576" s="28">
        <f>N576-S576</f>
        <v>0</v>
      </c>
      <c r="Y576" s="28">
        <f>O576-T576</f>
        <v>0</v>
      </c>
      <c r="Z576" s="28">
        <f>P576-U576</f>
        <v>0</v>
      </c>
      <c r="AA576" s="4"/>
      <c r="AB576" s="4"/>
      <c r="AC576">
        <f>IF(AB576=G576,1,2)</f>
        <v>2</v>
      </c>
    </row>
    <row r="577" spans="1:30" customFormat="1" ht="46.8" hidden="1" x14ac:dyDescent="0.3">
      <c r="A577" s="7" t="s">
        <v>62</v>
      </c>
      <c r="B577" s="6">
        <v>424</v>
      </c>
      <c r="C577" s="7" t="s">
        <v>1591</v>
      </c>
      <c r="D577" s="7" t="s">
        <v>1768</v>
      </c>
      <c r="E577" s="5"/>
      <c r="F577" s="4"/>
      <c r="G577" s="7" t="s">
        <v>1769</v>
      </c>
      <c r="H577" s="5"/>
      <c r="I577" s="5"/>
      <c r="J577" s="7" t="s">
        <v>1770</v>
      </c>
      <c r="K577" s="7" t="s">
        <v>24</v>
      </c>
      <c r="L577" s="7" t="s">
        <v>1771</v>
      </c>
      <c r="M577" s="109">
        <v>0</v>
      </c>
      <c r="N577" s="111"/>
      <c r="O577" s="109">
        <v>7500000</v>
      </c>
      <c r="P577" s="110"/>
      <c r="Q577" s="109">
        <f>M577+N577+O577+P577</f>
        <v>7500000</v>
      </c>
      <c r="R577" s="6">
        <v>0</v>
      </c>
      <c r="S577" s="5"/>
      <c r="T577" s="30">
        <v>7500000</v>
      </c>
      <c r="U577" s="5"/>
      <c r="V577" s="5"/>
      <c r="W577" s="28"/>
      <c r="X577" s="28">
        <f>N577-S577</f>
        <v>0</v>
      </c>
      <c r="Y577" s="28">
        <f>O577-T577</f>
        <v>0</v>
      </c>
      <c r="Z577" s="28">
        <f>P577-U577</f>
        <v>0</v>
      </c>
      <c r="AA577" s="4"/>
      <c r="AB577" s="4"/>
      <c r="AC577">
        <f>IF(AB577=G577,1,2)</f>
        <v>2</v>
      </c>
    </row>
    <row r="578" spans="1:30" customFormat="1" ht="46.8" hidden="1" x14ac:dyDescent="0.3">
      <c r="A578" s="7" t="s">
        <v>18</v>
      </c>
      <c r="B578" s="6">
        <v>425</v>
      </c>
      <c r="C578" s="7" t="s">
        <v>1591</v>
      </c>
      <c r="D578" s="7" t="s">
        <v>1772</v>
      </c>
      <c r="E578" s="5"/>
      <c r="F578" s="4"/>
      <c r="G578" s="7" t="s">
        <v>1773</v>
      </c>
      <c r="H578" s="7" t="s">
        <v>1774</v>
      </c>
      <c r="I578" s="5"/>
      <c r="J578" s="7" t="s">
        <v>1775</v>
      </c>
      <c r="K578" s="7" t="s">
        <v>24</v>
      </c>
      <c r="L578" s="7" t="s">
        <v>1776</v>
      </c>
      <c r="M578" s="109">
        <v>803736494</v>
      </c>
      <c r="N578" s="111"/>
      <c r="O578" s="109">
        <v>7500000</v>
      </c>
      <c r="P578" s="110"/>
      <c r="Q578" s="109">
        <f>M578+N578+O578+P578</f>
        <v>811236494</v>
      </c>
      <c r="R578" s="3">
        <v>803736494</v>
      </c>
      <c r="S578" s="5"/>
      <c r="T578" s="30">
        <v>7500000</v>
      </c>
      <c r="U578" s="5"/>
      <c r="V578" s="5"/>
      <c r="W578" s="28"/>
      <c r="X578" s="28">
        <f>N578-S578</f>
        <v>0</v>
      </c>
      <c r="Y578" s="28">
        <f>O578-T578</f>
        <v>0</v>
      </c>
      <c r="Z578" s="28">
        <f>P578-U578</f>
        <v>0</v>
      </c>
      <c r="AA578" s="4"/>
      <c r="AB578" s="4"/>
      <c r="AC578">
        <f>IF(AB578=G578,1,2)</f>
        <v>2</v>
      </c>
    </row>
    <row r="579" spans="1:30" customFormat="1" ht="46.8" hidden="1" x14ac:dyDescent="0.3">
      <c r="A579" s="7" t="s">
        <v>1601</v>
      </c>
      <c r="B579" s="6">
        <v>426</v>
      </c>
      <c r="C579" s="7" t="s">
        <v>1591</v>
      </c>
      <c r="D579" s="7" t="s">
        <v>1777</v>
      </c>
      <c r="E579" s="5"/>
      <c r="F579" s="4"/>
      <c r="G579" s="7" t="s">
        <v>1778</v>
      </c>
      <c r="H579" s="5"/>
      <c r="I579" s="5"/>
      <c r="J579" s="7" t="s">
        <v>1779</v>
      </c>
      <c r="K579" s="7" t="s">
        <v>24</v>
      </c>
      <c r="L579" s="7" t="s">
        <v>1780</v>
      </c>
      <c r="M579" s="109">
        <v>135006020</v>
      </c>
      <c r="N579" s="111"/>
      <c r="O579" s="109">
        <v>7500000</v>
      </c>
      <c r="P579" s="110"/>
      <c r="Q579" s="109">
        <f>M579+N579+O579+P579</f>
        <v>142506020</v>
      </c>
      <c r="R579" s="3">
        <v>135006020</v>
      </c>
      <c r="S579" s="5"/>
      <c r="T579" s="30">
        <v>7500000</v>
      </c>
      <c r="U579" s="5"/>
      <c r="V579" s="5"/>
      <c r="W579" s="28"/>
      <c r="X579" s="28">
        <f>N579-S579</f>
        <v>0</v>
      </c>
      <c r="Y579" s="28">
        <f>O579-T579</f>
        <v>0</v>
      </c>
      <c r="Z579" s="28">
        <f>P579-U579</f>
        <v>0</v>
      </c>
      <c r="AA579" s="4"/>
      <c r="AB579" s="4"/>
      <c r="AC579">
        <f>IF(AB579=G579,1,2)</f>
        <v>2</v>
      </c>
    </row>
    <row r="580" spans="1:30" customFormat="1" ht="31.2" hidden="1" x14ac:dyDescent="0.3">
      <c r="A580" s="7" t="s">
        <v>62</v>
      </c>
      <c r="B580" s="6">
        <v>428</v>
      </c>
      <c r="C580" s="7" t="s">
        <v>1785</v>
      </c>
      <c r="D580" s="7" t="s">
        <v>1786</v>
      </c>
      <c r="E580" s="5"/>
      <c r="F580" s="4"/>
      <c r="G580" s="7" t="s">
        <v>1787</v>
      </c>
      <c r="H580" s="5"/>
      <c r="I580" s="5"/>
      <c r="J580" s="7" t="s">
        <v>1788</v>
      </c>
      <c r="K580" s="7" t="s">
        <v>24</v>
      </c>
      <c r="L580" s="7" t="s">
        <v>1789</v>
      </c>
      <c r="M580" s="109">
        <v>356131600</v>
      </c>
      <c r="N580" s="111"/>
      <c r="O580" s="109">
        <v>7500000</v>
      </c>
      <c r="P580" s="110"/>
      <c r="Q580" s="109">
        <f>M580+N580+O580+P580</f>
        <v>363631600</v>
      </c>
      <c r="R580" s="3">
        <v>356131600</v>
      </c>
      <c r="S580" s="5"/>
      <c r="T580" s="30">
        <v>7500000</v>
      </c>
      <c r="U580" s="5"/>
      <c r="V580" s="5"/>
      <c r="W580" s="28"/>
      <c r="X580" s="28">
        <f>N580-S580</f>
        <v>0</v>
      </c>
      <c r="Y580" s="28">
        <f>O580-T580</f>
        <v>0</v>
      </c>
      <c r="Z580" s="28">
        <f>P580-U580</f>
        <v>0</v>
      </c>
      <c r="AA580" s="4"/>
      <c r="AB580" s="4"/>
      <c r="AC580">
        <f>IF(AB580=G580,1,2)</f>
        <v>2</v>
      </c>
    </row>
    <row r="581" spans="1:30" customFormat="1" ht="31.2" hidden="1" x14ac:dyDescent="0.3">
      <c r="A581" s="7" t="s">
        <v>1601</v>
      </c>
      <c r="B581" s="6">
        <v>429</v>
      </c>
      <c r="C581" s="7" t="s">
        <v>1785</v>
      </c>
      <c r="D581" s="7" t="s">
        <v>1790</v>
      </c>
      <c r="E581" s="5"/>
      <c r="F581" s="4"/>
      <c r="G581" s="7" t="s">
        <v>1791</v>
      </c>
      <c r="H581" s="5"/>
      <c r="I581" s="5"/>
      <c r="J581" s="7" t="s">
        <v>1792</v>
      </c>
      <c r="K581" s="7" t="s">
        <v>24</v>
      </c>
      <c r="L581" s="7" t="s">
        <v>1793</v>
      </c>
      <c r="M581" s="109">
        <v>3113721600</v>
      </c>
      <c r="N581" s="111"/>
      <c r="O581" s="109">
        <v>15000000</v>
      </c>
      <c r="P581" s="110"/>
      <c r="Q581" s="109">
        <f>M581+N581+O581+P581</f>
        <v>3128721600</v>
      </c>
      <c r="R581" s="36">
        <v>3113721600</v>
      </c>
      <c r="S581" s="5"/>
      <c r="T581" s="30">
        <v>15000000</v>
      </c>
      <c r="U581" s="5"/>
      <c r="V581" s="5"/>
      <c r="W581" s="28"/>
      <c r="X581" s="28">
        <f>N581-S581</f>
        <v>0</v>
      </c>
      <c r="Y581" s="28">
        <f>O581-T581</f>
        <v>0</v>
      </c>
      <c r="Z581" s="28">
        <f>P581-U581</f>
        <v>0</v>
      </c>
      <c r="AA581" s="4"/>
      <c r="AB581" s="4"/>
      <c r="AC581">
        <f>IF(AB581=G581,1,2)</f>
        <v>2</v>
      </c>
    </row>
    <row r="582" spans="1:30" customFormat="1" ht="31.2" hidden="1" x14ac:dyDescent="0.3">
      <c r="A582" s="7" t="s">
        <v>18</v>
      </c>
      <c r="B582" s="6">
        <v>430</v>
      </c>
      <c r="C582" s="7" t="s">
        <v>1785</v>
      </c>
      <c r="D582" s="7" t="s">
        <v>1794</v>
      </c>
      <c r="E582" s="5"/>
      <c r="F582" s="4"/>
      <c r="G582" s="7" t="s">
        <v>1795</v>
      </c>
      <c r="H582" s="5"/>
      <c r="I582" s="5"/>
      <c r="J582" s="7" t="s">
        <v>1796</v>
      </c>
      <c r="K582" s="7" t="s">
        <v>24</v>
      </c>
      <c r="L582" s="7" t="s">
        <v>1797</v>
      </c>
      <c r="M582" s="109">
        <v>3291977680</v>
      </c>
      <c r="N582" s="111"/>
      <c r="O582" s="109">
        <v>15000000</v>
      </c>
      <c r="P582" s="110"/>
      <c r="Q582" s="109">
        <f>M582+N582+O582+P582</f>
        <v>3306977680</v>
      </c>
      <c r="R582" s="9">
        <v>3291977680</v>
      </c>
      <c r="S582" s="5"/>
      <c r="T582" s="30">
        <v>15000000</v>
      </c>
      <c r="U582" s="5"/>
      <c r="V582" s="5"/>
      <c r="W582" s="28"/>
      <c r="X582" s="28">
        <f>N582-S582</f>
        <v>0</v>
      </c>
      <c r="Y582" s="28">
        <f>O582-T582</f>
        <v>0</v>
      </c>
      <c r="Z582" s="28">
        <f>P582-U582</f>
        <v>0</v>
      </c>
      <c r="AA582" s="4"/>
      <c r="AB582" s="4"/>
      <c r="AC582">
        <f>IF(AB582=G582,1,2)</f>
        <v>2</v>
      </c>
    </row>
    <row r="583" spans="1:30" customFormat="1" ht="31.2" hidden="1" x14ac:dyDescent="0.3">
      <c r="A583" s="7" t="s">
        <v>18</v>
      </c>
      <c r="B583" s="6">
        <v>431</v>
      </c>
      <c r="C583" s="7" t="s">
        <v>1785</v>
      </c>
      <c r="D583" s="7" t="s">
        <v>1798</v>
      </c>
      <c r="E583" s="5"/>
      <c r="F583" s="4"/>
      <c r="G583" s="7" t="s">
        <v>1799</v>
      </c>
      <c r="H583" s="7" t="s">
        <v>1800</v>
      </c>
      <c r="I583" s="5"/>
      <c r="J583" s="7" t="s">
        <v>1801</v>
      </c>
      <c r="K583" s="7" t="s">
        <v>24</v>
      </c>
      <c r="L583" s="7" t="s">
        <v>1802</v>
      </c>
      <c r="M583" s="109">
        <v>1490425300</v>
      </c>
      <c r="N583" s="111"/>
      <c r="O583" s="109">
        <v>15000000</v>
      </c>
      <c r="P583" s="110"/>
      <c r="Q583" s="109">
        <f>M583+N583+O583+P583</f>
        <v>1505425300</v>
      </c>
      <c r="R583" s="9">
        <v>1490425300</v>
      </c>
      <c r="S583" s="5"/>
      <c r="T583" s="30">
        <v>15000000</v>
      </c>
      <c r="U583" s="5"/>
      <c r="V583" s="5"/>
      <c r="W583" s="28"/>
      <c r="X583" s="28">
        <f>N583-S583</f>
        <v>0</v>
      </c>
      <c r="Y583" s="28">
        <f>O583-T583</f>
        <v>0</v>
      </c>
      <c r="Z583" s="28">
        <f>P583-U583</f>
        <v>0</v>
      </c>
      <c r="AA583" s="4"/>
      <c r="AB583" s="4"/>
      <c r="AC583">
        <f>IF(AB583=G583,1,2)</f>
        <v>2</v>
      </c>
    </row>
    <row r="584" spans="1:30" customFormat="1" ht="31.2" hidden="1" x14ac:dyDescent="0.3">
      <c r="A584" s="7" t="s">
        <v>18</v>
      </c>
      <c r="B584" s="6">
        <v>432</v>
      </c>
      <c r="C584" s="7" t="s">
        <v>1785</v>
      </c>
      <c r="D584" s="7" t="s">
        <v>1803</v>
      </c>
      <c r="E584" s="5"/>
      <c r="F584" s="4"/>
      <c r="G584" s="7" t="s">
        <v>1804</v>
      </c>
      <c r="H584" s="5"/>
      <c r="I584" s="5"/>
      <c r="J584" s="7" t="s">
        <v>1805</v>
      </c>
      <c r="K584" s="7" t="s">
        <v>24</v>
      </c>
      <c r="L584" s="7" t="s">
        <v>1806</v>
      </c>
      <c r="M584" s="109">
        <v>938372032</v>
      </c>
      <c r="N584" s="111"/>
      <c r="O584" s="109">
        <v>15000000</v>
      </c>
      <c r="P584" s="110"/>
      <c r="Q584" s="109">
        <f>M584+N584+O584+P584</f>
        <v>953372032</v>
      </c>
      <c r="R584" s="3">
        <v>938372032</v>
      </c>
      <c r="S584" s="5"/>
      <c r="T584" s="30">
        <v>15000000</v>
      </c>
      <c r="U584" s="5"/>
      <c r="V584" s="5"/>
      <c r="W584" s="28"/>
      <c r="X584" s="28">
        <f>N584-S584</f>
        <v>0</v>
      </c>
      <c r="Y584" s="28">
        <f>O584-T584</f>
        <v>0</v>
      </c>
      <c r="Z584" s="28">
        <f>P584-U584</f>
        <v>0</v>
      </c>
      <c r="AA584" s="4"/>
      <c r="AB584" s="4"/>
      <c r="AC584">
        <f>IF(AB584=G584,1,2)</f>
        <v>2</v>
      </c>
    </row>
    <row r="585" spans="1:30" customFormat="1" ht="31.2" hidden="1" x14ac:dyDescent="0.3">
      <c r="A585" s="7" t="s">
        <v>46</v>
      </c>
      <c r="B585" s="6">
        <v>433</v>
      </c>
      <c r="C585" s="7" t="s">
        <v>1785</v>
      </c>
      <c r="D585" s="7" t="s">
        <v>1807</v>
      </c>
      <c r="E585" s="7" t="s">
        <v>1808</v>
      </c>
      <c r="F585" s="4"/>
      <c r="G585" s="7" t="s">
        <v>1809</v>
      </c>
      <c r="H585" s="7" t="s">
        <v>1810</v>
      </c>
      <c r="I585" s="5"/>
      <c r="J585" s="7" t="s">
        <v>1811</v>
      </c>
      <c r="K585" s="7" t="s">
        <v>24</v>
      </c>
      <c r="L585" s="7" t="s">
        <v>1812</v>
      </c>
      <c r="M585" s="109">
        <v>749331672</v>
      </c>
      <c r="N585" s="109">
        <v>37628928</v>
      </c>
      <c r="O585" s="109">
        <v>7500000</v>
      </c>
      <c r="P585" s="110"/>
      <c r="Q585" s="109">
        <f>M585+N585+O585+P585</f>
        <v>794460600</v>
      </c>
      <c r="R585" s="3">
        <v>749331672</v>
      </c>
      <c r="S585" s="28">
        <v>37628928</v>
      </c>
      <c r="T585" s="30">
        <v>7500000</v>
      </c>
      <c r="U585" s="5"/>
      <c r="V585" s="5"/>
      <c r="W585" s="28"/>
      <c r="X585" s="28">
        <f>N585-S585</f>
        <v>0</v>
      </c>
      <c r="Y585" s="28">
        <f>O585-T585</f>
        <v>0</v>
      </c>
      <c r="Z585" s="28">
        <f>P585-U585</f>
        <v>0</v>
      </c>
      <c r="AA585" s="4"/>
      <c r="AB585" s="4"/>
      <c r="AC585">
        <f>IF(AB585=G585,1,2)</f>
        <v>2</v>
      </c>
    </row>
    <row r="586" spans="1:30" customFormat="1" ht="31.2" hidden="1" x14ac:dyDescent="0.3">
      <c r="A586" s="7" t="s">
        <v>62</v>
      </c>
      <c r="B586" s="6">
        <v>435</v>
      </c>
      <c r="C586" s="7" t="s">
        <v>1785</v>
      </c>
      <c r="D586" s="7" t="s">
        <v>1817</v>
      </c>
      <c r="E586" s="7" t="s">
        <v>1818</v>
      </c>
      <c r="F586" s="4"/>
      <c r="G586" s="7" t="s">
        <v>1819</v>
      </c>
      <c r="H586" s="7" t="s">
        <v>1820</v>
      </c>
      <c r="I586" s="7"/>
      <c r="J586" s="7" t="s">
        <v>1821</v>
      </c>
      <c r="K586" s="7" t="s">
        <v>24</v>
      </c>
      <c r="L586" s="7" t="s">
        <v>1822</v>
      </c>
      <c r="M586" s="109">
        <v>15629867106</v>
      </c>
      <c r="N586" s="109">
        <v>1473748861</v>
      </c>
      <c r="O586" s="109">
        <v>7500000</v>
      </c>
      <c r="P586" s="110"/>
      <c r="Q586" s="109">
        <f>M586+N586+O586+P586</f>
        <v>17111115967</v>
      </c>
      <c r="R586" s="5"/>
      <c r="S586" s="7"/>
      <c r="T586" s="72"/>
      <c r="U586" s="5"/>
      <c r="V586" s="5"/>
      <c r="W586" s="28">
        <v>15629867106</v>
      </c>
      <c r="X586" s="36">
        <f>N586-S586</f>
        <v>1473748861</v>
      </c>
      <c r="Y586" s="36">
        <f>O586-T586</f>
        <v>7500000</v>
      </c>
      <c r="Z586" s="28">
        <f>P586-U586</f>
        <v>0</v>
      </c>
      <c r="AA586" s="10">
        <v>15629867106</v>
      </c>
      <c r="AB586" s="40"/>
      <c r="AC586" s="121">
        <f>IF(AB586=G586,1,2)</f>
        <v>2</v>
      </c>
      <c r="AD586" s="121"/>
    </row>
    <row r="587" spans="1:30" customFormat="1" ht="31.2" hidden="1" x14ac:dyDescent="0.3">
      <c r="A587" s="7" t="s">
        <v>53</v>
      </c>
      <c r="B587" s="6">
        <v>436</v>
      </c>
      <c r="C587" s="7" t="s">
        <v>1785</v>
      </c>
      <c r="D587" s="7" t="s">
        <v>1823</v>
      </c>
      <c r="E587" s="7" t="s">
        <v>1138</v>
      </c>
      <c r="F587" s="4"/>
      <c r="G587" s="7" t="s">
        <v>1824</v>
      </c>
      <c r="H587" s="7" t="s">
        <v>1825</v>
      </c>
      <c r="I587" s="5"/>
      <c r="J587" s="7" t="s">
        <v>1826</v>
      </c>
      <c r="K587" s="7" t="s">
        <v>24</v>
      </c>
      <c r="L587" s="7" t="s">
        <v>1827</v>
      </c>
      <c r="M587" s="109">
        <v>2887795865</v>
      </c>
      <c r="N587" s="109">
        <v>38730048</v>
      </c>
      <c r="O587" s="109">
        <v>7500000</v>
      </c>
      <c r="P587" s="110"/>
      <c r="Q587" s="109">
        <f>M587+N587+O587+P587</f>
        <v>2934025913</v>
      </c>
      <c r="R587" s="3">
        <v>2887795865</v>
      </c>
      <c r="S587" s="28">
        <v>38730048</v>
      </c>
      <c r="T587" s="31">
        <v>7500000</v>
      </c>
      <c r="U587" s="5"/>
      <c r="V587" s="5"/>
      <c r="W587" s="28"/>
      <c r="X587" s="28">
        <f>N587-S587</f>
        <v>0</v>
      </c>
      <c r="Y587" s="28">
        <f>O587-T587</f>
        <v>0</v>
      </c>
      <c r="Z587" s="28">
        <f>P587-U587</f>
        <v>0</v>
      </c>
      <c r="AA587" s="4"/>
      <c r="AB587" s="4"/>
      <c r="AC587">
        <f>IF(AB587=G587,1,2)</f>
        <v>2</v>
      </c>
    </row>
    <row r="588" spans="1:30" customFormat="1" ht="31.2" hidden="1" x14ac:dyDescent="0.3">
      <c r="A588" s="7" t="s">
        <v>46</v>
      </c>
      <c r="B588" s="6">
        <v>437</v>
      </c>
      <c r="C588" s="7" t="s">
        <v>1785</v>
      </c>
      <c r="D588" s="7" t="s">
        <v>1828</v>
      </c>
      <c r="E588" s="7"/>
      <c r="F588" s="4"/>
      <c r="G588" s="7" t="s">
        <v>1829</v>
      </c>
      <c r="H588" s="7"/>
      <c r="I588" s="7"/>
      <c r="J588" s="7" t="s">
        <v>1830</v>
      </c>
      <c r="K588" s="7" t="s">
        <v>24</v>
      </c>
      <c r="L588" s="7" t="s">
        <v>1831</v>
      </c>
      <c r="M588" s="109">
        <v>51726960</v>
      </c>
      <c r="N588" s="111"/>
      <c r="O588" s="109">
        <v>7500000</v>
      </c>
      <c r="P588" s="110"/>
      <c r="Q588" s="109">
        <f>M588+N588+O588+P588</f>
        <v>59226960</v>
      </c>
      <c r="R588" s="3">
        <v>51726960</v>
      </c>
      <c r="S588" s="5"/>
      <c r="T588" s="72"/>
      <c r="U588" s="5"/>
      <c r="V588" s="5"/>
      <c r="W588" s="28"/>
      <c r="X588" s="28">
        <f>N588-S588</f>
        <v>0</v>
      </c>
      <c r="Y588" s="36">
        <f>O588-T588</f>
        <v>7500000</v>
      </c>
      <c r="Z588" s="28">
        <f>P588-U588</f>
        <v>0</v>
      </c>
      <c r="AA588" s="4"/>
      <c r="AB588" s="40"/>
      <c r="AC588" s="121">
        <f>IF(AB588=G588,1,2)</f>
        <v>2</v>
      </c>
      <c r="AD588" s="121"/>
    </row>
    <row r="589" spans="1:30" customFormat="1" ht="31.2" hidden="1" x14ac:dyDescent="0.3">
      <c r="A589" s="7" t="s">
        <v>53</v>
      </c>
      <c r="B589" s="6">
        <v>438</v>
      </c>
      <c r="C589" s="7" t="s">
        <v>1785</v>
      </c>
      <c r="D589" s="7" t="s">
        <v>1832</v>
      </c>
      <c r="E589" s="7"/>
      <c r="F589" s="4"/>
      <c r="G589" s="7" t="s">
        <v>1833</v>
      </c>
      <c r="H589" s="7"/>
      <c r="I589" s="7"/>
      <c r="J589" s="7" t="s">
        <v>1834</v>
      </c>
      <c r="K589" s="7" t="s">
        <v>24</v>
      </c>
      <c r="L589" s="7" t="s">
        <v>1835</v>
      </c>
      <c r="M589" s="109">
        <v>2988121529</v>
      </c>
      <c r="N589" s="111"/>
      <c r="O589" s="109">
        <v>7500000</v>
      </c>
      <c r="P589" s="110"/>
      <c r="Q589" s="109">
        <f>M589+N589+O589+P589</f>
        <v>2995621529</v>
      </c>
      <c r="R589" s="3">
        <v>2988121529</v>
      </c>
      <c r="S589" s="5"/>
      <c r="T589" s="72"/>
      <c r="U589" s="5"/>
      <c r="V589" s="5"/>
      <c r="W589" s="28"/>
      <c r="X589" s="28">
        <f>N589-S589</f>
        <v>0</v>
      </c>
      <c r="Y589" s="36">
        <f>O589-T589</f>
        <v>7500000</v>
      </c>
      <c r="Z589" s="28">
        <f>P589-U589</f>
        <v>0</v>
      </c>
      <c r="AA589" s="4"/>
      <c r="AB589" s="40"/>
      <c r="AC589" s="121">
        <f>IF(AB589=G589,1,2)</f>
        <v>2</v>
      </c>
      <c r="AD589" s="121"/>
    </row>
    <row r="590" spans="1:30" customFormat="1" ht="62.4" hidden="1" customHeight="1" x14ac:dyDescent="0.3">
      <c r="A590" s="7" t="s">
        <v>53</v>
      </c>
      <c r="B590" s="6">
        <v>439</v>
      </c>
      <c r="C590" s="7" t="s">
        <v>1785</v>
      </c>
      <c r="D590" s="7" t="s">
        <v>1836</v>
      </c>
      <c r="E590" s="5"/>
      <c r="F590" s="4"/>
      <c r="G590" s="7" t="s">
        <v>1837</v>
      </c>
      <c r="H590" s="5"/>
      <c r="I590" s="5"/>
      <c r="J590" s="7" t="s">
        <v>1838</v>
      </c>
      <c r="K590" s="7" t="s">
        <v>24</v>
      </c>
      <c r="L590" s="7" t="s">
        <v>1839</v>
      </c>
      <c r="M590" s="109">
        <v>2121301600</v>
      </c>
      <c r="N590" s="111"/>
      <c r="O590" s="109">
        <v>7500000</v>
      </c>
      <c r="P590" s="110"/>
      <c r="Q590" s="109">
        <f>M590+N590+O590+P590</f>
        <v>2128801600</v>
      </c>
      <c r="R590" s="3">
        <v>2121301600</v>
      </c>
      <c r="S590" s="5"/>
      <c r="T590" s="30">
        <v>7500000</v>
      </c>
      <c r="U590" s="5"/>
      <c r="V590" s="5"/>
      <c r="W590" s="28"/>
      <c r="X590" s="28">
        <f>N590-S590</f>
        <v>0</v>
      </c>
      <c r="Y590" s="28">
        <f>O590-T590</f>
        <v>0</v>
      </c>
      <c r="Z590" s="28">
        <f>P590-U590</f>
        <v>0</v>
      </c>
      <c r="AA590" s="4"/>
      <c r="AB590" s="4"/>
      <c r="AC590">
        <f>IF(AB590=G590,1,2)</f>
        <v>2</v>
      </c>
    </row>
    <row r="591" spans="1:30" customFormat="1" ht="31.2" hidden="1" x14ac:dyDescent="0.3">
      <c r="A591" s="7" t="s">
        <v>46</v>
      </c>
      <c r="B591" s="6">
        <v>441</v>
      </c>
      <c r="C591" s="7" t="s">
        <v>1785</v>
      </c>
      <c r="D591" s="7" t="s">
        <v>1844</v>
      </c>
      <c r="E591" s="5"/>
      <c r="F591" s="4"/>
      <c r="G591" s="7" t="s">
        <v>1845</v>
      </c>
      <c r="H591" s="5"/>
      <c r="I591" s="5"/>
      <c r="J591" s="7" t="s">
        <v>1846</v>
      </c>
      <c r="K591" s="7" t="s">
        <v>24</v>
      </c>
      <c r="L591" s="7" t="s">
        <v>1847</v>
      </c>
      <c r="M591" s="109">
        <v>4606383064</v>
      </c>
      <c r="N591" s="111"/>
      <c r="O591" s="109">
        <v>15000000</v>
      </c>
      <c r="P591" s="110"/>
      <c r="Q591" s="109">
        <f>M591+N591+O591+P591</f>
        <v>4621383064</v>
      </c>
      <c r="R591" s="3">
        <v>4606383064</v>
      </c>
      <c r="S591" s="5"/>
      <c r="T591" s="30">
        <v>15000000</v>
      </c>
      <c r="U591" s="5"/>
      <c r="V591" s="5"/>
      <c r="W591" s="28"/>
      <c r="X591" s="28">
        <f>N591-S591</f>
        <v>0</v>
      </c>
      <c r="Y591" s="28">
        <f>O591-T591</f>
        <v>0</v>
      </c>
      <c r="Z591" s="28">
        <f>P591-U591</f>
        <v>0</v>
      </c>
      <c r="AA591" s="4"/>
      <c r="AB591" s="4"/>
      <c r="AC591">
        <f>IF(AB591=G591,1,2)</f>
        <v>2</v>
      </c>
    </row>
    <row r="592" spans="1:30" customFormat="1" ht="31.2" hidden="1" x14ac:dyDescent="0.3">
      <c r="A592" s="7" t="s">
        <v>1601</v>
      </c>
      <c r="B592" s="6">
        <v>443</v>
      </c>
      <c r="C592" s="7" t="s">
        <v>1785</v>
      </c>
      <c r="D592" s="7" t="s">
        <v>1855</v>
      </c>
      <c r="E592" s="5"/>
      <c r="F592" s="4"/>
      <c r="G592" s="7" t="s">
        <v>1856</v>
      </c>
      <c r="H592" s="5"/>
      <c r="I592" s="5"/>
      <c r="J592" s="7" t="s">
        <v>1857</v>
      </c>
      <c r="K592" s="7" t="s">
        <v>24</v>
      </c>
      <c r="L592" s="7" t="s">
        <v>1858</v>
      </c>
      <c r="M592" s="109">
        <v>11944033780</v>
      </c>
      <c r="N592" s="111"/>
      <c r="O592" s="109">
        <v>15000000</v>
      </c>
      <c r="P592" s="110"/>
      <c r="Q592" s="109">
        <f>M592+N592+O592+P592</f>
        <v>11959033780</v>
      </c>
      <c r="R592" s="3">
        <v>11944033780</v>
      </c>
      <c r="S592" s="5"/>
      <c r="T592" s="30">
        <v>15000000</v>
      </c>
      <c r="U592" s="5"/>
      <c r="V592" s="5"/>
      <c r="W592" s="28"/>
      <c r="X592" s="28">
        <f>N592-S592</f>
        <v>0</v>
      </c>
      <c r="Y592" s="28">
        <f>O592-T592</f>
        <v>0</v>
      </c>
      <c r="Z592" s="28">
        <f>P592-U592</f>
        <v>0</v>
      </c>
      <c r="AA592" s="4"/>
      <c r="AB592" s="4"/>
      <c r="AC592">
        <f>IF(AB592=G592,1,2)</f>
        <v>2</v>
      </c>
    </row>
    <row r="593" spans="1:30" customFormat="1" ht="31.2" hidden="1" x14ac:dyDescent="0.3">
      <c r="A593" s="7" t="s">
        <v>53</v>
      </c>
      <c r="B593" s="6">
        <v>444</v>
      </c>
      <c r="C593" s="7" t="s">
        <v>1785</v>
      </c>
      <c r="D593" s="7" t="s">
        <v>1859</v>
      </c>
      <c r="E593" s="5"/>
      <c r="F593" s="4"/>
      <c r="G593" s="7" t="s">
        <v>1860</v>
      </c>
      <c r="H593" s="5"/>
      <c r="I593" s="5"/>
      <c r="J593" s="7" t="s">
        <v>1861</v>
      </c>
      <c r="K593" s="7" t="s">
        <v>24</v>
      </c>
      <c r="L593" s="7" t="s">
        <v>1862</v>
      </c>
      <c r="M593" s="109">
        <v>672852940</v>
      </c>
      <c r="N593" s="111"/>
      <c r="O593" s="109">
        <v>7500000</v>
      </c>
      <c r="P593" s="110"/>
      <c r="Q593" s="109">
        <f>M593+N593+O593+P593</f>
        <v>680352940</v>
      </c>
      <c r="R593" s="28">
        <v>672852940</v>
      </c>
      <c r="S593" s="5"/>
      <c r="T593" s="30">
        <v>7500000</v>
      </c>
      <c r="U593" s="5"/>
      <c r="V593" s="5"/>
      <c r="W593" s="28"/>
      <c r="X593" s="28">
        <f>N593-S593</f>
        <v>0</v>
      </c>
      <c r="Y593" s="28">
        <f>O593-T593</f>
        <v>0</v>
      </c>
      <c r="Z593" s="28">
        <f>P593-U593</f>
        <v>0</v>
      </c>
      <c r="AA593" s="10"/>
      <c r="AB593" s="4"/>
      <c r="AC593">
        <f>IF(AB593=G593,1,2)</f>
        <v>2</v>
      </c>
    </row>
    <row r="594" spans="1:30" customFormat="1" ht="31.2" hidden="1" x14ac:dyDescent="0.3">
      <c r="A594" s="7" t="s">
        <v>46</v>
      </c>
      <c r="B594" s="6">
        <v>445</v>
      </c>
      <c r="C594" s="7" t="s">
        <v>1785</v>
      </c>
      <c r="D594" s="7" t="s">
        <v>1863</v>
      </c>
      <c r="E594" s="5"/>
      <c r="F594" s="4"/>
      <c r="G594" s="7" t="s">
        <v>1864</v>
      </c>
      <c r="H594" s="5"/>
      <c r="I594" s="5"/>
      <c r="J594" s="7" t="s">
        <v>1865</v>
      </c>
      <c r="K594" s="7" t="s">
        <v>24</v>
      </c>
      <c r="L594" s="7" t="s">
        <v>1866</v>
      </c>
      <c r="M594" s="109">
        <v>2508309760</v>
      </c>
      <c r="N594" s="111"/>
      <c r="O594" s="109">
        <v>15000000</v>
      </c>
      <c r="P594" s="110"/>
      <c r="Q594" s="109">
        <f>M594+N594+O594+P594</f>
        <v>2523309760</v>
      </c>
      <c r="R594" s="3">
        <v>2508309760</v>
      </c>
      <c r="S594" s="5"/>
      <c r="T594" s="30">
        <v>15000000</v>
      </c>
      <c r="U594" s="5"/>
      <c r="V594" s="5"/>
      <c r="W594" s="28"/>
      <c r="X594" s="28">
        <f>N594-S594</f>
        <v>0</v>
      </c>
      <c r="Y594" s="28">
        <f>O594-T594</f>
        <v>0</v>
      </c>
      <c r="Z594" s="28">
        <f>P594-U594</f>
        <v>0</v>
      </c>
      <c r="AA594" s="4"/>
      <c r="AB594" s="4"/>
      <c r="AC594">
        <f>IF(AB594=G594,1,2)</f>
        <v>2</v>
      </c>
    </row>
    <row r="595" spans="1:30" customFormat="1" ht="31.2" hidden="1" x14ac:dyDescent="0.3">
      <c r="A595" s="7" t="s">
        <v>18</v>
      </c>
      <c r="B595" s="6">
        <v>446</v>
      </c>
      <c r="C595" s="7" t="s">
        <v>1785</v>
      </c>
      <c r="D595" s="7" t="s">
        <v>1867</v>
      </c>
      <c r="E595" s="5"/>
      <c r="F595" s="4"/>
      <c r="G595" s="7" t="s">
        <v>1868</v>
      </c>
      <c r="H595" s="5"/>
      <c r="I595" s="5"/>
      <c r="J595" s="7" t="s">
        <v>1869</v>
      </c>
      <c r="K595" s="7" t="s">
        <v>24</v>
      </c>
      <c r="L595" s="7" t="s">
        <v>1870</v>
      </c>
      <c r="M595" s="109">
        <v>696677520</v>
      </c>
      <c r="N595" s="111"/>
      <c r="O595" s="109">
        <v>7500000</v>
      </c>
      <c r="P595" s="110"/>
      <c r="Q595" s="109">
        <f>M595+N595+O595+P595</f>
        <v>704177520</v>
      </c>
      <c r="R595" s="9">
        <v>696677520</v>
      </c>
      <c r="S595" s="5"/>
      <c r="T595" s="30">
        <v>7500000</v>
      </c>
      <c r="U595" s="5"/>
      <c r="V595" s="5"/>
      <c r="W595" s="28"/>
      <c r="X595" s="28">
        <f>N595-S595</f>
        <v>0</v>
      </c>
      <c r="Y595" s="28">
        <f>O595-T595</f>
        <v>0</v>
      </c>
      <c r="Z595" s="28">
        <f>P595-U595</f>
        <v>0</v>
      </c>
      <c r="AA595" s="4"/>
      <c r="AB595" s="4"/>
      <c r="AC595">
        <f>IF(AB595=G595,1,2)</f>
        <v>2</v>
      </c>
    </row>
    <row r="596" spans="1:30" customFormat="1" ht="31.2" hidden="1" x14ac:dyDescent="0.3">
      <c r="A596" s="7" t="s">
        <v>53</v>
      </c>
      <c r="B596" s="6">
        <v>449</v>
      </c>
      <c r="C596" s="7" t="s">
        <v>1785</v>
      </c>
      <c r="D596" s="7" t="s">
        <v>1880</v>
      </c>
      <c r="E596" s="5"/>
      <c r="F596" s="4"/>
      <c r="G596" s="7" t="s">
        <v>1881</v>
      </c>
      <c r="H596" s="5"/>
      <c r="I596" s="5"/>
      <c r="J596" s="7" t="s">
        <v>1882</v>
      </c>
      <c r="K596" s="7" t="s">
        <v>24</v>
      </c>
      <c r="L596" s="7" t="s">
        <v>1883</v>
      </c>
      <c r="M596" s="109">
        <v>1491958086</v>
      </c>
      <c r="N596" s="111"/>
      <c r="O596" s="109">
        <v>7500000</v>
      </c>
      <c r="P596" s="110"/>
      <c r="Q596" s="109">
        <f>M596+N596+O596+P596</f>
        <v>1499458086</v>
      </c>
      <c r="R596" s="3">
        <v>1491958086</v>
      </c>
      <c r="S596" s="5"/>
      <c r="T596" s="30">
        <v>7500000</v>
      </c>
      <c r="U596" s="5"/>
      <c r="V596" s="5"/>
      <c r="W596" s="28"/>
      <c r="X596" s="28">
        <f>N596-S596</f>
        <v>0</v>
      </c>
      <c r="Y596" s="28">
        <f>O596-T596</f>
        <v>0</v>
      </c>
      <c r="Z596" s="28">
        <f>P596-U596</f>
        <v>0</v>
      </c>
      <c r="AA596" s="4"/>
      <c r="AB596" s="4"/>
      <c r="AC596">
        <f>IF(AB596=G596,1,2)</f>
        <v>2</v>
      </c>
    </row>
    <row r="597" spans="1:30" customFormat="1" ht="31.2" hidden="1" x14ac:dyDescent="0.3">
      <c r="A597" s="7" t="s">
        <v>46</v>
      </c>
      <c r="B597" s="6">
        <v>450</v>
      </c>
      <c r="C597" s="7" t="s">
        <v>1785</v>
      </c>
      <c r="D597" s="7" t="s">
        <v>1884</v>
      </c>
      <c r="E597" s="7" t="s">
        <v>1885</v>
      </c>
      <c r="F597" s="4"/>
      <c r="G597" s="7" t="s">
        <v>1886</v>
      </c>
      <c r="H597" s="5"/>
      <c r="I597" s="5"/>
      <c r="J597" s="7" t="s">
        <v>1887</v>
      </c>
      <c r="K597" s="7" t="s">
        <v>24</v>
      </c>
      <c r="L597" s="7" t="s">
        <v>1888</v>
      </c>
      <c r="M597" s="109">
        <v>2330983840</v>
      </c>
      <c r="N597" s="109">
        <v>316785560</v>
      </c>
      <c r="O597" s="109">
        <v>15000000</v>
      </c>
      <c r="P597" s="110"/>
      <c r="Q597" s="109">
        <f>M597+N597+O597+P597</f>
        <v>2662769400</v>
      </c>
      <c r="R597" s="3">
        <v>2330983840</v>
      </c>
      <c r="S597" s="3">
        <v>316785560</v>
      </c>
      <c r="T597" s="30">
        <v>15000000</v>
      </c>
      <c r="U597" s="5"/>
      <c r="V597" s="5"/>
      <c r="W597" s="28"/>
      <c r="X597" s="28">
        <f>N597-S597</f>
        <v>0</v>
      </c>
      <c r="Y597" s="28">
        <f>O597-T597</f>
        <v>0</v>
      </c>
      <c r="Z597" s="28">
        <f>P597-U597</f>
        <v>0</v>
      </c>
      <c r="AA597" s="4"/>
      <c r="AB597" s="4"/>
      <c r="AC597">
        <f>IF(AB597=G597,1,2)</f>
        <v>2</v>
      </c>
    </row>
    <row r="598" spans="1:30" customFormat="1" ht="31.2" hidden="1" x14ac:dyDescent="0.3">
      <c r="A598" s="7" t="s">
        <v>18</v>
      </c>
      <c r="B598" s="6">
        <v>451</v>
      </c>
      <c r="C598" s="7" t="s">
        <v>1785</v>
      </c>
      <c r="D598" s="7" t="s">
        <v>1889</v>
      </c>
      <c r="E598" s="5"/>
      <c r="F598" s="4"/>
      <c r="G598" s="7" t="s">
        <v>1890</v>
      </c>
      <c r="H598" s="5"/>
      <c r="I598" s="5"/>
      <c r="J598" s="7" t="s">
        <v>1891</v>
      </c>
      <c r="K598" s="7" t="s">
        <v>24</v>
      </c>
      <c r="L598" s="7" t="s">
        <v>1892</v>
      </c>
      <c r="M598" s="109">
        <v>6729310220</v>
      </c>
      <c r="N598" s="111"/>
      <c r="O598" s="109">
        <v>15000000</v>
      </c>
      <c r="P598" s="110"/>
      <c r="Q598" s="109">
        <f>M598+N598+O598+P598</f>
        <v>6744310220</v>
      </c>
      <c r="R598" s="9">
        <v>6729310220</v>
      </c>
      <c r="S598" s="5"/>
      <c r="T598" s="30">
        <v>15000000</v>
      </c>
      <c r="U598" s="5"/>
      <c r="V598" s="5"/>
      <c r="W598" s="28"/>
      <c r="X598" s="28">
        <f>N598-S598</f>
        <v>0</v>
      </c>
      <c r="Y598" s="28">
        <f>O598-T598</f>
        <v>0</v>
      </c>
      <c r="Z598" s="28">
        <f>P598-U598</f>
        <v>0</v>
      </c>
      <c r="AA598" s="4"/>
      <c r="AB598" s="4"/>
      <c r="AC598">
        <f>IF(AB598=G598,1,2)</f>
        <v>2</v>
      </c>
    </row>
    <row r="599" spans="1:30" customFormat="1" ht="31.2" hidden="1" x14ac:dyDescent="0.3">
      <c r="A599" s="7" t="s">
        <v>46</v>
      </c>
      <c r="B599" s="6">
        <v>452</v>
      </c>
      <c r="C599" s="7" t="s">
        <v>1785</v>
      </c>
      <c r="D599" s="7" t="s">
        <v>1893</v>
      </c>
      <c r="E599" s="5"/>
      <c r="F599" s="4"/>
      <c r="G599" s="7" t="s">
        <v>1894</v>
      </c>
      <c r="H599" s="5"/>
      <c r="I599" s="5"/>
      <c r="J599" s="7" t="s">
        <v>1895</v>
      </c>
      <c r="K599" s="7" t="s">
        <v>24</v>
      </c>
      <c r="L599" s="7" t="s">
        <v>1896</v>
      </c>
      <c r="M599" s="109">
        <v>1850880899</v>
      </c>
      <c r="N599" s="111"/>
      <c r="O599" s="109">
        <v>7500000</v>
      </c>
      <c r="P599" s="110"/>
      <c r="Q599" s="109">
        <f>M599+N599+O599+P599</f>
        <v>1858380899</v>
      </c>
      <c r="R599" s="3">
        <v>1850880899</v>
      </c>
      <c r="S599" s="5"/>
      <c r="T599" s="30">
        <v>7500000</v>
      </c>
      <c r="U599" s="5"/>
      <c r="V599" s="5"/>
      <c r="W599" s="28"/>
      <c r="X599" s="28">
        <f>N599-S599</f>
        <v>0</v>
      </c>
      <c r="Y599" s="28">
        <f>O599-T599</f>
        <v>0</v>
      </c>
      <c r="Z599" s="28">
        <f>P599-U599</f>
        <v>0</v>
      </c>
      <c r="AA599" s="4"/>
      <c r="AB599" s="4"/>
      <c r="AC599">
        <f>IF(AB599=G599,1,2)</f>
        <v>2</v>
      </c>
    </row>
    <row r="600" spans="1:30" customFormat="1" ht="31.2" hidden="1" x14ac:dyDescent="0.3">
      <c r="A600" s="7" t="s">
        <v>18</v>
      </c>
      <c r="B600" s="6">
        <v>453</v>
      </c>
      <c r="C600" s="7" t="s">
        <v>1785</v>
      </c>
      <c r="D600" s="7" t="s">
        <v>1897</v>
      </c>
      <c r="E600" s="7"/>
      <c r="F600" s="4"/>
      <c r="G600" s="7" t="s">
        <v>1898</v>
      </c>
      <c r="H600" s="7"/>
      <c r="I600" s="7" t="s">
        <v>28</v>
      </c>
      <c r="J600" s="7" t="s">
        <v>1899</v>
      </c>
      <c r="K600" s="7" t="s">
        <v>24</v>
      </c>
      <c r="L600" s="7" t="s">
        <v>1900</v>
      </c>
      <c r="M600" s="109">
        <v>634835870</v>
      </c>
      <c r="N600" s="111"/>
      <c r="O600" s="109">
        <v>3750000</v>
      </c>
      <c r="P600" s="110"/>
      <c r="Q600" s="109">
        <f>M600+N600+O600+P600</f>
        <v>638585870</v>
      </c>
      <c r="R600" s="5"/>
      <c r="S600" s="5"/>
      <c r="T600" s="72"/>
      <c r="U600" s="5"/>
      <c r="V600" s="5"/>
      <c r="W600" s="28">
        <v>634835870</v>
      </c>
      <c r="X600" s="28">
        <f>N600-S600</f>
        <v>0</v>
      </c>
      <c r="Y600" s="36">
        <f>O600-T600</f>
        <v>3750000</v>
      </c>
      <c r="Z600" s="28">
        <f>P600-U600</f>
        <v>0</v>
      </c>
      <c r="AA600" s="10">
        <v>634835870</v>
      </c>
      <c r="AB600" s="40"/>
      <c r="AC600" s="121">
        <f>IF(AB600=G600,1,2)</f>
        <v>2</v>
      </c>
      <c r="AD600" s="121"/>
    </row>
    <row r="601" spans="1:30" customFormat="1" ht="31.2" hidden="1" x14ac:dyDescent="0.3">
      <c r="A601" s="7" t="s">
        <v>1601</v>
      </c>
      <c r="B601" s="6">
        <v>454</v>
      </c>
      <c r="C601" s="7" t="s">
        <v>1785</v>
      </c>
      <c r="D601" s="7" t="s">
        <v>1901</v>
      </c>
      <c r="E601" s="7"/>
      <c r="F601" s="4"/>
      <c r="G601" s="7" t="s">
        <v>1902</v>
      </c>
      <c r="H601" s="7"/>
      <c r="I601" s="7"/>
      <c r="J601" s="7" t="s">
        <v>1903</v>
      </c>
      <c r="K601" s="7" t="s">
        <v>24</v>
      </c>
      <c r="L601" s="7" t="s">
        <v>1904</v>
      </c>
      <c r="M601" s="109">
        <v>0</v>
      </c>
      <c r="N601" s="111"/>
      <c r="O601" s="109">
        <v>7500000</v>
      </c>
      <c r="P601" s="110"/>
      <c r="Q601" s="109">
        <f>M601+N601+O601+P601</f>
        <v>7500000</v>
      </c>
      <c r="R601" s="6">
        <v>0</v>
      </c>
      <c r="S601" s="5"/>
      <c r="T601" s="72"/>
      <c r="U601" s="5"/>
      <c r="V601" s="5"/>
      <c r="W601" s="28"/>
      <c r="X601" s="28">
        <f>N601-S601</f>
        <v>0</v>
      </c>
      <c r="Y601" s="36">
        <f>O601-T601</f>
        <v>7500000</v>
      </c>
      <c r="Z601" s="28">
        <f>P601-U601</f>
        <v>0</v>
      </c>
      <c r="AA601" s="4"/>
      <c r="AB601" s="40"/>
      <c r="AC601" s="121">
        <f>IF(AB601=G601,1,2)</f>
        <v>2</v>
      </c>
      <c r="AD601" s="121"/>
    </row>
    <row r="602" spans="1:30" customFormat="1" ht="31.2" hidden="1" x14ac:dyDescent="0.3">
      <c r="A602" s="7" t="s">
        <v>18</v>
      </c>
      <c r="B602" s="6">
        <v>455</v>
      </c>
      <c r="C602" s="7" t="s">
        <v>1785</v>
      </c>
      <c r="D602" s="7" t="s">
        <v>1905</v>
      </c>
      <c r="E602" s="5"/>
      <c r="F602" s="4"/>
      <c r="G602" s="7" t="s">
        <v>1906</v>
      </c>
      <c r="H602" s="5"/>
      <c r="I602" s="5"/>
      <c r="J602" s="7" t="s">
        <v>1907</v>
      </c>
      <c r="K602" s="7" t="s">
        <v>24</v>
      </c>
      <c r="L602" s="7" t="s">
        <v>1908</v>
      </c>
      <c r="M602" s="109">
        <v>1786505570</v>
      </c>
      <c r="N602" s="111"/>
      <c r="O602" s="109">
        <v>15000000</v>
      </c>
      <c r="P602" s="110"/>
      <c r="Q602" s="109">
        <f>M602+N602+O602+P602</f>
        <v>1801505570</v>
      </c>
      <c r="R602" s="3">
        <v>1786505570</v>
      </c>
      <c r="S602" s="5"/>
      <c r="T602" s="30">
        <v>15000000</v>
      </c>
      <c r="U602" s="5"/>
      <c r="V602" s="5"/>
      <c r="W602" s="28"/>
      <c r="X602" s="28">
        <f>N602-S602</f>
        <v>0</v>
      </c>
      <c r="Y602" s="28">
        <f>O602-T602</f>
        <v>0</v>
      </c>
      <c r="Z602" s="28">
        <f>P602-U602</f>
        <v>0</v>
      </c>
      <c r="AA602" s="4"/>
      <c r="AB602" s="4"/>
      <c r="AC602">
        <f>IF(AB602=G602,1,2)</f>
        <v>2</v>
      </c>
    </row>
    <row r="603" spans="1:30" customFormat="1" ht="31.2" hidden="1" x14ac:dyDescent="0.3">
      <c r="A603" s="7" t="s">
        <v>1601</v>
      </c>
      <c r="B603" s="6">
        <v>457</v>
      </c>
      <c r="C603" s="7" t="s">
        <v>1785</v>
      </c>
      <c r="D603" s="7" t="s">
        <v>1913</v>
      </c>
      <c r="E603" s="5"/>
      <c r="F603" s="4"/>
      <c r="G603" s="7" t="s">
        <v>1914</v>
      </c>
      <c r="H603" s="5"/>
      <c r="I603" s="5"/>
      <c r="J603" s="7" t="s">
        <v>1915</v>
      </c>
      <c r="K603" s="7" t="s">
        <v>24</v>
      </c>
      <c r="L603" s="7" t="s">
        <v>1916</v>
      </c>
      <c r="M603" s="109">
        <v>3193648512</v>
      </c>
      <c r="N603" s="111"/>
      <c r="O603" s="109">
        <v>15000000</v>
      </c>
      <c r="P603" s="110"/>
      <c r="Q603" s="109">
        <f>M603+N603+O603+P603</f>
        <v>3208648512</v>
      </c>
      <c r="R603" s="3">
        <v>3193648512</v>
      </c>
      <c r="S603" s="5"/>
      <c r="T603" s="30">
        <v>15000000</v>
      </c>
      <c r="U603" s="5"/>
      <c r="V603" s="5"/>
      <c r="W603" s="28"/>
      <c r="X603" s="28">
        <f>N603-S603</f>
        <v>0</v>
      </c>
      <c r="Y603" s="28">
        <f>O603-T603</f>
        <v>0</v>
      </c>
      <c r="Z603" s="28">
        <f>P603-U603</f>
        <v>0</v>
      </c>
      <c r="AA603" s="4"/>
      <c r="AB603" s="4"/>
      <c r="AC603">
        <f>IF(AB603=G603,1,2)</f>
        <v>2</v>
      </c>
    </row>
    <row r="604" spans="1:30" customFormat="1" ht="31.2" hidden="1" x14ac:dyDescent="0.3">
      <c r="A604" s="7" t="s">
        <v>1601</v>
      </c>
      <c r="B604" s="6">
        <v>458</v>
      </c>
      <c r="C604" s="7" t="s">
        <v>1785</v>
      </c>
      <c r="D604" s="7" t="s">
        <v>1917</v>
      </c>
      <c r="E604" s="5"/>
      <c r="F604" s="4"/>
      <c r="G604" s="7" t="s">
        <v>1918</v>
      </c>
      <c r="H604" s="5"/>
      <c r="I604" s="5"/>
      <c r="J604" s="7" t="s">
        <v>1919</v>
      </c>
      <c r="K604" s="7" t="s">
        <v>24</v>
      </c>
      <c r="L604" s="7" t="s">
        <v>1920</v>
      </c>
      <c r="M604" s="109">
        <v>1952469640</v>
      </c>
      <c r="N604" s="111"/>
      <c r="O604" s="109">
        <v>7500000</v>
      </c>
      <c r="P604" s="110"/>
      <c r="Q604" s="109">
        <f>M604+N604+O604+P604</f>
        <v>1959969640</v>
      </c>
      <c r="R604" s="36">
        <v>1952469640</v>
      </c>
      <c r="S604" s="5"/>
      <c r="T604" s="30">
        <v>7500000</v>
      </c>
      <c r="U604" s="5"/>
      <c r="V604" s="5"/>
      <c r="W604" s="28"/>
      <c r="X604" s="28">
        <f>N604-S604</f>
        <v>0</v>
      </c>
      <c r="Y604" s="28">
        <f>O604-T604</f>
        <v>0</v>
      </c>
      <c r="Z604" s="28">
        <f>P604-U604</f>
        <v>0</v>
      </c>
      <c r="AA604" s="4"/>
      <c r="AB604" s="4"/>
      <c r="AC604">
        <f>IF(AB604=G604,1,2)</f>
        <v>2</v>
      </c>
    </row>
    <row r="605" spans="1:30" customFormat="1" ht="62.4" hidden="1" customHeight="1" x14ac:dyDescent="0.3">
      <c r="A605" s="7" t="s">
        <v>1601</v>
      </c>
      <c r="B605" s="6">
        <v>459</v>
      </c>
      <c r="C605" s="7" t="s">
        <v>1785</v>
      </c>
      <c r="D605" s="7" t="s">
        <v>1921</v>
      </c>
      <c r="E605" s="7" t="s">
        <v>1922</v>
      </c>
      <c r="F605" s="4"/>
      <c r="G605" s="7" t="s">
        <v>1923</v>
      </c>
      <c r="H605" s="7" t="s">
        <v>1924</v>
      </c>
      <c r="I605" s="7"/>
      <c r="J605" s="7" t="s">
        <v>1925</v>
      </c>
      <c r="K605" s="7" t="s">
        <v>24</v>
      </c>
      <c r="L605" s="7" t="s">
        <v>1926</v>
      </c>
      <c r="M605" s="109">
        <v>42946103602</v>
      </c>
      <c r="N605" s="109">
        <v>1821979150</v>
      </c>
      <c r="O605" s="109">
        <v>7500000</v>
      </c>
      <c r="P605" s="110"/>
      <c r="Q605" s="109">
        <f>M605+N605+O605+P605</f>
        <v>44775582752</v>
      </c>
      <c r="R605" s="36">
        <v>42946103602</v>
      </c>
      <c r="S605" s="3">
        <v>1821979150</v>
      </c>
      <c r="T605" s="72"/>
      <c r="U605" s="5"/>
      <c r="V605" s="5"/>
      <c r="W605" s="28"/>
      <c r="X605" s="28">
        <f>N605-S605</f>
        <v>0</v>
      </c>
      <c r="Y605" s="36">
        <f>O605-T605</f>
        <v>7500000</v>
      </c>
      <c r="Z605" s="28">
        <f>P605-U605</f>
        <v>0</v>
      </c>
      <c r="AA605" s="4"/>
      <c r="AB605" s="40"/>
      <c r="AC605" s="121">
        <f>IF(AB605=G605,1,2)</f>
        <v>2</v>
      </c>
      <c r="AD605" s="121"/>
    </row>
    <row r="606" spans="1:30" customFormat="1" ht="31.2" hidden="1" x14ac:dyDescent="0.3">
      <c r="A606" s="7" t="s">
        <v>18</v>
      </c>
      <c r="B606" s="6">
        <v>460</v>
      </c>
      <c r="C606" s="7" t="s">
        <v>1785</v>
      </c>
      <c r="D606" s="7" t="s">
        <v>1927</v>
      </c>
      <c r="E606" s="5"/>
      <c r="F606" s="4"/>
      <c r="G606" s="7" t="s">
        <v>1928</v>
      </c>
      <c r="H606" s="5"/>
      <c r="I606" s="5"/>
      <c r="J606" s="7" t="s">
        <v>1929</v>
      </c>
      <c r="K606" s="7" t="s">
        <v>24</v>
      </c>
      <c r="L606" s="7" t="s">
        <v>1930</v>
      </c>
      <c r="M606" s="109">
        <v>25138264737</v>
      </c>
      <c r="N606" s="111"/>
      <c r="O606" s="109">
        <v>15000000</v>
      </c>
      <c r="P606" s="110"/>
      <c r="Q606" s="109">
        <f>M606+N606+O606+P606</f>
        <v>25153264737</v>
      </c>
      <c r="R606" s="3">
        <v>25138264737</v>
      </c>
      <c r="S606" s="5"/>
      <c r="T606" s="30">
        <v>15000000</v>
      </c>
      <c r="U606" s="5"/>
      <c r="V606" s="5"/>
      <c r="W606" s="28"/>
      <c r="X606" s="28">
        <f>N606-S606</f>
        <v>0</v>
      </c>
      <c r="Y606" s="28">
        <f>O606-T606</f>
        <v>0</v>
      </c>
      <c r="Z606" s="28">
        <f>P606-U606</f>
        <v>0</v>
      </c>
      <c r="AA606" s="4"/>
      <c r="AB606" s="4"/>
      <c r="AC606">
        <f>IF(AB606=G606,1,2)</f>
        <v>2</v>
      </c>
    </row>
    <row r="607" spans="1:30" customFormat="1" ht="31.2" hidden="1" x14ac:dyDescent="0.3">
      <c r="A607" s="7" t="s">
        <v>1601</v>
      </c>
      <c r="B607" s="6">
        <v>461</v>
      </c>
      <c r="C607" s="7" t="s">
        <v>1785</v>
      </c>
      <c r="D607" s="7" t="s">
        <v>1931</v>
      </c>
      <c r="E607" s="5"/>
      <c r="F607" s="4"/>
      <c r="G607" s="7" t="s">
        <v>1932</v>
      </c>
      <c r="H607" s="5"/>
      <c r="I607" s="5"/>
      <c r="J607" s="7" t="s">
        <v>1933</v>
      </c>
      <c r="K607" s="7" t="s">
        <v>24</v>
      </c>
      <c r="L607" s="7" t="s">
        <v>1934</v>
      </c>
      <c r="M607" s="109">
        <v>1315436172</v>
      </c>
      <c r="N607" s="111"/>
      <c r="O607" s="109">
        <v>15000000</v>
      </c>
      <c r="P607" s="110"/>
      <c r="Q607" s="109">
        <f>M607+N607+O607+P607</f>
        <v>1330436172</v>
      </c>
      <c r="R607" s="36">
        <v>1315436172</v>
      </c>
      <c r="S607" s="5"/>
      <c r="T607" s="30">
        <v>15000000</v>
      </c>
      <c r="U607" s="5"/>
      <c r="V607" s="5"/>
      <c r="W607" s="28"/>
      <c r="X607" s="28">
        <f>N607-S607</f>
        <v>0</v>
      </c>
      <c r="Y607" s="28">
        <f>O607-T607</f>
        <v>0</v>
      </c>
      <c r="Z607" s="28">
        <f>P607-U607</f>
        <v>0</v>
      </c>
      <c r="AA607" s="4"/>
      <c r="AB607" s="4"/>
      <c r="AC607">
        <f>IF(AB607=G607,1,2)</f>
        <v>2</v>
      </c>
    </row>
    <row r="608" spans="1:30" customFormat="1" ht="62.4" hidden="1" customHeight="1" x14ac:dyDescent="0.3">
      <c r="A608" s="7" t="s">
        <v>46</v>
      </c>
      <c r="B608" s="6">
        <v>462</v>
      </c>
      <c r="C608" s="7" t="s">
        <v>1785</v>
      </c>
      <c r="D608" s="7" t="s">
        <v>1935</v>
      </c>
      <c r="E608" s="5"/>
      <c r="F608" s="4"/>
      <c r="G608" s="7" t="s">
        <v>1936</v>
      </c>
      <c r="H608" s="5"/>
      <c r="I608" s="5"/>
      <c r="J608" s="7" t="s">
        <v>1937</v>
      </c>
      <c r="K608" s="7" t="s">
        <v>24</v>
      </c>
      <c r="L608" s="7" t="s">
        <v>1938</v>
      </c>
      <c r="M608" s="109">
        <v>456882641</v>
      </c>
      <c r="N608" s="111"/>
      <c r="O608" s="109">
        <v>7500000</v>
      </c>
      <c r="P608" s="110"/>
      <c r="Q608" s="109">
        <f>M608+N608+O608+P608</f>
        <v>464382641</v>
      </c>
      <c r="R608" s="3">
        <v>456882641</v>
      </c>
      <c r="S608" s="5"/>
      <c r="T608" s="30">
        <v>7500000</v>
      </c>
      <c r="U608" s="5"/>
      <c r="V608" s="5"/>
      <c r="W608" s="28"/>
      <c r="X608" s="28">
        <f>N608-S608</f>
        <v>0</v>
      </c>
      <c r="Y608" s="28">
        <f>O608-T608</f>
        <v>0</v>
      </c>
      <c r="Z608" s="28">
        <f>P608-U608</f>
        <v>0</v>
      </c>
      <c r="AA608" s="4"/>
      <c r="AB608" s="4"/>
      <c r="AC608">
        <f>IF(AB608=G608,1,2)</f>
        <v>2</v>
      </c>
    </row>
    <row r="609" spans="1:30" customFormat="1" ht="31.2" hidden="1" x14ac:dyDescent="0.3">
      <c r="A609" s="7" t="s">
        <v>62</v>
      </c>
      <c r="B609" s="6">
        <v>463</v>
      </c>
      <c r="C609" s="7" t="s">
        <v>1785</v>
      </c>
      <c r="D609" s="7" t="s">
        <v>1939</v>
      </c>
      <c r="E609" s="5"/>
      <c r="F609" s="4"/>
      <c r="G609" s="7" t="s">
        <v>1940</v>
      </c>
      <c r="H609" s="5"/>
      <c r="I609" s="5"/>
      <c r="J609" s="7" t="s">
        <v>1941</v>
      </c>
      <c r="K609" s="7" t="s">
        <v>24</v>
      </c>
      <c r="L609" s="7" t="s">
        <v>1942</v>
      </c>
      <c r="M609" s="109">
        <v>2133943076</v>
      </c>
      <c r="N609" s="111"/>
      <c r="O609" s="109">
        <v>15000000</v>
      </c>
      <c r="P609" s="110"/>
      <c r="Q609" s="109">
        <f>M609+N609+O609+P609</f>
        <v>2148943076</v>
      </c>
      <c r="R609" s="3">
        <v>2133943076</v>
      </c>
      <c r="S609" s="5"/>
      <c r="T609" s="30">
        <v>15000000</v>
      </c>
      <c r="U609" s="5"/>
      <c r="V609" s="5"/>
      <c r="W609" s="28"/>
      <c r="X609" s="28">
        <f>N609-S609</f>
        <v>0</v>
      </c>
      <c r="Y609" s="28">
        <f>O609-T609</f>
        <v>0</v>
      </c>
      <c r="Z609" s="28">
        <f>P609-U609</f>
        <v>0</v>
      </c>
      <c r="AA609" s="4"/>
      <c r="AB609" s="4"/>
      <c r="AC609">
        <f>IF(AB609=G609,1,2)</f>
        <v>2</v>
      </c>
    </row>
    <row r="610" spans="1:30" customFormat="1" ht="31.2" hidden="1" x14ac:dyDescent="0.3">
      <c r="A610" s="7" t="s">
        <v>53</v>
      </c>
      <c r="B610" s="6">
        <v>464</v>
      </c>
      <c r="C610" s="7" t="s">
        <v>1785</v>
      </c>
      <c r="D610" s="7" t="s">
        <v>1943</v>
      </c>
      <c r="E610" s="5"/>
      <c r="F610" s="4"/>
      <c r="G610" s="7" t="s">
        <v>1944</v>
      </c>
      <c r="H610" s="5"/>
      <c r="I610" s="5"/>
      <c r="J610" s="7" t="s">
        <v>1945</v>
      </c>
      <c r="K610" s="7" t="s">
        <v>24</v>
      </c>
      <c r="L610" s="7" t="s">
        <v>1946</v>
      </c>
      <c r="M610" s="109">
        <v>212669251</v>
      </c>
      <c r="N610" s="111"/>
      <c r="O610" s="109">
        <v>7500000</v>
      </c>
      <c r="P610" s="110"/>
      <c r="Q610" s="109">
        <f>M610+N610+O610+P610</f>
        <v>220169251</v>
      </c>
      <c r="R610" s="3">
        <v>212669251</v>
      </c>
      <c r="S610" s="5"/>
      <c r="T610" s="30">
        <v>7500000</v>
      </c>
      <c r="U610" s="5"/>
      <c r="V610" s="5"/>
      <c r="W610" s="28"/>
      <c r="X610" s="28">
        <f>N610-S610</f>
        <v>0</v>
      </c>
      <c r="Y610" s="28">
        <f>O610-T610</f>
        <v>0</v>
      </c>
      <c r="Z610" s="28">
        <f>P610-U610</f>
        <v>0</v>
      </c>
      <c r="AA610" s="4"/>
      <c r="AB610" s="4"/>
      <c r="AC610">
        <f>IF(AB610=G610,1,2)</f>
        <v>2</v>
      </c>
    </row>
    <row r="611" spans="1:30" customFormat="1" ht="31.2" hidden="1" x14ac:dyDescent="0.3">
      <c r="A611" s="7" t="s">
        <v>62</v>
      </c>
      <c r="B611" s="6">
        <v>465</v>
      </c>
      <c r="C611" s="7" t="s">
        <v>1785</v>
      </c>
      <c r="D611" s="7" t="s">
        <v>1947</v>
      </c>
      <c r="E611" s="5"/>
      <c r="F611" s="4"/>
      <c r="G611" s="7" t="s">
        <v>1948</v>
      </c>
      <c r="H611" s="5"/>
      <c r="I611" s="5"/>
      <c r="J611" s="7" t="s">
        <v>1949</v>
      </c>
      <c r="K611" s="7" t="s">
        <v>24</v>
      </c>
      <c r="L611" s="7" t="s">
        <v>1950</v>
      </c>
      <c r="M611" s="109">
        <v>1529398466</v>
      </c>
      <c r="N611" s="111"/>
      <c r="O611" s="109">
        <v>7500000</v>
      </c>
      <c r="P611" s="110"/>
      <c r="Q611" s="109">
        <f>M611+N611+O611+P611</f>
        <v>1536898466</v>
      </c>
      <c r="R611" s="3">
        <v>1529398466</v>
      </c>
      <c r="S611" s="5"/>
      <c r="T611" s="30">
        <v>7500000</v>
      </c>
      <c r="U611" s="5"/>
      <c r="V611" s="5"/>
      <c r="W611" s="28"/>
      <c r="X611" s="28">
        <f>N611-S611</f>
        <v>0</v>
      </c>
      <c r="Y611" s="28">
        <f>O611-T611</f>
        <v>0</v>
      </c>
      <c r="Z611" s="28">
        <f>P611-U611</f>
        <v>0</v>
      </c>
      <c r="AA611" s="4"/>
      <c r="AB611" s="4"/>
      <c r="AC611">
        <f>IF(AB611=G611,1,2)</f>
        <v>2</v>
      </c>
    </row>
    <row r="612" spans="1:30" customFormat="1" ht="31.2" hidden="1" x14ac:dyDescent="0.3">
      <c r="A612" s="7" t="s">
        <v>62</v>
      </c>
      <c r="B612" s="6">
        <v>467</v>
      </c>
      <c r="C612" s="7" t="s">
        <v>1785</v>
      </c>
      <c r="D612" s="7" t="s">
        <v>1955</v>
      </c>
      <c r="E612" s="5"/>
      <c r="F612" s="4"/>
      <c r="G612" s="7" t="s">
        <v>1956</v>
      </c>
      <c r="H612" s="5"/>
      <c r="I612" s="5"/>
      <c r="J612" s="7" t="s">
        <v>1957</v>
      </c>
      <c r="K612" s="7" t="s">
        <v>24</v>
      </c>
      <c r="L612" s="7" t="s">
        <v>1958</v>
      </c>
      <c r="M612" s="109">
        <v>693114964</v>
      </c>
      <c r="N612" s="111"/>
      <c r="O612" s="109">
        <v>15000000</v>
      </c>
      <c r="P612" s="110"/>
      <c r="Q612" s="109">
        <f>M612+N612+O612+P612</f>
        <v>708114964</v>
      </c>
      <c r="R612" s="3">
        <v>693114964</v>
      </c>
      <c r="S612" s="5"/>
      <c r="T612" s="30">
        <v>15000000</v>
      </c>
      <c r="U612" s="5"/>
      <c r="V612" s="5"/>
      <c r="W612" s="28"/>
      <c r="X612" s="28">
        <f>N612-S612</f>
        <v>0</v>
      </c>
      <c r="Y612" s="28">
        <f>O612-T612</f>
        <v>0</v>
      </c>
      <c r="Z612" s="28">
        <f>P612-U612</f>
        <v>0</v>
      </c>
      <c r="AA612" s="4"/>
      <c r="AB612" s="4"/>
      <c r="AC612">
        <f>IF(AB612=G612,1,2)</f>
        <v>2</v>
      </c>
    </row>
    <row r="613" spans="1:30" customFormat="1" ht="31.2" hidden="1" x14ac:dyDescent="0.3">
      <c r="A613" s="7" t="s">
        <v>1601</v>
      </c>
      <c r="B613" s="6">
        <v>468</v>
      </c>
      <c r="C613" s="7" t="s">
        <v>1785</v>
      </c>
      <c r="D613" s="7" t="s">
        <v>1959</v>
      </c>
      <c r="E613" s="5"/>
      <c r="F613" s="4"/>
      <c r="G613" s="7" t="s">
        <v>1960</v>
      </c>
      <c r="H613" s="5"/>
      <c r="I613" s="5"/>
      <c r="J613" s="7" t="s">
        <v>1961</v>
      </c>
      <c r="K613" s="7" t="s">
        <v>24</v>
      </c>
      <c r="L613" s="7" t="s">
        <v>1962</v>
      </c>
      <c r="M613" s="109">
        <v>37588800</v>
      </c>
      <c r="N613" s="111"/>
      <c r="O613" s="109">
        <v>7500000</v>
      </c>
      <c r="P613" s="110"/>
      <c r="Q613" s="109">
        <f>M613+N613+O613+P613</f>
        <v>45088800</v>
      </c>
      <c r="R613" s="36">
        <v>37588800</v>
      </c>
      <c r="S613" s="5"/>
      <c r="T613" s="30">
        <v>7500000</v>
      </c>
      <c r="U613" s="5"/>
      <c r="V613" s="5"/>
      <c r="W613" s="28"/>
      <c r="X613" s="28">
        <f>N613-S613</f>
        <v>0</v>
      </c>
      <c r="Y613" s="28">
        <f>O613-T613</f>
        <v>0</v>
      </c>
      <c r="Z613" s="28">
        <f>P613-U613</f>
        <v>0</v>
      </c>
      <c r="AA613" s="4"/>
      <c r="AB613" s="4"/>
      <c r="AC613">
        <f>IF(AB613=G613,1,2)</f>
        <v>2</v>
      </c>
    </row>
    <row r="614" spans="1:30" customFormat="1" ht="31.2" hidden="1" x14ac:dyDescent="0.3">
      <c r="A614" s="7" t="s">
        <v>46</v>
      </c>
      <c r="B614" s="6">
        <v>469</v>
      </c>
      <c r="C614" s="7" t="s">
        <v>1785</v>
      </c>
      <c r="D614" s="7" t="s">
        <v>1963</v>
      </c>
      <c r="E614" s="7" t="s">
        <v>1964</v>
      </c>
      <c r="F614" s="4"/>
      <c r="G614" s="7" t="s">
        <v>1965</v>
      </c>
      <c r="H614" s="5"/>
      <c r="I614" s="5"/>
      <c r="J614" s="7" t="s">
        <v>1966</v>
      </c>
      <c r="K614" s="7" t="s">
        <v>24</v>
      </c>
      <c r="L614" s="7" t="s">
        <v>1967</v>
      </c>
      <c r="M614" s="109">
        <v>7705087400</v>
      </c>
      <c r="N614" s="109">
        <v>1014623280</v>
      </c>
      <c r="O614" s="109">
        <v>15000000</v>
      </c>
      <c r="P614" s="110"/>
      <c r="Q614" s="109">
        <f>M614+N614+O614+P614</f>
        <v>8734710680</v>
      </c>
      <c r="R614" s="3">
        <v>7705087400</v>
      </c>
      <c r="S614" s="3">
        <v>1014623280</v>
      </c>
      <c r="T614" s="30">
        <v>15000000</v>
      </c>
      <c r="U614" s="5"/>
      <c r="V614" s="5"/>
      <c r="W614" s="28"/>
      <c r="X614" s="28">
        <f>N614-S614</f>
        <v>0</v>
      </c>
      <c r="Y614" s="28">
        <f>O614-T614</f>
        <v>0</v>
      </c>
      <c r="Z614" s="28">
        <f>P614-U614</f>
        <v>0</v>
      </c>
      <c r="AA614" s="4"/>
      <c r="AB614" s="4"/>
      <c r="AC614">
        <f>IF(AB614=G614,1,2)</f>
        <v>2</v>
      </c>
    </row>
    <row r="615" spans="1:30" customFormat="1" ht="31.2" hidden="1" x14ac:dyDescent="0.3">
      <c r="A615" s="7" t="s">
        <v>62</v>
      </c>
      <c r="B615" s="6">
        <v>470</v>
      </c>
      <c r="C615" s="7" t="s">
        <v>1785</v>
      </c>
      <c r="D615" s="7" t="s">
        <v>1968</v>
      </c>
      <c r="E615" s="7" t="s">
        <v>1969</v>
      </c>
      <c r="F615" s="4"/>
      <c r="G615" s="7" t="s">
        <v>1970</v>
      </c>
      <c r="H615" s="7" t="s">
        <v>1971</v>
      </c>
      <c r="I615" s="5"/>
      <c r="J615" s="7" t="s">
        <v>1972</v>
      </c>
      <c r="K615" s="7" t="s">
        <v>24</v>
      </c>
      <c r="L615" s="7" t="s">
        <v>1973</v>
      </c>
      <c r="M615" s="109">
        <v>2275010156</v>
      </c>
      <c r="N615" s="109">
        <v>937174816</v>
      </c>
      <c r="O615" s="109">
        <v>7500000</v>
      </c>
      <c r="P615" s="110"/>
      <c r="Q615" s="109">
        <f>M615+N615+O615+P615</f>
        <v>3219684972</v>
      </c>
      <c r="R615" s="3">
        <v>2275010156</v>
      </c>
      <c r="S615" s="3">
        <v>937174816</v>
      </c>
      <c r="T615" s="30">
        <v>7500000</v>
      </c>
      <c r="U615" s="5"/>
      <c r="V615" s="5"/>
      <c r="W615" s="28"/>
      <c r="X615" s="28">
        <f>N615-S615</f>
        <v>0</v>
      </c>
      <c r="Y615" s="28">
        <f>O615-T615</f>
        <v>0</v>
      </c>
      <c r="Z615" s="28">
        <f>P615-U615</f>
        <v>0</v>
      </c>
      <c r="AA615" s="4"/>
      <c r="AB615" s="4"/>
      <c r="AC615">
        <f>IF(AB615=G615,1,2)</f>
        <v>2</v>
      </c>
    </row>
    <row r="616" spans="1:30" customFormat="1" ht="31.2" hidden="1" x14ac:dyDescent="0.3">
      <c r="A616" s="7" t="s">
        <v>62</v>
      </c>
      <c r="B616" s="6">
        <v>471</v>
      </c>
      <c r="C616" s="7" t="s">
        <v>1785</v>
      </c>
      <c r="D616" s="7" t="s">
        <v>1974</v>
      </c>
      <c r="E616" s="5"/>
      <c r="F616" s="4"/>
      <c r="G616" s="7" t="s">
        <v>1975</v>
      </c>
      <c r="H616" s="5"/>
      <c r="I616" s="5"/>
      <c r="J616" s="7" t="s">
        <v>1976</v>
      </c>
      <c r="K616" s="7" t="s">
        <v>24</v>
      </c>
      <c r="L616" s="7" t="s">
        <v>1977</v>
      </c>
      <c r="M616" s="109">
        <v>2904186194</v>
      </c>
      <c r="N616" s="111"/>
      <c r="O616" s="109">
        <v>7500000</v>
      </c>
      <c r="P616" s="110"/>
      <c r="Q616" s="109">
        <f>M616+N616+O616+P616</f>
        <v>2911686194</v>
      </c>
      <c r="R616" s="3">
        <v>2904186194</v>
      </c>
      <c r="S616" s="5"/>
      <c r="T616" s="30">
        <v>7500000</v>
      </c>
      <c r="U616" s="5"/>
      <c r="V616" s="5"/>
      <c r="W616" s="28"/>
      <c r="X616" s="28">
        <f>N616-S616</f>
        <v>0</v>
      </c>
      <c r="Y616" s="28">
        <f>O616-T616</f>
        <v>0</v>
      </c>
      <c r="Z616" s="28">
        <f>P616-U616</f>
        <v>0</v>
      </c>
      <c r="AA616" s="4"/>
      <c r="AB616" s="4"/>
      <c r="AC616">
        <f>IF(AB616=G616,1,2)</f>
        <v>2</v>
      </c>
    </row>
    <row r="617" spans="1:30" customFormat="1" ht="31.2" hidden="1" x14ac:dyDescent="0.3">
      <c r="A617" s="7" t="s">
        <v>62</v>
      </c>
      <c r="B617" s="6">
        <v>472</v>
      </c>
      <c r="C617" s="7" t="s">
        <v>1785</v>
      </c>
      <c r="D617" s="7" t="s">
        <v>1978</v>
      </c>
      <c r="E617" s="5"/>
      <c r="F617" s="4"/>
      <c r="G617" s="7" t="s">
        <v>1979</v>
      </c>
      <c r="H617" s="5"/>
      <c r="I617" s="5"/>
      <c r="J617" s="7" t="s">
        <v>1980</v>
      </c>
      <c r="K617" s="7" t="s">
        <v>24</v>
      </c>
      <c r="L617" s="7" t="s">
        <v>1981</v>
      </c>
      <c r="M617" s="109">
        <v>562558528</v>
      </c>
      <c r="N617" s="111"/>
      <c r="O617" s="109">
        <v>15000000</v>
      </c>
      <c r="P617" s="110"/>
      <c r="Q617" s="109">
        <f>M617+N617+O617+P617</f>
        <v>577558528</v>
      </c>
      <c r="R617" s="3">
        <v>562558528</v>
      </c>
      <c r="S617" s="5"/>
      <c r="T617" s="30">
        <v>15000000</v>
      </c>
      <c r="U617" s="5"/>
      <c r="V617" s="5"/>
      <c r="W617" s="28"/>
      <c r="X617" s="28">
        <f>N617-S617</f>
        <v>0</v>
      </c>
      <c r="Y617" s="28">
        <f>O617-T617</f>
        <v>0</v>
      </c>
      <c r="Z617" s="28">
        <f>P617-U617</f>
        <v>0</v>
      </c>
      <c r="AA617" s="4"/>
      <c r="AB617" s="4"/>
      <c r="AC617">
        <f>IF(AB617=G617,1,2)</f>
        <v>2</v>
      </c>
    </row>
    <row r="618" spans="1:30" customFormat="1" ht="31.2" hidden="1" x14ac:dyDescent="0.3">
      <c r="A618" s="7" t="s">
        <v>18</v>
      </c>
      <c r="B618" s="6">
        <v>473</v>
      </c>
      <c r="C618" s="7" t="s">
        <v>1785</v>
      </c>
      <c r="D618" s="7" t="s">
        <v>1982</v>
      </c>
      <c r="E618" s="7" t="s">
        <v>1983</v>
      </c>
      <c r="F618" s="4"/>
      <c r="G618" s="7" t="s">
        <v>1984</v>
      </c>
      <c r="H618" s="7" t="s">
        <v>1985</v>
      </c>
      <c r="I618" s="5"/>
      <c r="J618" s="7" t="s">
        <v>1986</v>
      </c>
      <c r="K618" s="7" t="s">
        <v>24</v>
      </c>
      <c r="L618" s="7" t="s">
        <v>1987</v>
      </c>
      <c r="M618" s="109">
        <v>7291876999</v>
      </c>
      <c r="N618" s="109">
        <v>7483383371</v>
      </c>
      <c r="O618" s="109">
        <v>7500000</v>
      </c>
      <c r="P618" s="110"/>
      <c r="Q618" s="109">
        <f>M618+N618+O618+P618</f>
        <v>14782760370</v>
      </c>
      <c r="R618" s="3">
        <v>7291876999</v>
      </c>
      <c r="S618" s="3">
        <v>7483383371</v>
      </c>
      <c r="T618" s="30">
        <v>7500000</v>
      </c>
      <c r="U618" s="5"/>
      <c r="V618" s="5"/>
      <c r="W618" s="28"/>
      <c r="X618" s="28">
        <f>N618-S618</f>
        <v>0</v>
      </c>
      <c r="Y618" s="28">
        <f>O618-T618</f>
        <v>0</v>
      </c>
      <c r="Z618" s="28">
        <f>P618-U618</f>
        <v>0</v>
      </c>
      <c r="AA618" s="4"/>
      <c r="AB618" s="4"/>
      <c r="AC618">
        <f>IF(AB618=G618,1,2)</f>
        <v>2</v>
      </c>
    </row>
    <row r="619" spans="1:30" customFormat="1" ht="31.2" hidden="1" x14ac:dyDescent="0.3">
      <c r="A619" s="7" t="s">
        <v>18</v>
      </c>
      <c r="B619" s="6">
        <v>474</v>
      </c>
      <c r="C619" s="7" t="s">
        <v>1785</v>
      </c>
      <c r="D619" s="7" t="s">
        <v>1988</v>
      </c>
      <c r="E619" s="5"/>
      <c r="F619" s="4"/>
      <c r="G619" s="7" t="s">
        <v>1989</v>
      </c>
      <c r="H619" s="5"/>
      <c r="I619" s="5"/>
      <c r="J619" s="7" t="s">
        <v>1990</v>
      </c>
      <c r="K619" s="7" t="s">
        <v>24</v>
      </c>
      <c r="L619" s="7" t="s">
        <v>1631</v>
      </c>
      <c r="M619" s="109">
        <v>919227558</v>
      </c>
      <c r="N619" s="111"/>
      <c r="O619" s="109">
        <v>15000000</v>
      </c>
      <c r="P619" s="110"/>
      <c r="Q619" s="109">
        <f>M619+N619+O619+P619</f>
        <v>934227558</v>
      </c>
      <c r="R619" s="3">
        <v>919227558</v>
      </c>
      <c r="S619" s="5"/>
      <c r="T619" s="30">
        <v>15000000</v>
      </c>
      <c r="U619" s="5"/>
      <c r="V619" s="5"/>
      <c r="W619" s="28"/>
      <c r="X619" s="28">
        <f>N619-S619</f>
        <v>0</v>
      </c>
      <c r="Y619" s="28">
        <f>O619-T619</f>
        <v>0</v>
      </c>
      <c r="Z619" s="28">
        <f>P619-U619</f>
        <v>0</v>
      </c>
      <c r="AA619" s="4"/>
      <c r="AB619" s="4"/>
      <c r="AC619">
        <f>IF(AB619=G619,1,2)</f>
        <v>2</v>
      </c>
    </row>
    <row r="620" spans="1:30" customFormat="1" ht="31.2" hidden="1" x14ac:dyDescent="0.3">
      <c r="A620" s="7" t="s">
        <v>1601</v>
      </c>
      <c r="B620" s="6">
        <v>475</v>
      </c>
      <c r="C620" s="7" t="s">
        <v>1785</v>
      </c>
      <c r="D620" s="7" t="s">
        <v>1991</v>
      </c>
      <c r="E620" s="5"/>
      <c r="F620" s="4"/>
      <c r="G620" s="7" t="s">
        <v>1992</v>
      </c>
      <c r="H620" s="5"/>
      <c r="I620" s="5"/>
      <c r="J620" s="7" t="s">
        <v>1993</v>
      </c>
      <c r="K620" s="7" t="s">
        <v>24</v>
      </c>
      <c r="L620" s="7" t="s">
        <v>1994</v>
      </c>
      <c r="M620" s="109">
        <v>8961548836</v>
      </c>
      <c r="N620" s="111"/>
      <c r="O620" s="109">
        <v>7500000</v>
      </c>
      <c r="P620" s="110"/>
      <c r="Q620" s="109">
        <f>M620+N620+O620+P620</f>
        <v>8969048836</v>
      </c>
      <c r="R620" s="3">
        <v>8961548836</v>
      </c>
      <c r="S620" s="5"/>
      <c r="T620" s="30">
        <v>7500000</v>
      </c>
      <c r="U620" s="5"/>
      <c r="V620" s="5"/>
      <c r="W620" s="28"/>
      <c r="X620" s="28">
        <f>N620-S620</f>
        <v>0</v>
      </c>
      <c r="Y620" s="28">
        <f>O620-T620</f>
        <v>0</v>
      </c>
      <c r="Z620" s="28">
        <f>P620-U620</f>
        <v>0</v>
      </c>
      <c r="AA620" s="4"/>
      <c r="AB620" s="4"/>
      <c r="AC620">
        <f>IF(AB620=G620,1,2)</f>
        <v>2</v>
      </c>
    </row>
    <row r="621" spans="1:30" customFormat="1" ht="31.2" hidden="1" x14ac:dyDescent="0.3">
      <c r="A621" s="7" t="s">
        <v>1601</v>
      </c>
      <c r="B621" s="6">
        <v>477</v>
      </c>
      <c r="C621" s="7" t="s">
        <v>1785</v>
      </c>
      <c r="D621" s="7" t="s">
        <v>1999</v>
      </c>
      <c r="E621" s="5"/>
      <c r="F621" s="4"/>
      <c r="G621" s="7" t="s">
        <v>2000</v>
      </c>
      <c r="H621" s="5"/>
      <c r="I621" s="5"/>
      <c r="J621" s="7" t="s">
        <v>2001</v>
      </c>
      <c r="K621" s="7" t="s">
        <v>24</v>
      </c>
      <c r="L621" s="7" t="s">
        <v>2002</v>
      </c>
      <c r="M621" s="109">
        <v>4075525074</v>
      </c>
      <c r="N621" s="111"/>
      <c r="O621" s="109">
        <v>15000000</v>
      </c>
      <c r="P621" s="110"/>
      <c r="Q621" s="109">
        <f>M621+N621+O621+P621</f>
        <v>4090525074</v>
      </c>
      <c r="R621" s="36">
        <v>4075525074</v>
      </c>
      <c r="S621" s="5"/>
      <c r="T621" s="30">
        <v>15000000</v>
      </c>
      <c r="U621" s="5"/>
      <c r="V621" s="5"/>
      <c r="W621" s="28"/>
      <c r="X621" s="28">
        <f>N621-S621</f>
        <v>0</v>
      </c>
      <c r="Y621" s="28">
        <f>O621-T621</f>
        <v>0</v>
      </c>
      <c r="Z621" s="28">
        <f>P621-U621</f>
        <v>0</v>
      </c>
      <c r="AA621" s="4"/>
      <c r="AB621" s="4"/>
      <c r="AC621">
        <f>IF(AB621=G621,1,2)</f>
        <v>2</v>
      </c>
    </row>
    <row r="622" spans="1:30" customFormat="1" ht="31.2" hidden="1" x14ac:dyDescent="0.3">
      <c r="A622" s="7" t="s">
        <v>46</v>
      </c>
      <c r="B622" s="6">
        <v>478</v>
      </c>
      <c r="C622" s="7" t="s">
        <v>1785</v>
      </c>
      <c r="D622" s="7" t="s">
        <v>2003</v>
      </c>
      <c r="E622" s="5"/>
      <c r="F622" s="4"/>
      <c r="G622" s="7" t="s">
        <v>2004</v>
      </c>
      <c r="H622" s="5"/>
      <c r="I622" s="5"/>
      <c r="J622" s="7" t="s">
        <v>2005</v>
      </c>
      <c r="K622" s="7" t="s">
        <v>24</v>
      </c>
      <c r="L622" s="7" t="s">
        <v>1977</v>
      </c>
      <c r="M622" s="109">
        <v>2187891160</v>
      </c>
      <c r="N622" s="111"/>
      <c r="O622" s="109">
        <v>7500000</v>
      </c>
      <c r="P622" s="110"/>
      <c r="Q622" s="109">
        <f>M622+N622+O622+P622</f>
        <v>2195391160</v>
      </c>
      <c r="R622" s="3">
        <v>2187891160</v>
      </c>
      <c r="S622" s="5"/>
      <c r="T622" s="30">
        <v>7500000</v>
      </c>
      <c r="U622" s="5"/>
      <c r="V622" s="5"/>
      <c r="W622" s="28"/>
      <c r="X622" s="28">
        <f>N622-S622</f>
        <v>0</v>
      </c>
      <c r="Y622" s="28">
        <f>O622-T622</f>
        <v>0</v>
      </c>
      <c r="Z622" s="28">
        <f>P622-U622</f>
        <v>0</v>
      </c>
      <c r="AA622" s="4"/>
      <c r="AB622" s="4"/>
      <c r="AC622">
        <f>IF(AB622=G622,1,2)</f>
        <v>2</v>
      </c>
    </row>
    <row r="623" spans="1:30" customFormat="1" ht="31.2" hidden="1" x14ac:dyDescent="0.3">
      <c r="A623" s="7" t="s">
        <v>62</v>
      </c>
      <c r="B623" s="6">
        <v>479</v>
      </c>
      <c r="C623" s="7" t="s">
        <v>1785</v>
      </c>
      <c r="D623" s="7" t="s">
        <v>2006</v>
      </c>
      <c r="E623" s="7"/>
      <c r="F623" s="4"/>
      <c r="G623" s="7" t="s">
        <v>2007</v>
      </c>
      <c r="H623" s="7"/>
      <c r="I623" s="7"/>
      <c r="J623" s="7" t="s">
        <v>2008</v>
      </c>
      <c r="K623" s="7" t="s">
        <v>24</v>
      </c>
      <c r="L623" s="7" t="s">
        <v>2009</v>
      </c>
      <c r="M623" s="109">
        <v>68947648</v>
      </c>
      <c r="N623" s="111"/>
      <c r="O623" s="109">
        <v>7500000</v>
      </c>
      <c r="P623" s="110"/>
      <c r="Q623" s="109">
        <f>M623+N623+O623+P623</f>
        <v>76447648</v>
      </c>
      <c r="R623" s="5"/>
      <c r="S623" s="5"/>
      <c r="T623" s="72"/>
      <c r="U623" s="5"/>
      <c r="V623" s="5"/>
      <c r="W623" s="28">
        <v>68947648</v>
      </c>
      <c r="X623" s="28">
        <f>N623-S623</f>
        <v>0</v>
      </c>
      <c r="Y623" s="36">
        <f>O623-T623</f>
        <v>7500000</v>
      </c>
      <c r="Z623" s="28">
        <f>P623-U623</f>
        <v>0</v>
      </c>
      <c r="AA623" s="10">
        <v>68947648</v>
      </c>
      <c r="AB623" s="40"/>
      <c r="AC623" s="121">
        <f>IF(AB623=G623,1,2)</f>
        <v>2</v>
      </c>
      <c r="AD623" s="121"/>
    </row>
    <row r="624" spans="1:30" customFormat="1" ht="31.2" hidden="1" x14ac:dyDescent="0.3">
      <c r="A624" s="7" t="s">
        <v>18</v>
      </c>
      <c r="B624" s="6">
        <v>480</v>
      </c>
      <c r="C624" s="7" t="s">
        <v>1785</v>
      </c>
      <c r="D624" s="7" t="s">
        <v>2010</v>
      </c>
      <c r="E624" s="5"/>
      <c r="F624" s="4"/>
      <c r="G624" s="7" t="s">
        <v>2011</v>
      </c>
      <c r="H624" s="5"/>
      <c r="I624" s="5"/>
      <c r="J624" s="7" t="s">
        <v>2012</v>
      </c>
      <c r="K624" s="7" t="s">
        <v>24</v>
      </c>
      <c r="L624" s="7" t="s">
        <v>2013</v>
      </c>
      <c r="M624" s="109">
        <v>1308108292</v>
      </c>
      <c r="N624" s="111"/>
      <c r="O624" s="109">
        <v>7500000</v>
      </c>
      <c r="P624" s="110"/>
      <c r="Q624" s="109">
        <f>M624+N624+O624+P624</f>
        <v>1315608292</v>
      </c>
      <c r="R624" s="3">
        <v>1308108292</v>
      </c>
      <c r="S624" s="5"/>
      <c r="T624" s="30">
        <v>7500000</v>
      </c>
      <c r="U624" s="5"/>
      <c r="V624" s="5"/>
      <c r="W624" s="28"/>
      <c r="X624" s="28">
        <f>N624-S624</f>
        <v>0</v>
      </c>
      <c r="Y624" s="28">
        <f>O624-T624</f>
        <v>0</v>
      </c>
      <c r="Z624" s="28">
        <f>P624-U624</f>
        <v>0</v>
      </c>
      <c r="AA624" s="4"/>
      <c r="AB624" s="4"/>
      <c r="AC624">
        <f>IF(AB624=G624,1,2)</f>
        <v>2</v>
      </c>
    </row>
    <row r="625" spans="1:30" customFormat="1" ht="62.4" hidden="1" customHeight="1" x14ac:dyDescent="0.3">
      <c r="A625" s="7" t="s">
        <v>53</v>
      </c>
      <c r="B625" s="6">
        <v>481</v>
      </c>
      <c r="C625" s="7" t="s">
        <v>1785</v>
      </c>
      <c r="D625" s="7" t="s">
        <v>2014</v>
      </c>
      <c r="E625" s="7" t="s">
        <v>2015</v>
      </c>
      <c r="F625" s="4"/>
      <c r="G625" s="7" t="s">
        <v>2016</v>
      </c>
      <c r="H625" s="7" t="s">
        <v>2017</v>
      </c>
      <c r="I625" s="5"/>
      <c r="J625" s="7" t="s">
        <v>2018</v>
      </c>
      <c r="K625" s="7" t="s">
        <v>24</v>
      </c>
      <c r="L625" s="7" t="s">
        <v>2019</v>
      </c>
      <c r="M625" s="109">
        <v>2157190380</v>
      </c>
      <c r="N625" s="109">
        <v>64769833</v>
      </c>
      <c r="O625" s="109">
        <v>15000000</v>
      </c>
      <c r="P625" s="110"/>
      <c r="Q625" s="109">
        <f>M625+N625+O625+P625</f>
        <v>2236960213</v>
      </c>
      <c r="R625" s="3">
        <v>2157190380</v>
      </c>
      <c r="S625" s="3">
        <v>64769833</v>
      </c>
      <c r="T625" s="30">
        <v>15000000</v>
      </c>
      <c r="U625" s="5"/>
      <c r="V625" s="5"/>
      <c r="W625" s="28"/>
      <c r="X625" s="28">
        <f>N625-S625</f>
        <v>0</v>
      </c>
      <c r="Y625" s="28">
        <f>O625-T625</f>
        <v>0</v>
      </c>
      <c r="Z625" s="28">
        <f>P625-U625</f>
        <v>0</v>
      </c>
      <c r="AA625" s="4"/>
      <c r="AB625" s="4"/>
      <c r="AC625">
        <f>IF(AB625=G625,1,2)</f>
        <v>2</v>
      </c>
    </row>
    <row r="626" spans="1:30" customFormat="1" ht="62.4" hidden="1" customHeight="1" x14ac:dyDescent="0.3">
      <c r="A626" s="7" t="s">
        <v>53</v>
      </c>
      <c r="B626" s="6">
        <v>482</v>
      </c>
      <c r="C626" s="7" t="s">
        <v>2020</v>
      </c>
      <c r="D626" s="7" t="s">
        <v>2021</v>
      </c>
      <c r="E626" s="7" t="s">
        <v>2022</v>
      </c>
      <c r="F626" s="4"/>
      <c r="G626" s="7" t="s">
        <v>2023</v>
      </c>
      <c r="H626" s="7" t="s">
        <v>2024</v>
      </c>
      <c r="I626" s="5"/>
      <c r="J626" s="7" t="s">
        <v>2025</v>
      </c>
      <c r="K626" s="7" t="s">
        <v>24</v>
      </c>
      <c r="L626" s="7" t="s">
        <v>2026</v>
      </c>
      <c r="M626" s="109">
        <v>1694829034</v>
      </c>
      <c r="N626" s="109">
        <v>89809650</v>
      </c>
      <c r="O626" s="109">
        <v>15000000</v>
      </c>
      <c r="P626" s="110"/>
      <c r="Q626" s="109">
        <f>M626+N626+O626+P626</f>
        <v>1799638684</v>
      </c>
      <c r="R626" s="3">
        <v>1694829034</v>
      </c>
      <c r="S626" s="3">
        <v>89809650</v>
      </c>
      <c r="T626" s="30">
        <v>15000000</v>
      </c>
      <c r="U626" s="5"/>
      <c r="V626" s="5"/>
      <c r="W626" s="28"/>
      <c r="X626" s="28">
        <f>N626-S626</f>
        <v>0</v>
      </c>
      <c r="Y626" s="28">
        <f>O626-T626</f>
        <v>0</v>
      </c>
      <c r="Z626" s="28">
        <f>P626-U626</f>
        <v>0</v>
      </c>
      <c r="AA626" s="4"/>
      <c r="AB626" s="4"/>
      <c r="AC626">
        <f>IF(AB626=G626,1,2)</f>
        <v>2</v>
      </c>
    </row>
    <row r="627" spans="1:30" customFormat="1" ht="46.8" hidden="1" x14ac:dyDescent="0.3">
      <c r="A627" s="7" t="s">
        <v>46</v>
      </c>
      <c r="B627" s="6">
        <v>484</v>
      </c>
      <c r="C627" s="7" t="s">
        <v>2020</v>
      </c>
      <c r="D627" s="7" t="s">
        <v>2034</v>
      </c>
      <c r="E627" s="7" t="s">
        <v>2035</v>
      </c>
      <c r="F627" s="4"/>
      <c r="G627" s="7" t="s">
        <v>2036</v>
      </c>
      <c r="H627" s="7" t="s">
        <v>2037</v>
      </c>
      <c r="I627" s="42" t="s">
        <v>2038</v>
      </c>
      <c r="J627" s="7" t="s">
        <v>2039</v>
      </c>
      <c r="K627" s="7" t="s">
        <v>24</v>
      </c>
      <c r="L627" s="7" t="s">
        <v>2040</v>
      </c>
      <c r="M627" s="109">
        <v>0</v>
      </c>
      <c r="N627" s="109">
        <v>8678312412</v>
      </c>
      <c r="O627" s="109">
        <v>7500000</v>
      </c>
      <c r="P627" s="110"/>
      <c r="Q627" s="109">
        <f>M627+N627+O627+P627</f>
        <v>8685812412</v>
      </c>
      <c r="R627" s="6">
        <v>0</v>
      </c>
      <c r="S627" s="7"/>
      <c r="T627" s="72"/>
      <c r="U627" s="5"/>
      <c r="V627" s="5"/>
      <c r="W627" s="28"/>
      <c r="X627" s="36">
        <f>N627-S627</f>
        <v>8678312412</v>
      </c>
      <c r="Y627" s="36">
        <f>O627-T627</f>
        <v>7500000</v>
      </c>
      <c r="Z627" s="28">
        <f>P627-U627</f>
        <v>0</v>
      </c>
      <c r="AA627" s="40"/>
      <c r="AB627" s="40"/>
      <c r="AC627" s="121">
        <f>IF(AB627=G627,1,2)</f>
        <v>2</v>
      </c>
      <c r="AD627" s="121"/>
    </row>
    <row r="628" spans="1:30" customFormat="1" ht="31.2" hidden="1" x14ac:dyDescent="0.3">
      <c r="A628" s="7" t="s">
        <v>1601</v>
      </c>
      <c r="B628" s="6">
        <v>486</v>
      </c>
      <c r="C628" s="7" t="s">
        <v>2020</v>
      </c>
      <c r="D628" s="7" t="s">
        <v>2046</v>
      </c>
      <c r="E628" s="7" t="s">
        <v>2047</v>
      </c>
      <c r="F628" s="4"/>
      <c r="G628" s="7" t="s">
        <v>2048</v>
      </c>
      <c r="H628" s="7"/>
      <c r="I628" s="7"/>
      <c r="J628" s="7" t="s">
        <v>2049</v>
      </c>
      <c r="K628" s="7" t="s">
        <v>24</v>
      </c>
      <c r="L628" s="7" t="s">
        <v>2050</v>
      </c>
      <c r="M628" s="109">
        <v>34664233908</v>
      </c>
      <c r="N628" s="109">
        <v>21702116352</v>
      </c>
      <c r="O628" s="109">
        <v>7500000</v>
      </c>
      <c r="P628" s="110"/>
      <c r="Q628" s="109">
        <f>M628+N628+O628+P628</f>
        <v>56373850260</v>
      </c>
      <c r="R628" s="3">
        <v>34664233908</v>
      </c>
      <c r="S628" s="3">
        <v>21702116352</v>
      </c>
      <c r="T628" s="72"/>
      <c r="U628" s="5"/>
      <c r="V628" s="5"/>
      <c r="W628" s="28"/>
      <c r="X628" s="28">
        <f>N628-S628</f>
        <v>0</v>
      </c>
      <c r="Y628" s="36">
        <f>O628-T628</f>
        <v>7500000</v>
      </c>
      <c r="Z628" s="28">
        <f>P628-U628</f>
        <v>0</v>
      </c>
      <c r="AA628" s="4"/>
      <c r="AB628" s="40"/>
      <c r="AC628" s="121">
        <f>IF(AB628=G628,1,2)</f>
        <v>2</v>
      </c>
      <c r="AD628" s="121"/>
    </row>
    <row r="629" spans="1:30" customFormat="1" ht="31.2" hidden="1" x14ac:dyDescent="0.3">
      <c r="A629" s="7" t="s">
        <v>53</v>
      </c>
      <c r="B629" s="6">
        <v>487</v>
      </c>
      <c r="C629" s="7" t="s">
        <v>2020</v>
      </c>
      <c r="D629" s="7" t="s">
        <v>2051</v>
      </c>
      <c r="E629" s="7" t="s">
        <v>2052</v>
      </c>
      <c r="F629" s="4"/>
      <c r="G629" s="7" t="s">
        <v>2053</v>
      </c>
      <c r="H629" s="7" t="s">
        <v>2054</v>
      </c>
      <c r="I629" s="5"/>
      <c r="J629" s="7" t="s">
        <v>2055</v>
      </c>
      <c r="K629" s="7" t="s">
        <v>24</v>
      </c>
      <c r="L629" s="7" t="s">
        <v>2056</v>
      </c>
      <c r="M629" s="109">
        <v>7983138800</v>
      </c>
      <c r="N629" s="114">
        <v>4114228044</v>
      </c>
      <c r="O629" s="109">
        <v>7500000</v>
      </c>
      <c r="P629" s="110"/>
      <c r="Q629" s="109">
        <f>M629+N629+O629+P629</f>
        <v>12104866844</v>
      </c>
      <c r="R629" s="3">
        <v>7983138800</v>
      </c>
      <c r="S629" s="3">
        <v>4114228044</v>
      </c>
      <c r="T629" s="30">
        <v>7500000</v>
      </c>
      <c r="U629" s="5"/>
      <c r="V629" s="5"/>
      <c r="W629" s="28"/>
      <c r="X629" s="28">
        <f>N629-S629</f>
        <v>0</v>
      </c>
      <c r="Y629" s="28">
        <f>O629-T629</f>
        <v>0</v>
      </c>
      <c r="Z629" s="28">
        <f>P629-U629</f>
        <v>0</v>
      </c>
      <c r="AA629" s="4"/>
      <c r="AB629" s="4"/>
      <c r="AC629">
        <f>IF(AB629=G629,1,2)</f>
        <v>2</v>
      </c>
    </row>
    <row r="630" spans="1:30" customFormat="1" ht="31.2" hidden="1" x14ac:dyDescent="0.3">
      <c r="A630" s="7" t="s">
        <v>46</v>
      </c>
      <c r="B630" s="6">
        <v>490</v>
      </c>
      <c r="C630" s="7" t="s">
        <v>2020</v>
      </c>
      <c r="D630" s="7" t="s">
        <v>2068</v>
      </c>
      <c r="E630" s="5"/>
      <c r="F630" s="4"/>
      <c r="G630" s="7" t="s">
        <v>2069</v>
      </c>
      <c r="H630" s="5"/>
      <c r="I630" s="5"/>
      <c r="J630" s="7" t="s">
        <v>2070</v>
      </c>
      <c r="K630" s="7" t="s">
        <v>24</v>
      </c>
      <c r="L630" s="7" t="s">
        <v>2071</v>
      </c>
      <c r="M630" s="109">
        <v>75048522880</v>
      </c>
      <c r="N630" s="111"/>
      <c r="O630" s="109">
        <v>7500000</v>
      </c>
      <c r="P630" s="110"/>
      <c r="Q630" s="109">
        <f>M630+N630+O630+P630</f>
        <v>75056022880</v>
      </c>
      <c r="R630" s="3">
        <v>75048522880</v>
      </c>
      <c r="S630" s="5"/>
      <c r="T630" s="30">
        <v>7500000</v>
      </c>
      <c r="U630" s="5"/>
      <c r="V630" s="5"/>
      <c r="W630" s="28"/>
      <c r="X630" s="28">
        <f>N630-S630</f>
        <v>0</v>
      </c>
      <c r="Y630" s="28">
        <f>O630-T630</f>
        <v>0</v>
      </c>
      <c r="Z630" s="28">
        <f>P630-U630</f>
        <v>0</v>
      </c>
      <c r="AA630" s="4"/>
      <c r="AB630" s="4"/>
      <c r="AC630">
        <f>IF(AB630=G630,1,2)</f>
        <v>2</v>
      </c>
    </row>
    <row r="631" spans="1:30" customFormat="1" ht="31.2" hidden="1" x14ac:dyDescent="0.3">
      <c r="A631" s="7" t="s">
        <v>1601</v>
      </c>
      <c r="B631" s="6">
        <v>492</v>
      </c>
      <c r="C631" s="7" t="s">
        <v>2020</v>
      </c>
      <c r="D631" s="7" t="s">
        <v>2079</v>
      </c>
      <c r="E631" s="7" t="s">
        <v>2080</v>
      </c>
      <c r="F631" s="4"/>
      <c r="G631" s="7" t="s">
        <v>2081</v>
      </c>
      <c r="H631" s="7" t="s">
        <v>2082</v>
      </c>
      <c r="I631" s="7" t="s">
        <v>1355</v>
      </c>
      <c r="J631" s="7" t="s">
        <v>2083</v>
      </c>
      <c r="K631" s="7" t="s">
        <v>24</v>
      </c>
      <c r="L631" s="7" t="s">
        <v>2084</v>
      </c>
      <c r="M631" s="109">
        <v>4066555149</v>
      </c>
      <c r="N631" s="109">
        <v>385272600</v>
      </c>
      <c r="O631" s="109">
        <v>15000000</v>
      </c>
      <c r="P631" s="110"/>
      <c r="Q631" s="109">
        <f>M631+N631+O631+P631</f>
        <v>4466827749</v>
      </c>
      <c r="R631" s="36">
        <v>4066555149</v>
      </c>
      <c r="S631" s="3">
        <v>385272600</v>
      </c>
      <c r="T631" s="30">
        <v>15000000</v>
      </c>
      <c r="U631" s="5"/>
      <c r="V631" s="5"/>
      <c r="W631" s="28"/>
      <c r="X631" s="28">
        <f>N631-S631</f>
        <v>0</v>
      </c>
      <c r="Y631" s="28">
        <f>O631-T631</f>
        <v>0</v>
      </c>
      <c r="Z631" s="28">
        <f>P631-U631</f>
        <v>0</v>
      </c>
      <c r="AA631" s="4"/>
      <c r="AB631" s="4"/>
      <c r="AC631">
        <f>IF(AB631=G631,1,2)</f>
        <v>2</v>
      </c>
    </row>
    <row r="632" spans="1:30" customFormat="1" ht="46.8" hidden="1" x14ac:dyDescent="0.3">
      <c r="A632" s="7" t="s">
        <v>46</v>
      </c>
      <c r="B632" s="6">
        <v>496</v>
      </c>
      <c r="C632" s="7" t="s">
        <v>2020</v>
      </c>
      <c r="D632" s="7" t="s">
        <v>2098</v>
      </c>
      <c r="E632" s="7"/>
      <c r="F632" s="4"/>
      <c r="G632" s="7" t="s">
        <v>2099</v>
      </c>
      <c r="H632" s="7"/>
      <c r="I632" s="7"/>
      <c r="J632" s="7" t="s">
        <v>1010</v>
      </c>
      <c r="K632" s="7" t="s">
        <v>24</v>
      </c>
      <c r="L632" s="7" t="s">
        <v>2100</v>
      </c>
      <c r="M632" s="109">
        <v>537732800</v>
      </c>
      <c r="N632" s="111"/>
      <c r="O632" s="109">
        <v>7500000</v>
      </c>
      <c r="P632" s="110"/>
      <c r="Q632" s="109">
        <f>M632+N632+O632+P632</f>
        <v>545232800</v>
      </c>
      <c r="R632" s="3">
        <v>537732800</v>
      </c>
      <c r="S632" s="5"/>
      <c r="T632" s="72"/>
      <c r="U632" s="5"/>
      <c r="V632" s="5"/>
      <c r="W632" s="28"/>
      <c r="X632" s="28">
        <f>N632-S632</f>
        <v>0</v>
      </c>
      <c r="Y632" s="36">
        <f>O632-T632</f>
        <v>7500000</v>
      </c>
      <c r="Z632" s="28">
        <f>P632-U632</f>
        <v>0</v>
      </c>
      <c r="AA632" s="4"/>
      <c r="AB632" s="40"/>
      <c r="AC632" s="121">
        <f>IF(AB632=G632,1,2)</f>
        <v>2</v>
      </c>
      <c r="AD632" s="121"/>
    </row>
    <row r="633" spans="1:30" customFormat="1" ht="31.2" hidden="1" x14ac:dyDescent="0.3">
      <c r="A633" s="7" t="s">
        <v>18</v>
      </c>
      <c r="B633" s="6">
        <v>497</v>
      </c>
      <c r="C633" s="7" t="s">
        <v>2020</v>
      </c>
      <c r="D633" s="7" t="s">
        <v>2101</v>
      </c>
      <c r="E633" s="5"/>
      <c r="F633" s="4"/>
      <c r="G633" s="7" t="s">
        <v>2102</v>
      </c>
      <c r="H633" s="5"/>
      <c r="I633" s="5"/>
      <c r="J633" s="7" t="s">
        <v>2103</v>
      </c>
      <c r="K633" s="7" t="s">
        <v>24</v>
      </c>
      <c r="L633" s="7" t="s">
        <v>2104</v>
      </c>
      <c r="M633" s="109">
        <v>642104448</v>
      </c>
      <c r="N633" s="111"/>
      <c r="O633" s="109">
        <v>7500000</v>
      </c>
      <c r="P633" s="110"/>
      <c r="Q633" s="109">
        <f>M633+N633+O633+P633</f>
        <v>649604448</v>
      </c>
      <c r="R633" s="3">
        <v>642104448</v>
      </c>
      <c r="S633" s="5"/>
      <c r="T633" s="30">
        <v>7500000</v>
      </c>
      <c r="U633" s="5"/>
      <c r="V633" s="5"/>
      <c r="W633" s="28"/>
      <c r="X633" s="28">
        <f>N633-S633</f>
        <v>0</v>
      </c>
      <c r="Y633" s="28">
        <f>O633-T633</f>
        <v>0</v>
      </c>
      <c r="Z633" s="28">
        <f>P633-U633</f>
        <v>0</v>
      </c>
      <c r="AA633" s="4"/>
      <c r="AB633" s="4"/>
      <c r="AC633">
        <f>IF(AB633=G633,1,2)</f>
        <v>2</v>
      </c>
    </row>
    <row r="634" spans="1:30" customFormat="1" ht="46.8" hidden="1" x14ac:dyDescent="0.3">
      <c r="A634" s="7" t="s">
        <v>46</v>
      </c>
      <c r="B634" s="6">
        <v>498</v>
      </c>
      <c r="C634" s="7" t="s">
        <v>2020</v>
      </c>
      <c r="D634" s="7" t="s">
        <v>2105</v>
      </c>
      <c r="E634" s="5"/>
      <c r="F634" s="4"/>
      <c r="G634" s="7" t="s">
        <v>2106</v>
      </c>
      <c r="H634" s="5"/>
      <c r="I634" s="5"/>
      <c r="J634" s="7" t="s">
        <v>2107</v>
      </c>
      <c r="K634" s="7" t="s">
        <v>24</v>
      </c>
      <c r="L634" s="7" t="s">
        <v>2108</v>
      </c>
      <c r="M634" s="109">
        <v>3193098044</v>
      </c>
      <c r="N634" s="111"/>
      <c r="O634" s="109">
        <v>15000000</v>
      </c>
      <c r="P634" s="110"/>
      <c r="Q634" s="109">
        <f>M634+N634+O634+P634</f>
        <v>3208098044</v>
      </c>
      <c r="R634" s="3">
        <v>3193098044</v>
      </c>
      <c r="S634" s="5"/>
      <c r="T634" s="30">
        <v>15000000</v>
      </c>
      <c r="U634" s="5"/>
      <c r="V634" s="5"/>
      <c r="W634" s="28"/>
      <c r="X634" s="28">
        <f>N634-S634</f>
        <v>0</v>
      </c>
      <c r="Y634" s="28">
        <f>O634-T634</f>
        <v>0</v>
      </c>
      <c r="Z634" s="28">
        <f>P634-U634</f>
        <v>0</v>
      </c>
      <c r="AA634" s="4"/>
      <c r="AB634" s="4"/>
      <c r="AC634">
        <f>IF(AB634=G634,1,2)</f>
        <v>2</v>
      </c>
    </row>
    <row r="635" spans="1:30" customFormat="1" ht="31.2" hidden="1" x14ac:dyDescent="0.3">
      <c r="A635" s="7" t="s">
        <v>62</v>
      </c>
      <c r="B635" s="6">
        <v>499</v>
      </c>
      <c r="C635" s="7" t="s">
        <v>2020</v>
      </c>
      <c r="D635" s="7" t="s">
        <v>2109</v>
      </c>
      <c r="E635" s="5"/>
      <c r="F635" s="4"/>
      <c r="G635" s="7" t="s">
        <v>2110</v>
      </c>
      <c r="H635" s="5"/>
      <c r="I635" s="5"/>
      <c r="J635" s="7" t="s">
        <v>2111</v>
      </c>
      <c r="K635" s="7" t="s">
        <v>24</v>
      </c>
      <c r="L635" s="7" t="s">
        <v>2112</v>
      </c>
      <c r="M635" s="109">
        <v>1244988472</v>
      </c>
      <c r="N635" s="111"/>
      <c r="O635" s="109">
        <v>7500000</v>
      </c>
      <c r="P635" s="110"/>
      <c r="Q635" s="109">
        <f>M635+N635+O635+P635</f>
        <v>1252488472</v>
      </c>
      <c r="R635" s="3">
        <v>1244988472</v>
      </c>
      <c r="S635" s="5"/>
      <c r="T635" s="30">
        <v>7500000</v>
      </c>
      <c r="U635" s="5"/>
      <c r="V635" s="5"/>
      <c r="W635" s="28"/>
      <c r="X635" s="28">
        <f>N635-S635</f>
        <v>0</v>
      </c>
      <c r="Y635" s="28">
        <f>O635-T635</f>
        <v>0</v>
      </c>
      <c r="Z635" s="28">
        <f>P635-U635</f>
        <v>0</v>
      </c>
      <c r="AA635" s="4"/>
      <c r="AB635" s="4"/>
      <c r="AC635">
        <f>IF(AB635=G635,1,2)</f>
        <v>2</v>
      </c>
    </row>
    <row r="636" spans="1:30" customFormat="1" ht="46.8" hidden="1" x14ac:dyDescent="0.3">
      <c r="A636" s="7" t="s">
        <v>53</v>
      </c>
      <c r="B636" s="6">
        <v>500</v>
      </c>
      <c r="C636" s="7" t="s">
        <v>2020</v>
      </c>
      <c r="D636" s="7" t="s">
        <v>2113</v>
      </c>
      <c r="E636" s="5"/>
      <c r="F636" s="4"/>
      <c r="G636" s="7" t="s">
        <v>2114</v>
      </c>
      <c r="H636" s="5"/>
      <c r="I636" s="5"/>
      <c r="J636" s="7" t="s">
        <v>2115</v>
      </c>
      <c r="K636" s="7" t="s">
        <v>24</v>
      </c>
      <c r="L636" s="7" t="s">
        <v>2116</v>
      </c>
      <c r="M636" s="109">
        <v>2224532404</v>
      </c>
      <c r="N636" s="111"/>
      <c r="O636" s="109">
        <v>15000000</v>
      </c>
      <c r="P636" s="110"/>
      <c r="Q636" s="109">
        <f>M636+N636+O636+P636</f>
        <v>2239532404</v>
      </c>
      <c r="R636" s="3">
        <v>2224532404</v>
      </c>
      <c r="S636" s="5"/>
      <c r="T636" s="30">
        <v>15000000</v>
      </c>
      <c r="U636" s="5"/>
      <c r="V636" s="5"/>
      <c r="W636" s="28"/>
      <c r="X636" s="28">
        <f>N636-S636</f>
        <v>0</v>
      </c>
      <c r="Y636" s="28">
        <f>O636-T636</f>
        <v>0</v>
      </c>
      <c r="Z636" s="28">
        <f>P636-U636</f>
        <v>0</v>
      </c>
      <c r="AA636" s="4"/>
      <c r="AB636" s="4"/>
      <c r="AC636">
        <f>IF(AB636=G636,1,2)</f>
        <v>2</v>
      </c>
    </row>
    <row r="637" spans="1:30" customFormat="1" ht="31.2" hidden="1" x14ac:dyDescent="0.3">
      <c r="A637" s="7" t="s">
        <v>53</v>
      </c>
      <c r="B637" s="6">
        <v>501</v>
      </c>
      <c r="C637" s="7" t="s">
        <v>2020</v>
      </c>
      <c r="D637" s="7" t="s">
        <v>2117</v>
      </c>
      <c r="E637" s="5"/>
      <c r="F637" s="4"/>
      <c r="G637" s="7" t="s">
        <v>2118</v>
      </c>
      <c r="H637" s="5"/>
      <c r="I637" s="5"/>
      <c r="J637" s="7" t="s">
        <v>2119</v>
      </c>
      <c r="K637" s="7" t="s">
        <v>24</v>
      </c>
      <c r="L637" s="7" t="s">
        <v>2120</v>
      </c>
      <c r="M637" s="109">
        <v>3356354008</v>
      </c>
      <c r="N637" s="111"/>
      <c r="O637" s="109">
        <v>15000000</v>
      </c>
      <c r="P637" s="110"/>
      <c r="Q637" s="109">
        <f>M637+N637+O637+P637</f>
        <v>3371354008</v>
      </c>
      <c r="R637" s="3">
        <v>3356354008</v>
      </c>
      <c r="S637" s="5"/>
      <c r="T637" s="30">
        <v>15000000</v>
      </c>
      <c r="U637" s="5"/>
      <c r="V637" s="5"/>
      <c r="W637" s="28"/>
      <c r="X637" s="28">
        <f>N637-S637</f>
        <v>0</v>
      </c>
      <c r="Y637" s="28">
        <f>O637-T637</f>
        <v>0</v>
      </c>
      <c r="Z637" s="28">
        <f>P637-U637</f>
        <v>0</v>
      </c>
      <c r="AA637" s="4"/>
      <c r="AB637" s="4"/>
      <c r="AC637">
        <f>IF(AB637=G637,1,2)</f>
        <v>2</v>
      </c>
    </row>
    <row r="638" spans="1:30" customFormat="1" ht="31.2" hidden="1" x14ac:dyDescent="0.3">
      <c r="A638" s="7" t="s">
        <v>1601</v>
      </c>
      <c r="B638" s="6">
        <v>502</v>
      </c>
      <c r="C638" s="7" t="s">
        <v>2020</v>
      </c>
      <c r="D638" s="7" t="s">
        <v>2121</v>
      </c>
      <c r="E638" s="7" t="s">
        <v>1209</v>
      </c>
      <c r="F638" s="4"/>
      <c r="G638" s="7" t="s">
        <v>2122</v>
      </c>
      <c r="H638" s="7" t="s">
        <v>2123</v>
      </c>
      <c r="I638" s="5"/>
      <c r="J638" s="7" t="s">
        <v>2124</v>
      </c>
      <c r="K638" s="7" t="s">
        <v>24</v>
      </c>
      <c r="L638" s="7" t="s">
        <v>2125</v>
      </c>
      <c r="M638" s="109">
        <v>5266510920</v>
      </c>
      <c r="N638" s="109">
        <v>737485460</v>
      </c>
      <c r="O638" s="109">
        <v>7500000</v>
      </c>
      <c r="P638" s="110"/>
      <c r="Q638" s="109">
        <f>M638+N638+O638+P638</f>
        <v>6011496380</v>
      </c>
      <c r="R638" s="3">
        <v>5266510920</v>
      </c>
      <c r="S638" s="3">
        <v>737485460</v>
      </c>
      <c r="T638" s="30">
        <v>7500000</v>
      </c>
      <c r="U638" s="5"/>
      <c r="V638" s="5"/>
      <c r="W638" s="28"/>
      <c r="X638" s="28">
        <f>N638-S638</f>
        <v>0</v>
      </c>
      <c r="Y638" s="28">
        <f>O638-T638</f>
        <v>0</v>
      </c>
      <c r="Z638" s="28">
        <f>P638-U638</f>
        <v>0</v>
      </c>
      <c r="AA638" s="4"/>
      <c r="AB638" s="4"/>
      <c r="AC638">
        <f>IF(AB638=G638,1,2)</f>
        <v>2</v>
      </c>
    </row>
    <row r="639" spans="1:30" customFormat="1" ht="31.2" hidden="1" x14ac:dyDescent="0.3">
      <c r="A639" s="7" t="s">
        <v>18</v>
      </c>
      <c r="B639" s="6">
        <v>504</v>
      </c>
      <c r="C639" s="7" t="s">
        <v>2020</v>
      </c>
      <c r="D639" s="7" t="s">
        <v>2130</v>
      </c>
      <c r="E639" s="7"/>
      <c r="F639" s="4"/>
      <c r="G639" s="7" t="s">
        <v>2131</v>
      </c>
      <c r="H639" s="7"/>
      <c r="I639" s="7"/>
      <c r="J639" s="7" t="s">
        <v>2132</v>
      </c>
      <c r="K639" s="7" t="s">
        <v>24</v>
      </c>
      <c r="L639" s="7" t="s">
        <v>2133</v>
      </c>
      <c r="M639" s="109">
        <v>754321600</v>
      </c>
      <c r="N639" s="111"/>
      <c r="O639" s="109">
        <v>15000000</v>
      </c>
      <c r="P639" s="110"/>
      <c r="Q639" s="109">
        <f>M639+N639+O639+P639</f>
        <v>769321600</v>
      </c>
      <c r="R639" s="3">
        <v>754321600</v>
      </c>
      <c r="S639" s="5"/>
      <c r="T639" s="72"/>
      <c r="U639" s="5"/>
      <c r="V639" s="5"/>
      <c r="W639" s="28"/>
      <c r="X639" s="28">
        <f>N639-S639</f>
        <v>0</v>
      </c>
      <c r="Y639" s="36">
        <f>O639-T639</f>
        <v>15000000</v>
      </c>
      <c r="Z639" s="28">
        <f>P639-U639</f>
        <v>0</v>
      </c>
      <c r="AA639" s="4"/>
      <c r="AB639" s="40"/>
      <c r="AC639" s="121">
        <f>IF(AB639=G639,1,2)</f>
        <v>2</v>
      </c>
      <c r="AD639" s="121"/>
    </row>
    <row r="640" spans="1:30" customFormat="1" ht="31.2" hidden="1" x14ac:dyDescent="0.3">
      <c r="A640" s="7" t="s">
        <v>1601</v>
      </c>
      <c r="B640" s="6">
        <v>505</v>
      </c>
      <c r="C640" s="7" t="s">
        <v>2020</v>
      </c>
      <c r="D640" s="7" t="s">
        <v>2134</v>
      </c>
      <c r="E640" s="5"/>
      <c r="F640" s="4"/>
      <c r="G640" s="7" t="s">
        <v>2135</v>
      </c>
      <c r="H640" s="5"/>
      <c r="I640" s="5"/>
      <c r="J640" s="7" t="s">
        <v>2136</v>
      </c>
      <c r="K640" s="7" t="s">
        <v>24</v>
      </c>
      <c r="L640" s="7" t="s">
        <v>2137</v>
      </c>
      <c r="M640" s="109">
        <v>1084083840</v>
      </c>
      <c r="N640" s="111"/>
      <c r="O640" s="109">
        <v>7500000</v>
      </c>
      <c r="P640" s="110"/>
      <c r="Q640" s="109">
        <f>M640+N640+O640+P640</f>
        <v>1091583840</v>
      </c>
      <c r="R640" s="3">
        <v>1084083840</v>
      </c>
      <c r="S640" s="5"/>
      <c r="T640" s="30">
        <v>7500000</v>
      </c>
      <c r="U640" s="5"/>
      <c r="V640" s="5"/>
      <c r="W640" s="28"/>
      <c r="X640" s="28">
        <f>N640-S640</f>
        <v>0</v>
      </c>
      <c r="Y640" s="28">
        <f>O640-T640</f>
        <v>0</v>
      </c>
      <c r="Z640" s="28">
        <f>P640-U640</f>
        <v>0</v>
      </c>
      <c r="AA640" s="4"/>
      <c r="AB640" s="4"/>
      <c r="AC640">
        <f>IF(AB640=G640,1,2)</f>
        <v>2</v>
      </c>
    </row>
    <row r="641" spans="1:30" customFormat="1" ht="31.2" hidden="1" x14ac:dyDescent="0.3">
      <c r="A641" s="7" t="s">
        <v>53</v>
      </c>
      <c r="B641" s="6">
        <v>507</v>
      </c>
      <c r="C641" s="7" t="s">
        <v>2020</v>
      </c>
      <c r="D641" s="7" t="s">
        <v>2143</v>
      </c>
      <c r="E641" s="5"/>
      <c r="F641" s="4"/>
      <c r="G641" s="7" t="s">
        <v>2144</v>
      </c>
      <c r="H641" s="5"/>
      <c r="I641" s="5"/>
      <c r="J641" s="7" t="s">
        <v>2145</v>
      </c>
      <c r="K641" s="7" t="s">
        <v>24</v>
      </c>
      <c r="L641" s="7" t="s">
        <v>2146</v>
      </c>
      <c r="M641" s="109">
        <v>4157817700</v>
      </c>
      <c r="N641" s="111"/>
      <c r="O641" s="109">
        <v>15000000</v>
      </c>
      <c r="P641" s="110"/>
      <c r="Q641" s="109">
        <f>M641+N641+O641+P641</f>
        <v>4172817700</v>
      </c>
      <c r="R641" s="3">
        <v>4157817700</v>
      </c>
      <c r="S641" s="5"/>
      <c r="T641" s="30">
        <v>15000000</v>
      </c>
      <c r="U641" s="5"/>
      <c r="V641" s="5"/>
      <c r="W641" s="28"/>
      <c r="X641" s="28">
        <f>N641-S641</f>
        <v>0</v>
      </c>
      <c r="Y641" s="28">
        <f>O641-T641</f>
        <v>0</v>
      </c>
      <c r="Z641" s="28">
        <f>P641-U641</f>
        <v>0</v>
      </c>
      <c r="AA641" s="4"/>
      <c r="AB641" s="4"/>
      <c r="AC641">
        <f>IF(AB641=G641,1,2)</f>
        <v>2</v>
      </c>
    </row>
    <row r="642" spans="1:30" customFormat="1" ht="31.2" hidden="1" x14ac:dyDescent="0.3">
      <c r="A642" s="7" t="s">
        <v>18</v>
      </c>
      <c r="B642" s="6">
        <v>508</v>
      </c>
      <c r="C642" s="7" t="s">
        <v>2020</v>
      </c>
      <c r="D642" s="7" t="s">
        <v>2147</v>
      </c>
      <c r="E642" s="5"/>
      <c r="F642" s="4"/>
      <c r="G642" s="7" t="s">
        <v>2148</v>
      </c>
      <c r="H642" s="5"/>
      <c r="I642" s="5"/>
      <c r="J642" s="7" t="s">
        <v>2149</v>
      </c>
      <c r="K642" s="7" t="s">
        <v>24</v>
      </c>
      <c r="L642" s="7" t="s">
        <v>2150</v>
      </c>
      <c r="M642" s="109">
        <v>2456562500</v>
      </c>
      <c r="N642" s="111"/>
      <c r="O642" s="109">
        <v>15000000</v>
      </c>
      <c r="P642" s="110"/>
      <c r="Q642" s="109">
        <f>M642+N642+O642+P642</f>
        <v>2471562500</v>
      </c>
      <c r="R642" s="3">
        <v>2456562500</v>
      </c>
      <c r="S642" s="5"/>
      <c r="T642" s="30">
        <v>15000000</v>
      </c>
      <c r="U642" s="5"/>
      <c r="V642" s="5"/>
      <c r="W642" s="28"/>
      <c r="X642" s="28">
        <f>N642-S642</f>
        <v>0</v>
      </c>
      <c r="Y642" s="28">
        <f>O642-T642</f>
        <v>0</v>
      </c>
      <c r="Z642" s="28">
        <f>P642-U642</f>
        <v>0</v>
      </c>
      <c r="AA642" s="4"/>
      <c r="AB642" s="4"/>
      <c r="AC642">
        <f>IF(AB642=G642,1,2)</f>
        <v>2</v>
      </c>
    </row>
    <row r="643" spans="1:30" customFormat="1" ht="31.2" hidden="1" x14ac:dyDescent="0.3">
      <c r="A643" s="7" t="s">
        <v>18</v>
      </c>
      <c r="B643" s="6">
        <v>509</v>
      </c>
      <c r="C643" s="7" t="s">
        <v>2020</v>
      </c>
      <c r="D643" s="7" t="s">
        <v>2151</v>
      </c>
      <c r="E643" s="5"/>
      <c r="F643" s="4"/>
      <c r="G643" s="7" t="s">
        <v>2152</v>
      </c>
      <c r="H643" s="5"/>
      <c r="I643" s="5"/>
      <c r="J643" s="7" t="s">
        <v>2153</v>
      </c>
      <c r="K643" s="7" t="s">
        <v>24</v>
      </c>
      <c r="L643" s="7" t="s">
        <v>2154</v>
      </c>
      <c r="M643" s="109">
        <v>6601856928</v>
      </c>
      <c r="N643" s="111"/>
      <c r="O643" s="109">
        <v>7500000</v>
      </c>
      <c r="P643" s="110"/>
      <c r="Q643" s="109">
        <f>M643+N643+O643+P643</f>
        <v>6609356928</v>
      </c>
      <c r="R643" s="3">
        <v>6601856928</v>
      </c>
      <c r="S643" s="5"/>
      <c r="T643" s="30">
        <v>7500000</v>
      </c>
      <c r="U643" s="5"/>
      <c r="V643" s="5"/>
      <c r="W643" s="28"/>
      <c r="X643" s="28">
        <f>N643-S643</f>
        <v>0</v>
      </c>
      <c r="Y643" s="28">
        <f>O643-T643</f>
        <v>0</v>
      </c>
      <c r="Z643" s="28">
        <f>P643-U643</f>
        <v>0</v>
      </c>
      <c r="AA643" s="4"/>
      <c r="AB643" s="4"/>
      <c r="AC643">
        <f>IF(AB643=G643,1,2)</f>
        <v>2</v>
      </c>
    </row>
    <row r="644" spans="1:30" customFormat="1" ht="31.2" hidden="1" x14ac:dyDescent="0.3">
      <c r="A644" s="7" t="s">
        <v>46</v>
      </c>
      <c r="B644" s="6">
        <v>510</v>
      </c>
      <c r="C644" s="7" t="s">
        <v>2020</v>
      </c>
      <c r="D644" s="7" t="s">
        <v>2155</v>
      </c>
      <c r="E644" s="7" t="s">
        <v>2156</v>
      </c>
      <c r="F644" s="4"/>
      <c r="G644" s="7" t="s">
        <v>2157</v>
      </c>
      <c r="H644" s="7" t="s">
        <v>2158</v>
      </c>
      <c r="I644" s="7" t="s">
        <v>28</v>
      </c>
      <c r="J644" s="7" t="s">
        <v>2159</v>
      </c>
      <c r="K644" s="7" t="s">
        <v>24</v>
      </c>
      <c r="L644" s="7" t="s">
        <v>2160</v>
      </c>
      <c r="M644" s="109">
        <v>0</v>
      </c>
      <c r="N644" s="109">
        <v>14059528830</v>
      </c>
      <c r="O644" s="109">
        <v>3750000</v>
      </c>
      <c r="P644" s="110"/>
      <c r="Q644" s="109">
        <f>M644+N644+O644+P644</f>
        <v>14063278830</v>
      </c>
      <c r="R644" s="6">
        <v>0</v>
      </c>
      <c r="S644" s="3">
        <v>14059528830</v>
      </c>
      <c r="T644" s="31">
        <v>3750000</v>
      </c>
      <c r="U644" s="5"/>
      <c r="V644" s="5"/>
      <c r="W644" s="28"/>
      <c r="X644" s="28">
        <f>N644-S644</f>
        <v>0</v>
      </c>
      <c r="Y644" s="28">
        <f>O644-T644</f>
        <v>0</v>
      </c>
      <c r="Z644" s="28">
        <f>P644-U644</f>
        <v>0</v>
      </c>
      <c r="AA644" s="4"/>
      <c r="AB644" s="4"/>
      <c r="AC644">
        <f>IF(AB644=G644,1,2)</f>
        <v>2</v>
      </c>
    </row>
    <row r="645" spans="1:30" customFormat="1" ht="31.2" hidden="1" x14ac:dyDescent="0.3">
      <c r="A645" s="7" t="s">
        <v>1601</v>
      </c>
      <c r="B645" s="6">
        <v>513</v>
      </c>
      <c r="C645" s="7" t="s">
        <v>2020</v>
      </c>
      <c r="D645" s="7" t="s">
        <v>2170</v>
      </c>
      <c r="E645" s="7"/>
      <c r="F645" s="4"/>
      <c r="G645" s="7" t="s">
        <v>2171</v>
      </c>
      <c r="H645" s="7"/>
      <c r="I645" s="7"/>
      <c r="J645" s="7" t="s">
        <v>2172</v>
      </c>
      <c r="K645" s="7" t="s">
        <v>24</v>
      </c>
      <c r="L645" s="7" t="s">
        <v>2173</v>
      </c>
      <c r="M645" s="109">
        <v>8035637053</v>
      </c>
      <c r="N645" s="111"/>
      <c r="O645" s="109">
        <v>15000000</v>
      </c>
      <c r="P645" s="110"/>
      <c r="Q645" s="109">
        <f>M645+N645+O645+P645</f>
        <v>8050637053</v>
      </c>
      <c r="R645" s="5"/>
      <c r="S645" s="5"/>
      <c r="T645" s="72"/>
      <c r="U645" s="5"/>
      <c r="V645" s="5"/>
      <c r="W645" s="28">
        <v>8035637053</v>
      </c>
      <c r="X645" s="28">
        <f>N645-S645</f>
        <v>0</v>
      </c>
      <c r="Y645" s="36">
        <f>O645-T645</f>
        <v>15000000</v>
      </c>
      <c r="Z645" s="28">
        <f>P645-U645</f>
        <v>0</v>
      </c>
      <c r="AA645" s="8">
        <v>8035637053</v>
      </c>
      <c r="AB645" s="40"/>
      <c r="AC645" s="121">
        <f>IF(AB645=G645,1,2)</f>
        <v>2</v>
      </c>
      <c r="AD645" s="121"/>
    </row>
    <row r="646" spans="1:30" customFormat="1" ht="31.2" hidden="1" x14ac:dyDescent="0.3">
      <c r="A646" s="7" t="s">
        <v>18</v>
      </c>
      <c r="B646" s="6">
        <v>514</v>
      </c>
      <c r="C646" s="7" t="s">
        <v>2020</v>
      </c>
      <c r="D646" s="7" t="s">
        <v>2174</v>
      </c>
      <c r="E646" s="5"/>
      <c r="F646" s="4"/>
      <c r="G646" s="7" t="s">
        <v>2175</v>
      </c>
      <c r="H646" s="5"/>
      <c r="I646" s="5"/>
      <c r="J646" s="7" t="s">
        <v>2176</v>
      </c>
      <c r="K646" s="7" t="s">
        <v>24</v>
      </c>
      <c r="L646" s="7" t="s">
        <v>2150</v>
      </c>
      <c r="M646" s="109">
        <v>3779809872</v>
      </c>
      <c r="N646" s="111"/>
      <c r="O646" s="109">
        <v>15000000</v>
      </c>
      <c r="P646" s="110"/>
      <c r="Q646" s="109">
        <f>M646+N646+O646+P646</f>
        <v>3794809872</v>
      </c>
      <c r="R646" s="3">
        <v>3779809872</v>
      </c>
      <c r="S646" s="5"/>
      <c r="T646" s="30">
        <v>15000000</v>
      </c>
      <c r="U646" s="5"/>
      <c r="V646" s="5"/>
      <c r="W646" s="28"/>
      <c r="X646" s="28">
        <f>N646-S646</f>
        <v>0</v>
      </c>
      <c r="Y646" s="28">
        <f>O646-T646</f>
        <v>0</v>
      </c>
      <c r="Z646" s="28">
        <f>P646-U646</f>
        <v>0</v>
      </c>
      <c r="AA646" s="4"/>
      <c r="AB646" s="4"/>
      <c r="AC646">
        <f>IF(AB646=G646,1,2)</f>
        <v>2</v>
      </c>
    </row>
    <row r="647" spans="1:30" customFormat="1" ht="31.2" hidden="1" x14ac:dyDescent="0.3">
      <c r="A647" s="7" t="s">
        <v>62</v>
      </c>
      <c r="B647" s="6">
        <v>515</v>
      </c>
      <c r="C647" s="7" t="s">
        <v>2020</v>
      </c>
      <c r="D647" s="7" t="s">
        <v>2177</v>
      </c>
      <c r="E647" s="7" t="s">
        <v>2178</v>
      </c>
      <c r="F647" s="4"/>
      <c r="G647" s="7" t="s">
        <v>2179</v>
      </c>
      <c r="H647" s="7" t="s">
        <v>2180</v>
      </c>
      <c r="I647" s="5"/>
      <c r="J647" s="7" t="s">
        <v>2181</v>
      </c>
      <c r="K647" s="7" t="s">
        <v>24</v>
      </c>
      <c r="L647" s="7" t="s">
        <v>2182</v>
      </c>
      <c r="M647" s="109">
        <v>8381892826</v>
      </c>
      <c r="N647" s="109">
        <v>2048106900</v>
      </c>
      <c r="O647" s="109">
        <v>15000000</v>
      </c>
      <c r="P647" s="110"/>
      <c r="Q647" s="109">
        <f>M647+N647+O647+P647</f>
        <v>10444999726</v>
      </c>
      <c r="R647" s="3">
        <v>8381892826</v>
      </c>
      <c r="S647" s="3">
        <v>2048106900</v>
      </c>
      <c r="T647" s="30">
        <v>15000000</v>
      </c>
      <c r="U647" s="5"/>
      <c r="V647" s="5"/>
      <c r="W647" s="28"/>
      <c r="X647" s="28">
        <f>N647-S647</f>
        <v>0</v>
      </c>
      <c r="Y647" s="28">
        <f>O647-T647</f>
        <v>0</v>
      </c>
      <c r="Z647" s="28">
        <f>P647-U647</f>
        <v>0</v>
      </c>
      <c r="AA647" s="4"/>
      <c r="AB647" s="4"/>
      <c r="AC647">
        <f>IF(AB647=G647,1,2)</f>
        <v>2</v>
      </c>
    </row>
    <row r="648" spans="1:30" customFormat="1" ht="62.4" hidden="1" customHeight="1" x14ac:dyDescent="0.3">
      <c r="A648" s="7" t="s">
        <v>62</v>
      </c>
      <c r="B648" s="6">
        <v>516</v>
      </c>
      <c r="C648" s="7" t="s">
        <v>2020</v>
      </c>
      <c r="D648" s="7" t="s">
        <v>2183</v>
      </c>
      <c r="E648" s="7" t="s">
        <v>3874</v>
      </c>
      <c r="F648" s="4"/>
      <c r="G648" s="7" t="s">
        <v>2184</v>
      </c>
      <c r="H648" s="7" t="s">
        <v>3902</v>
      </c>
      <c r="I648" s="5"/>
      <c r="J648" s="7" t="s">
        <v>2185</v>
      </c>
      <c r="K648" s="7" t="s">
        <v>24</v>
      </c>
      <c r="L648" s="7" t="s">
        <v>2186</v>
      </c>
      <c r="M648" s="109">
        <v>2219205004</v>
      </c>
      <c r="N648" s="74">
        <v>267226114</v>
      </c>
      <c r="O648" s="109">
        <v>7500000</v>
      </c>
      <c r="P648" s="110"/>
      <c r="Q648" s="109">
        <f>M648+N648+O648+P648</f>
        <v>2493931118</v>
      </c>
      <c r="R648" s="3">
        <v>2219205004</v>
      </c>
      <c r="S648" s="36">
        <v>267226114</v>
      </c>
      <c r="T648" s="30">
        <v>7500000</v>
      </c>
      <c r="U648" s="5"/>
      <c r="V648" s="5"/>
      <c r="W648" s="28"/>
      <c r="X648" s="36">
        <f>N648-S648</f>
        <v>0</v>
      </c>
      <c r="Y648" s="28">
        <f>O648-T648</f>
        <v>0</v>
      </c>
      <c r="Z648" s="28">
        <f>P648-U648</f>
        <v>0</v>
      </c>
      <c r="AA648" s="40"/>
      <c r="AB648" s="40"/>
      <c r="AC648" s="61">
        <f>IF(AB648=G648,1,2)</f>
        <v>2</v>
      </c>
      <c r="AD648" s="61"/>
    </row>
    <row r="649" spans="1:30" customFormat="1" ht="42" hidden="1" customHeight="1" x14ac:dyDescent="0.3">
      <c r="A649" s="7" t="s">
        <v>53</v>
      </c>
      <c r="B649" s="6">
        <v>517</v>
      </c>
      <c r="C649" s="7" t="s">
        <v>2020</v>
      </c>
      <c r="D649" s="7" t="s">
        <v>2187</v>
      </c>
      <c r="E649" s="7" t="s">
        <v>2188</v>
      </c>
      <c r="F649" s="4"/>
      <c r="G649" s="7" t="s">
        <v>2189</v>
      </c>
      <c r="H649" s="7" t="s">
        <v>2190</v>
      </c>
      <c r="I649" s="5"/>
      <c r="J649" s="7" t="s">
        <v>2191</v>
      </c>
      <c r="K649" s="7" t="s">
        <v>24</v>
      </c>
      <c r="L649" s="7" t="s">
        <v>2192</v>
      </c>
      <c r="M649" s="109">
        <v>2003285520</v>
      </c>
      <c r="N649" s="109">
        <v>13015264</v>
      </c>
      <c r="O649" s="109">
        <v>7500000</v>
      </c>
      <c r="P649" s="110"/>
      <c r="Q649" s="109">
        <f>M649+N649+O649+P649</f>
        <v>2023800784</v>
      </c>
      <c r="R649" s="3">
        <v>2003285520</v>
      </c>
      <c r="S649" s="28">
        <v>13015264</v>
      </c>
      <c r="T649" s="30">
        <v>7500000</v>
      </c>
      <c r="U649" s="5"/>
      <c r="V649" s="5"/>
      <c r="W649" s="28"/>
      <c r="X649" s="28">
        <f>N649-S649</f>
        <v>0</v>
      </c>
      <c r="Y649" s="28">
        <f>O649-T649</f>
        <v>0</v>
      </c>
      <c r="Z649" s="28">
        <f>P649-U649</f>
        <v>0</v>
      </c>
      <c r="AA649" s="4"/>
      <c r="AB649" s="4"/>
      <c r="AC649">
        <f>IF(AB649=G649,1,2)</f>
        <v>2</v>
      </c>
    </row>
    <row r="650" spans="1:30" customFormat="1" ht="62.4" hidden="1" customHeight="1" x14ac:dyDescent="0.3">
      <c r="A650" s="7" t="s">
        <v>1601</v>
      </c>
      <c r="B650" s="6">
        <v>519</v>
      </c>
      <c r="C650" s="7" t="s">
        <v>2020</v>
      </c>
      <c r="D650" s="7" t="s">
        <v>2197</v>
      </c>
      <c r="E650" s="5"/>
      <c r="F650" s="4"/>
      <c r="G650" s="7" t="s">
        <v>2198</v>
      </c>
      <c r="H650" s="5"/>
      <c r="I650" s="5"/>
      <c r="J650" s="7" t="s">
        <v>2199</v>
      </c>
      <c r="K650" s="7" t="s">
        <v>24</v>
      </c>
      <c r="L650" s="7" t="s">
        <v>2200</v>
      </c>
      <c r="M650" s="109">
        <v>3246566830</v>
      </c>
      <c r="N650" s="111"/>
      <c r="O650" s="109">
        <v>15000000</v>
      </c>
      <c r="P650" s="110"/>
      <c r="Q650" s="109">
        <f>M650+N650+O650+P650</f>
        <v>3261566830</v>
      </c>
      <c r="R650" s="36">
        <v>3246566830</v>
      </c>
      <c r="S650" s="5"/>
      <c r="T650" s="30">
        <v>15000000</v>
      </c>
      <c r="U650" s="5"/>
      <c r="V650" s="5"/>
      <c r="W650" s="28"/>
      <c r="X650" s="28">
        <f>N650-S650</f>
        <v>0</v>
      </c>
      <c r="Y650" s="28">
        <f>O650-T650</f>
        <v>0</v>
      </c>
      <c r="Z650" s="28">
        <f>P650-U650</f>
        <v>0</v>
      </c>
      <c r="AA650" s="4"/>
      <c r="AB650" s="4"/>
      <c r="AC650">
        <f>IF(AB650=G650,1,2)</f>
        <v>2</v>
      </c>
    </row>
    <row r="651" spans="1:30" customFormat="1" ht="31.2" hidden="1" x14ac:dyDescent="0.3">
      <c r="A651" s="7" t="s">
        <v>18</v>
      </c>
      <c r="B651" s="6">
        <v>520</v>
      </c>
      <c r="C651" s="7" t="s">
        <v>2020</v>
      </c>
      <c r="D651" s="7" t="s">
        <v>2201</v>
      </c>
      <c r="E651" s="5"/>
      <c r="F651" s="4"/>
      <c r="G651" s="7" t="s">
        <v>2202</v>
      </c>
      <c r="H651" s="5"/>
      <c r="I651" s="5"/>
      <c r="J651" s="7" t="s">
        <v>2203</v>
      </c>
      <c r="K651" s="7" t="s">
        <v>24</v>
      </c>
      <c r="L651" s="7" t="s">
        <v>2204</v>
      </c>
      <c r="M651" s="109">
        <v>223729420</v>
      </c>
      <c r="N651" s="111"/>
      <c r="O651" s="109">
        <v>7500000</v>
      </c>
      <c r="P651" s="110"/>
      <c r="Q651" s="109">
        <f>M651+N651+O651+P651</f>
        <v>231229420</v>
      </c>
      <c r="R651" s="9">
        <v>223729420</v>
      </c>
      <c r="S651" s="5"/>
      <c r="T651" s="30">
        <v>7500000</v>
      </c>
      <c r="U651" s="5"/>
      <c r="V651" s="5"/>
      <c r="W651" s="28"/>
      <c r="X651" s="28">
        <f>N651-S651</f>
        <v>0</v>
      </c>
      <c r="Y651" s="28">
        <f>O651-T651</f>
        <v>0</v>
      </c>
      <c r="Z651" s="28">
        <f>P651-U651</f>
        <v>0</v>
      </c>
      <c r="AA651" s="4"/>
      <c r="AB651" s="4"/>
      <c r="AC651">
        <f>IF(AB651=G651,1,2)</f>
        <v>2</v>
      </c>
    </row>
    <row r="652" spans="1:30" customFormat="1" ht="31.2" hidden="1" x14ac:dyDescent="0.3">
      <c r="A652" s="7" t="s">
        <v>18</v>
      </c>
      <c r="B652" s="6">
        <v>521</v>
      </c>
      <c r="C652" s="7" t="s">
        <v>2020</v>
      </c>
      <c r="D652" s="7" t="s">
        <v>2205</v>
      </c>
      <c r="E652" s="5"/>
      <c r="F652" s="4"/>
      <c r="G652" s="7" t="s">
        <v>2206</v>
      </c>
      <c r="H652" s="5"/>
      <c r="I652" s="5"/>
      <c r="J652" s="7" t="s">
        <v>2207</v>
      </c>
      <c r="K652" s="7" t="s">
        <v>24</v>
      </c>
      <c r="L652" s="7" t="s">
        <v>2208</v>
      </c>
      <c r="M652" s="109">
        <v>1285007664</v>
      </c>
      <c r="N652" s="111"/>
      <c r="O652" s="109">
        <v>7500000</v>
      </c>
      <c r="P652" s="110"/>
      <c r="Q652" s="109">
        <f>M652+N652+O652+P652</f>
        <v>1292507664</v>
      </c>
      <c r="R652" s="3">
        <v>1285007664</v>
      </c>
      <c r="S652" s="5"/>
      <c r="T652" s="30">
        <v>7500000</v>
      </c>
      <c r="U652" s="5"/>
      <c r="V652" s="5"/>
      <c r="W652" s="28"/>
      <c r="X652" s="28">
        <f>N652-S652</f>
        <v>0</v>
      </c>
      <c r="Y652" s="28">
        <f>O652-T652</f>
        <v>0</v>
      </c>
      <c r="Z652" s="28">
        <f>P652-U652</f>
        <v>0</v>
      </c>
      <c r="AA652" s="4"/>
      <c r="AB652" s="4"/>
      <c r="AC652">
        <f>IF(AB652=G652,1,2)</f>
        <v>2</v>
      </c>
    </row>
    <row r="653" spans="1:30" customFormat="1" ht="31.2" hidden="1" x14ac:dyDescent="0.3">
      <c r="A653" s="7" t="s">
        <v>1601</v>
      </c>
      <c r="B653" s="6">
        <v>522</v>
      </c>
      <c r="C653" s="7" t="s">
        <v>2020</v>
      </c>
      <c r="D653" s="7" t="s">
        <v>2209</v>
      </c>
      <c r="E653" s="5"/>
      <c r="F653" s="4"/>
      <c r="G653" s="7" t="s">
        <v>2210</v>
      </c>
      <c r="H653" s="5"/>
      <c r="I653" s="5"/>
      <c r="J653" s="7" t="s">
        <v>780</v>
      </c>
      <c r="K653" s="7" t="s">
        <v>24</v>
      </c>
      <c r="L653" s="7" t="s">
        <v>2211</v>
      </c>
      <c r="M653" s="109">
        <v>5627434044</v>
      </c>
      <c r="N653" s="111"/>
      <c r="O653" s="109">
        <v>7500000</v>
      </c>
      <c r="P653" s="110"/>
      <c r="Q653" s="109">
        <f>M653+N653+O653+P653</f>
        <v>5634934044</v>
      </c>
      <c r="R653" s="36">
        <v>5627434044</v>
      </c>
      <c r="S653" s="5"/>
      <c r="T653" s="30">
        <v>7500000</v>
      </c>
      <c r="U653" s="5"/>
      <c r="V653" s="5"/>
      <c r="W653" s="28"/>
      <c r="X653" s="28">
        <f>N653-S653</f>
        <v>0</v>
      </c>
      <c r="Y653" s="28">
        <f>O653-T653</f>
        <v>0</v>
      </c>
      <c r="Z653" s="28">
        <f>P653-U653</f>
        <v>0</v>
      </c>
      <c r="AA653" s="4"/>
      <c r="AB653" s="4"/>
      <c r="AC653">
        <f>IF(AB653=G653,1,2)</f>
        <v>2</v>
      </c>
    </row>
    <row r="654" spans="1:30" customFormat="1" ht="31.2" hidden="1" x14ac:dyDescent="0.3">
      <c r="A654" s="7" t="s">
        <v>18</v>
      </c>
      <c r="B654" s="6">
        <v>523</v>
      </c>
      <c r="C654" s="7" t="s">
        <v>2020</v>
      </c>
      <c r="D654" s="7" t="s">
        <v>2212</v>
      </c>
      <c r="E654" s="5"/>
      <c r="F654" s="4"/>
      <c r="G654" s="7" t="s">
        <v>2213</v>
      </c>
      <c r="H654" s="5"/>
      <c r="I654" s="5"/>
      <c r="J654" s="7" t="s">
        <v>2214</v>
      </c>
      <c r="K654" s="7" t="s">
        <v>24</v>
      </c>
      <c r="L654" s="7" t="s">
        <v>2215</v>
      </c>
      <c r="M654" s="109">
        <v>538201300</v>
      </c>
      <c r="N654" s="111"/>
      <c r="O654" s="109">
        <v>7500000</v>
      </c>
      <c r="P654" s="110"/>
      <c r="Q654" s="109">
        <f>M654+N654+O654+P654</f>
        <v>545701300</v>
      </c>
      <c r="R654" s="3">
        <v>538201300</v>
      </c>
      <c r="S654" s="5"/>
      <c r="T654" s="30">
        <v>7500000</v>
      </c>
      <c r="U654" s="5"/>
      <c r="V654" s="5"/>
      <c r="W654" s="28"/>
      <c r="X654" s="28">
        <f>N654-S654</f>
        <v>0</v>
      </c>
      <c r="Y654" s="28">
        <f>O654-T654</f>
        <v>0</v>
      </c>
      <c r="Z654" s="28">
        <f>P654-U654</f>
        <v>0</v>
      </c>
      <c r="AA654" s="4"/>
      <c r="AB654" s="4"/>
      <c r="AC654">
        <f>IF(AB654=G654,1,2)</f>
        <v>2</v>
      </c>
    </row>
    <row r="655" spans="1:30" customFormat="1" ht="31.2" hidden="1" x14ac:dyDescent="0.3">
      <c r="A655" s="7" t="s">
        <v>53</v>
      </c>
      <c r="B655" s="6">
        <v>524</v>
      </c>
      <c r="C655" s="7" t="s">
        <v>2020</v>
      </c>
      <c r="D655" s="7" t="s">
        <v>2216</v>
      </c>
      <c r="E655" s="7"/>
      <c r="F655" s="4"/>
      <c r="G655" s="7" t="s">
        <v>2217</v>
      </c>
      <c r="H655" s="7"/>
      <c r="I655" s="7"/>
      <c r="J655" s="7" t="s">
        <v>2218</v>
      </c>
      <c r="K655" s="7" t="s">
        <v>24</v>
      </c>
      <c r="L655" s="7" t="s">
        <v>2219</v>
      </c>
      <c r="M655" s="109">
        <v>10000000</v>
      </c>
      <c r="N655" s="111"/>
      <c r="O655" s="109">
        <v>15000000</v>
      </c>
      <c r="P655" s="110"/>
      <c r="Q655" s="109">
        <f>M655+N655+O655+P655</f>
        <v>25000000</v>
      </c>
      <c r="R655" s="5"/>
      <c r="S655" s="5"/>
      <c r="T655" s="72"/>
      <c r="U655" s="5"/>
      <c r="V655" s="5"/>
      <c r="W655" s="28">
        <v>10000000</v>
      </c>
      <c r="X655" s="28">
        <f>N655-S655</f>
        <v>0</v>
      </c>
      <c r="Y655" s="36">
        <f>O655-T655</f>
        <v>15000000</v>
      </c>
      <c r="Z655" s="28">
        <f>P655-U655</f>
        <v>0</v>
      </c>
      <c r="AA655" s="10">
        <v>10000000</v>
      </c>
      <c r="AB655" s="40"/>
      <c r="AC655" s="121">
        <f>IF(AB655=G655,1,2)</f>
        <v>2</v>
      </c>
      <c r="AD655" s="121"/>
    </row>
    <row r="656" spans="1:30" customFormat="1" ht="31.2" hidden="1" x14ac:dyDescent="0.3">
      <c r="A656" s="7" t="s">
        <v>62</v>
      </c>
      <c r="B656" s="6">
        <v>525</v>
      </c>
      <c r="C656" s="7" t="s">
        <v>2020</v>
      </c>
      <c r="D656" s="7" t="s">
        <v>2220</v>
      </c>
      <c r="E656" s="5"/>
      <c r="F656" s="4"/>
      <c r="G656" s="7" t="s">
        <v>2221</v>
      </c>
      <c r="H656" s="5"/>
      <c r="I656" s="5"/>
      <c r="J656" s="7" t="s">
        <v>2222</v>
      </c>
      <c r="K656" s="7" t="s">
        <v>24</v>
      </c>
      <c r="L656" s="7" t="s">
        <v>2223</v>
      </c>
      <c r="M656" s="109">
        <v>4378292398</v>
      </c>
      <c r="N656" s="111"/>
      <c r="O656" s="109">
        <v>15000000</v>
      </c>
      <c r="P656" s="110"/>
      <c r="Q656" s="109">
        <f>M656+N656+O656+P656</f>
        <v>4393292398</v>
      </c>
      <c r="R656" s="3">
        <v>4378292398</v>
      </c>
      <c r="S656" s="5"/>
      <c r="T656" s="30">
        <v>15000000</v>
      </c>
      <c r="U656" s="5"/>
      <c r="V656" s="5"/>
      <c r="W656" s="28"/>
      <c r="X656" s="28">
        <f>N656-S656</f>
        <v>0</v>
      </c>
      <c r="Y656" s="28">
        <f>O656-T656</f>
        <v>0</v>
      </c>
      <c r="Z656" s="28">
        <f>P656-U656</f>
        <v>0</v>
      </c>
      <c r="AA656" s="4"/>
      <c r="AB656" s="4"/>
      <c r="AC656">
        <f>IF(AB656=G656,1,2)</f>
        <v>2</v>
      </c>
    </row>
    <row r="657" spans="1:30" customFormat="1" ht="31.2" hidden="1" x14ac:dyDescent="0.3">
      <c r="A657" s="7" t="s">
        <v>62</v>
      </c>
      <c r="B657" s="6">
        <v>526</v>
      </c>
      <c r="C657" s="7" t="s">
        <v>2020</v>
      </c>
      <c r="D657" s="7" t="s">
        <v>2224</v>
      </c>
      <c r="E657" s="7" t="s">
        <v>2225</v>
      </c>
      <c r="F657" s="4"/>
      <c r="G657" s="7" t="s">
        <v>2226</v>
      </c>
      <c r="H657" s="7" t="s">
        <v>2227</v>
      </c>
      <c r="I657" s="5"/>
      <c r="J657" s="7" t="s">
        <v>2228</v>
      </c>
      <c r="K657" s="7" t="s">
        <v>24</v>
      </c>
      <c r="L657" s="7" t="s">
        <v>2229</v>
      </c>
      <c r="M657" s="109">
        <v>2656684480</v>
      </c>
      <c r="N657" s="109">
        <v>485244740</v>
      </c>
      <c r="O657" s="109">
        <v>15000000</v>
      </c>
      <c r="P657" s="110"/>
      <c r="Q657" s="109">
        <f>M657+N657+O657+P657</f>
        <v>3156929220</v>
      </c>
      <c r="R657" s="3">
        <v>2656684480</v>
      </c>
      <c r="S657" s="3">
        <v>485244740</v>
      </c>
      <c r="T657" s="30">
        <v>15000000</v>
      </c>
      <c r="U657" s="5"/>
      <c r="V657" s="5"/>
      <c r="W657" s="28"/>
      <c r="X657" s="28">
        <f>N657-S657</f>
        <v>0</v>
      </c>
      <c r="Y657" s="28">
        <f>O657-T657</f>
        <v>0</v>
      </c>
      <c r="Z657" s="28">
        <f>P657-U657</f>
        <v>0</v>
      </c>
      <c r="AA657" s="4"/>
      <c r="AB657" s="4"/>
      <c r="AC657">
        <f>IF(AB657=G657,1,2)</f>
        <v>2</v>
      </c>
    </row>
    <row r="658" spans="1:30" customFormat="1" ht="31.2" hidden="1" x14ac:dyDescent="0.3">
      <c r="A658" s="7" t="s">
        <v>62</v>
      </c>
      <c r="B658" s="6">
        <v>527</v>
      </c>
      <c r="C658" s="7" t="s">
        <v>2020</v>
      </c>
      <c r="D658" s="7" t="s">
        <v>2230</v>
      </c>
      <c r="E658" s="5"/>
      <c r="F658" s="4"/>
      <c r="G658" s="7" t="s">
        <v>2231</v>
      </c>
      <c r="H658" s="5"/>
      <c r="I658" s="5"/>
      <c r="J658" s="7" t="s">
        <v>2232</v>
      </c>
      <c r="K658" s="7" t="s">
        <v>24</v>
      </c>
      <c r="L658" s="7" t="s">
        <v>2233</v>
      </c>
      <c r="M658" s="109">
        <v>4868496144</v>
      </c>
      <c r="N658" s="111"/>
      <c r="O658" s="109">
        <v>15000000</v>
      </c>
      <c r="P658" s="110"/>
      <c r="Q658" s="109">
        <f>M658+N658+O658+P658</f>
        <v>4883496144</v>
      </c>
      <c r="R658" s="3">
        <v>4868496144</v>
      </c>
      <c r="S658" s="5"/>
      <c r="T658" s="30">
        <v>15000000</v>
      </c>
      <c r="U658" s="5"/>
      <c r="V658" s="5"/>
      <c r="W658" s="28"/>
      <c r="X658" s="28">
        <f>N658-S658</f>
        <v>0</v>
      </c>
      <c r="Y658" s="28">
        <f>O658-T658</f>
        <v>0</v>
      </c>
      <c r="Z658" s="28">
        <f>P658-U658</f>
        <v>0</v>
      </c>
      <c r="AA658" s="4"/>
      <c r="AB658" s="4"/>
      <c r="AC658">
        <f>IF(AB658=G658,1,2)</f>
        <v>2</v>
      </c>
    </row>
    <row r="659" spans="1:30" customFormat="1" ht="31.2" hidden="1" x14ac:dyDescent="0.3">
      <c r="A659" s="7" t="s">
        <v>1601</v>
      </c>
      <c r="B659" s="6">
        <v>529</v>
      </c>
      <c r="C659" s="7" t="s">
        <v>2020</v>
      </c>
      <c r="D659" s="7" t="s">
        <v>2238</v>
      </c>
      <c r="E659" s="4"/>
      <c r="F659" s="4"/>
      <c r="G659" s="7" t="s">
        <v>2239</v>
      </c>
      <c r="H659" s="5"/>
      <c r="I659" s="5"/>
      <c r="J659" s="7" t="s">
        <v>2240</v>
      </c>
      <c r="K659" s="7" t="s">
        <v>24</v>
      </c>
      <c r="L659" s="7" t="s">
        <v>2241</v>
      </c>
      <c r="M659" s="109">
        <v>4858859695</v>
      </c>
      <c r="N659" s="111"/>
      <c r="O659" s="109">
        <v>15000000</v>
      </c>
      <c r="P659" s="110"/>
      <c r="Q659" s="109">
        <f>M659+N659+O659+P659</f>
        <v>4873859695</v>
      </c>
      <c r="R659" s="36">
        <v>4858859695</v>
      </c>
      <c r="S659" s="5"/>
      <c r="T659" s="30">
        <v>15000000</v>
      </c>
      <c r="U659" s="5"/>
      <c r="V659" s="5"/>
      <c r="W659" s="28"/>
      <c r="X659" s="28">
        <f>N659-S659</f>
        <v>0</v>
      </c>
      <c r="Y659" s="28">
        <f>O659-T659</f>
        <v>0</v>
      </c>
      <c r="Z659" s="28">
        <f>P659-U659</f>
        <v>0</v>
      </c>
      <c r="AA659" s="4"/>
      <c r="AB659" s="4"/>
      <c r="AC659">
        <f>IF(AB659=G659,1,2)</f>
        <v>2</v>
      </c>
    </row>
    <row r="660" spans="1:30" customFormat="1" ht="31.2" hidden="1" x14ac:dyDescent="0.3">
      <c r="A660" s="7" t="s">
        <v>62</v>
      </c>
      <c r="B660" s="6">
        <v>531</v>
      </c>
      <c r="C660" s="7" t="s">
        <v>2020</v>
      </c>
      <c r="D660" s="7" t="s">
        <v>2246</v>
      </c>
      <c r="E660" s="5"/>
      <c r="F660" s="4"/>
      <c r="G660" s="7" t="s">
        <v>2247</v>
      </c>
      <c r="H660" s="5"/>
      <c r="I660" s="5"/>
      <c r="J660" s="7" t="s">
        <v>2248</v>
      </c>
      <c r="K660" s="7" t="s">
        <v>24</v>
      </c>
      <c r="L660" s="7" t="s">
        <v>2249</v>
      </c>
      <c r="M660" s="109">
        <v>31202908807</v>
      </c>
      <c r="N660" s="111"/>
      <c r="O660" s="109">
        <v>15000000</v>
      </c>
      <c r="P660" s="110"/>
      <c r="Q660" s="109">
        <f>M660+N660+O660+P660</f>
        <v>31217908807</v>
      </c>
      <c r="R660" s="3">
        <v>31202908807</v>
      </c>
      <c r="S660" s="5"/>
      <c r="T660" s="30">
        <v>15000000</v>
      </c>
      <c r="U660" s="5"/>
      <c r="V660" s="5"/>
      <c r="W660" s="28"/>
      <c r="X660" s="28">
        <f>N660-S660</f>
        <v>0</v>
      </c>
      <c r="Y660" s="28">
        <f>O660-T660</f>
        <v>0</v>
      </c>
      <c r="Z660" s="28">
        <f>P660-U660</f>
        <v>0</v>
      </c>
      <c r="AA660" s="4"/>
      <c r="AB660" s="4"/>
      <c r="AC660">
        <f>IF(AB660=G660,1,2)</f>
        <v>2</v>
      </c>
    </row>
    <row r="661" spans="1:30" customFormat="1" ht="31.2" hidden="1" x14ac:dyDescent="0.3">
      <c r="A661" s="7" t="s">
        <v>62</v>
      </c>
      <c r="B661" s="6">
        <v>532</v>
      </c>
      <c r="C661" s="7" t="s">
        <v>2250</v>
      </c>
      <c r="D661" s="7" t="s">
        <v>2251</v>
      </c>
      <c r="E661" s="5"/>
      <c r="F661" s="4"/>
      <c r="G661" s="7" t="s">
        <v>2252</v>
      </c>
      <c r="H661" s="5"/>
      <c r="I661" s="7" t="s">
        <v>1707</v>
      </c>
      <c r="J661" s="7" t="s">
        <v>2253</v>
      </c>
      <c r="K661" s="7" t="s">
        <v>24</v>
      </c>
      <c r="L661" s="7" t="s">
        <v>2254</v>
      </c>
      <c r="M661" s="114">
        <v>8812588488</v>
      </c>
      <c r="N661" s="111"/>
      <c r="O661" s="114">
        <v>15000000</v>
      </c>
      <c r="P661" s="110"/>
      <c r="Q661" s="109">
        <f>M661+N661+O661+P661</f>
        <v>8827588488</v>
      </c>
      <c r="R661" s="14">
        <v>8812588488</v>
      </c>
      <c r="S661" s="5"/>
      <c r="T661" s="33">
        <v>15000000</v>
      </c>
      <c r="U661" s="5"/>
      <c r="V661" s="5"/>
      <c r="W661" s="28"/>
      <c r="X661" s="28">
        <f>N661-S661</f>
        <v>0</v>
      </c>
      <c r="Y661" s="28">
        <f>O661-T661</f>
        <v>0</v>
      </c>
      <c r="Z661" s="28">
        <f>P661-U661</f>
        <v>0</v>
      </c>
      <c r="AA661" s="4"/>
      <c r="AB661" s="4"/>
      <c r="AC661">
        <f>IF(AB661=G661,1,2)</f>
        <v>2</v>
      </c>
    </row>
    <row r="662" spans="1:30" customFormat="1" ht="31.2" hidden="1" x14ac:dyDescent="0.3">
      <c r="A662" s="7" t="s">
        <v>1601</v>
      </c>
      <c r="B662" s="6">
        <v>533</v>
      </c>
      <c r="C662" s="7" t="s">
        <v>2250</v>
      </c>
      <c r="D662" s="7" t="s">
        <v>2255</v>
      </c>
      <c r="E662" s="5"/>
      <c r="F662" s="4"/>
      <c r="G662" s="7" t="s">
        <v>2256</v>
      </c>
      <c r="H662" s="5"/>
      <c r="I662" s="7" t="s">
        <v>1707</v>
      </c>
      <c r="J662" s="7" t="s">
        <v>2257</v>
      </c>
      <c r="K662" s="7" t="s">
        <v>24</v>
      </c>
      <c r="L662" s="7" t="s">
        <v>2258</v>
      </c>
      <c r="M662" s="114">
        <v>4149891920</v>
      </c>
      <c r="N662" s="111"/>
      <c r="O662" s="114">
        <v>15000000</v>
      </c>
      <c r="P662" s="110"/>
      <c r="Q662" s="109">
        <f>M662+N662+O662+P662</f>
        <v>4164891920</v>
      </c>
      <c r="R662" s="36">
        <v>4149891920</v>
      </c>
      <c r="S662" s="5"/>
      <c r="T662" s="30">
        <v>15000000</v>
      </c>
      <c r="U662" s="5"/>
      <c r="V662" s="5"/>
      <c r="W662" s="28"/>
      <c r="X662" s="28">
        <f>N662-S662</f>
        <v>0</v>
      </c>
      <c r="Y662" s="28">
        <f>O662-T662</f>
        <v>0</v>
      </c>
      <c r="Z662" s="28">
        <f>P662-U662</f>
        <v>0</v>
      </c>
      <c r="AA662" s="4"/>
      <c r="AB662" s="4"/>
      <c r="AC662">
        <f>IF(AB662=G662,1,2)</f>
        <v>2</v>
      </c>
    </row>
    <row r="663" spans="1:30" customFormat="1" ht="31.2" hidden="1" x14ac:dyDescent="0.4">
      <c r="A663" s="7" t="s">
        <v>46</v>
      </c>
      <c r="B663" s="6">
        <v>534</v>
      </c>
      <c r="C663" s="7" t="s">
        <v>2250</v>
      </c>
      <c r="D663" s="7" t="s">
        <v>2259</v>
      </c>
      <c r="E663" s="7"/>
      <c r="F663" s="4"/>
      <c r="G663" s="7" t="s">
        <v>2260</v>
      </c>
      <c r="H663" s="7"/>
      <c r="I663" s="7" t="s">
        <v>1707</v>
      </c>
      <c r="J663" s="7" t="s">
        <v>2261</v>
      </c>
      <c r="K663" s="7" t="s">
        <v>24</v>
      </c>
      <c r="L663" s="7" t="s">
        <v>2219</v>
      </c>
      <c r="M663" s="114">
        <v>10000000</v>
      </c>
      <c r="N663" s="111"/>
      <c r="O663" s="109">
        <v>7500000</v>
      </c>
      <c r="P663" s="110"/>
      <c r="Q663" s="109">
        <f>M663+N663+O663+P663</f>
        <v>17500000</v>
      </c>
      <c r="R663" s="5"/>
      <c r="S663" s="5"/>
      <c r="T663" s="72"/>
      <c r="U663" s="5"/>
      <c r="V663" s="5"/>
      <c r="W663" s="28">
        <v>10000000</v>
      </c>
      <c r="X663" s="28">
        <f>N663-S663</f>
        <v>0</v>
      </c>
      <c r="Y663" s="36">
        <f>O663-T663</f>
        <v>7500000</v>
      </c>
      <c r="Z663" s="28">
        <f>P663-U663</f>
        <v>0</v>
      </c>
      <c r="AA663" s="16">
        <v>10000000</v>
      </c>
      <c r="AB663" s="40"/>
      <c r="AC663" s="121">
        <f>IF(AB663=G663,1,2)</f>
        <v>2</v>
      </c>
      <c r="AD663" s="121"/>
    </row>
    <row r="664" spans="1:30" customFormat="1" ht="78" hidden="1" customHeight="1" x14ac:dyDescent="0.3">
      <c r="A664" s="7" t="s">
        <v>46</v>
      </c>
      <c r="B664" s="6">
        <v>535</v>
      </c>
      <c r="C664" s="7" t="s">
        <v>2250</v>
      </c>
      <c r="D664" s="7" t="s">
        <v>2262</v>
      </c>
      <c r="E664" s="7" t="s">
        <v>2188</v>
      </c>
      <c r="F664" s="4"/>
      <c r="G664" s="7" t="s">
        <v>2263</v>
      </c>
      <c r="H664" s="7" t="s">
        <v>2264</v>
      </c>
      <c r="I664" s="7" t="s">
        <v>1707</v>
      </c>
      <c r="J664" s="7" t="s">
        <v>2265</v>
      </c>
      <c r="K664" s="7" t="s">
        <v>24</v>
      </c>
      <c r="L664" s="7" t="s">
        <v>2266</v>
      </c>
      <c r="M664" s="114">
        <v>1379679648</v>
      </c>
      <c r="N664" s="109">
        <v>3820831</v>
      </c>
      <c r="O664" s="114">
        <v>7500000</v>
      </c>
      <c r="P664" s="110"/>
      <c r="Q664" s="109">
        <f>M664+N664+O664+P664</f>
        <v>1391000479</v>
      </c>
      <c r="R664" s="14">
        <v>1379679648</v>
      </c>
      <c r="S664" s="3">
        <v>3820831</v>
      </c>
      <c r="T664" s="30">
        <v>7500000</v>
      </c>
      <c r="U664" s="5"/>
      <c r="V664" s="5"/>
      <c r="W664" s="28"/>
      <c r="X664" s="28">
        <f>N664-S664</f>
        <v>0</v>
      </c>
      <c r="Y664" s="28">
        <f>O664-T664</f>
        <v>0</v>
      </c>
      <c r="Z664" s="28">
        <f>P664-U664</f>
        <v>0</v>
      </c>
      <c r="AA664" s="4"/>
      <c r="AB664" s="4"/>
      <c r="AC664">
        <f>IF(AB664=G664,1,2)</f>
        <v>2</v>
      </c>
    </row>
    <row r="665" spans="1:30" customFormat="1" ht="31.2" hidden="1" x14ac:dyDescent="0.3">
      <c r="A665" s="7" t="s">
        <v>46</v>
      </c>
      <c r="B665" s="6">
        <v>536</v>
      </c>
      <c r="C665" s="7" t="s">
        <v>2250</v>
      </c>
      <c r="D665" s="7" t="s">
        <v>2267</v>
      </c>
      <c r="E665" s="7" t="s">
        <v>2268</v>
      </c>
      <c r="F665" s="4"/>
      <c r="G665" s="7" t="s">
        <v>2269</v>
      </c>
      <c r="H665" s="7" t="s">
        <v>2270</v>
      </c>
      <c r="I665" s="7" t="s">
        <v>1707</v>
      </c>
      <c r="J665" s="7" t="s">
        <v>2271</v>
      </c>
      <c r="K665" s="7" t="s">
        <v>24</v>
      </c>
      <c r="L665" s="7" t="s">
        <v>2272</v>
      </c>
      <c r="M665" s="109">
        <v>5979511743</v>
      </c>
      <c r="N665" s="109">
        <v>745875</v>
      </c>
      <c r="O665" s="114">
        <v>7500000</v>
      </c>
      <c r="P665" s="110"/>
      <c r="Q665" s="109">
        <f>M665+N665+O665+P665</f>
        <v>5987757618</v>
      </c>
      <c r="R665" s="14">
        <v>5979511743</v>
      </c>
      <c r="S665" s="7"/>
      <c r="T665" s="30">
        <v>7500000</v>
      </c>
      <c r="U665" s="5"/>
      <c r="V665" s="5"/>
      <c r="W665" s="28"/>
      <c r="X665" s="36">
        <f>N665-S665</f>
        <v>745875</v>
      </c>
      <c r="Y665" s="28">
        <f>O665-T665</f>
        <v>0</v>
      </c>
      <c r="Z665" s="28">
        <f>P665-U665</f>
        <v>0</v>
      </c>
      <c r="AA665" s="40"/>
      <c r="AB665" s="40"/>
      <c r="AC665" s="61">
        <f>IF(AB665=G665,1,2)</f>
        <v>2</v>
      </c>
      <c r="AD665" s="61"/>
    </row>
    <row r="666" spans="1:30" customFormat="1" ht="31.2" hidden="1" x14ac:dyDescent="0.3">
      <c r="A666" s="7" t="s">
        <v>62</v>
      </c>
      <c r="B666" s="6">
        <v>537</v>
      </c>
      <c r="C666" s="7" t="s">
        <v>2250</v>
      </c>
      <c r="D666" s="7" t="s">
        <v>2273</v>
      </c>
      <c r="E666" s="5"/>
      <c r="F666" s="4"/>
      <c r="G666" s="7" t="s">
        <v>2274</v>
      </c>
      <c r="H666" s="5"/>
      <c r="I666" s="7" t="s">
        <v>1707</v>
      </c>
      <c r="J666" s="7" t="s">
        <v>2275</v>
      </c>
      <c r="K666" s="7" t="s">
        <v>24</v>
      </c>
      <c r="L666" s="7" t="s">
        <v>2276</v>
      </c>
      <c r="M666" s="114">
        <v>5710253116</v>
      </c>
      <c r="N666" s="111"/>
      <c r="O666" s="114">
        <v>15000000</v>
      </c>
      <c r="P666" s="110"/>
      <c r="Q666" s="109">
        <f>M666+N666+O666+P666</f>
        <v>5725253116</v>
      </c>
      <c r="R666" s="14">
        <v>5710253116</v>
      </c>
      <c r="S666" s="5"/>
      <c r="T666" s="33">
        <v>15000000</v>
      </c>
      <c r="U666" s="5"/>
      <c r="V666" s="5"/>
      <c r="W666" s="28"/>
      <c r="X666" s="28">
        <f>N666-S666</f>
        <v>0</v>
      </c>
      <c r="Y666" s="28">
        <f>O666-T666</f>
        <v>0</v>
      </c>
      <c r="Z666" s="28">
        <f>P666-U666</f>
        <v>0</v>
      </c>
      <c r="AA666" s="4"/>
      <c r="AB666" s="4"/>
      <c r="AC666">
        <f>IF(AB666=G666,1,2)</f>
        <v>2</v>
      </c>
    </row>
    <row r="667" spans="1:30" customFormat="1" ht="31.2" hidden="1" x14ac:dyDescent="0.3">
      <c r="A667" s="7" t="s">
        <v>1601</v>
      </c>
      <c r="B667" s="6">
        <v>538</v>
      </c>
      <c r="C667" s="7" t="s">
        <v>2250</v>
      </c>
      <c r="D667" s="7" t="s">
        <v>2277</v>
      </c>
      <c r="E667" s="7"/>
      <c r="F667" s="4"/>
      <c r="G667" s="7" t="s">
        <v>2278</v>
      </c>
      <c r="H667" s="7"/>
      <c r="I667" s="7"/>
      <c r="J667" s="7" t="s">
        <v>1708</v>
      </c>
      <c r="K667" s="7" t="s">
        <v>24</v>
      </c>
      <c r="L667" s="7" t="s">
        <v>2279</v>
      </c>
      <c r="M667" s="114">
        <v>1184198060</v>
      </c>
      <c r="N667" s="111"/>
      <c r="O667" s="109">
        <v>7500000</v>
      </c>
      <c r="P667" s="110"/>
      <c r="Q667" s="109">
        <f>M667+N667+O667+P667</f>
        <v>1191698060</v>
      </c>
      <c r="R667" s="36">
        <v>1184198060</v>
      </c>
      <c r="S667" s="5"/>
      <c r="T667" s="72"/>
      <c r="U667" s="5"/>
      <c r="V667" s="5"/>
      <c r="W667" s="28"/>
      <c r="X667" s="28">
        <f>N667-S667</f>
        <v>0</v>
      </c>
      <c r="Y667" s="36">
        <f>O667-T667</f>
        <v>7500000</v>
      </c>
      <c r="Z667" s="28">
        <f>P667-U667</f>
        <v>0</v>
      </c>
      <c r="AA667" s="4"/>
      <c r="AB667" s="40"/>
      <c r="AC667" s="121">
        <f>IF(AB667=G667,1,2)</f>
        <v>2</v>
      </c>
      <c r="AD667" s="121"/>
    </row>
    <row r="668" spans="1:30" customFormat="1" ht="31.2" hidden="1" x14ac:dyDescent="0.3">
      <c r="A668" s="7" t="s">
        <v>1601</v>
      </c>
      <c r="B668" s="6">
        <v>539</v>
      </c>
      <c r="C668" s="7" t="s">
        <v>2250</v>
      </c>
      <c r="D668" s="7" t="s">
        <v>2280</v>
      </c>
      <c r="E668" s="5"/>
      <c r="F668" s="4"/>
      <c r="G668" s="7" t="s">
        <v>2281</v>
      </c>
      <c r="H668" s="5"/>
      <c r="I668" s="7" t="s">
        <v>1707</v>
      </c>
      <c r="J668" s="7" t="s">
        <v>2282</v>
      </c>
      <c r="K668" s="7" t="s">
        <v>24</v>
      </c>
      <c r="L668" s="7" t="s">
        <v>2283</v>
      </c>
      <c r="M668" s="114">
        <v>124624714</v>
      </c>
      <c r="N668" s="111"/>
      <c r="O668" s="114">
        <v>7500000</v>
      </c>
      <c r="P668" s="110"/>
      <c r="Q668" s="109">
        <f>M668+N668+O668+P668</f>
        <v>132124714</v>
      </c>
      <c r="R668" s="36">
        <v>124624714</v>
      </c>
      <c r="S668" s="5"/>
      <c r="T668" s="30">
        <v>7500000</v>
      </c>
      <c r="U668" s="5"/>
      <c r="V668" s="5"/>
      <c r="W668" s="28"/>
      <c r="X668" s="28">
        <f>N668-S668</f>
        <v>0</v>
      </c>
      <c r="Y668" s="28">
        <f>O668-T668</f>
        <v>0</v>
      </c>
      <c r="Z668" s="28">
        <f>P668-U668</f>
        <v>0</v>
      </c>
      <c r="AA668" s="4"/>
      <c r="AB668" s="4"/>
      <c r="AC668">
        <f>IF(AB668=G668,1,2)</f>
        <v>2</v>
      </c>
    </row>
    <row r="669" spans="1:30" customFormat="1" ht="31.2" hidden="1" x14ac:dyDescent="0.3">
      <c r="A669" s="7" t="s">
        <v>46</v>
      </c>
      <c r="B669" s="6">
        <v>540</v>
      </c>
      <c r="C669" s="7" t="s">
        <v>2250</v>
      </c>
      <c r="D669" s="7" t="s">
        <v>2284</v>
      </c>
      <c r="E669" s="7" t="s">
        <v>2285</v>
      </c>
      <c r="F669" s="4"/>
      <c r="G669" s="7" t="s">
        <v>2286</v>
      </c>
      <c r="H669" s="7" t="s">
        <v>2287</v>
      </c>
      <c r="I669" s="7" t="s">
        <v>1707</v>
      </c>
      <c r="J669" s="21" t="s">
        <v>2288</v>
      </c>
      <c r="K669" s="7" t="s">
        <v>24</v>
      </c>
      <c r="L669" s="7" t="s">
        <v>2289</v>
      </c>
      <c r="M669" s="114">
        <v>11205643442</v>
      </c>
      <c r="N669" s="114">
        <v>412168376</v>
      </c>
      <c r="O669" s="114">
        <v>15000000</v>
      </c>
      <c r="P669" s="110"/>
      <c r="Q669" s="109">
        <f>M669+N669+O669+P669</f>
        <v>11632811818</v>
      </c>
      <c r="R669" s="14">
        <v>11205643442</v>
      </c>
      <c r="S669" s="14">
        <v>412168376</v>
      </c>
      <c r="T669" s="30">
        <v>15000000</v>
      </c>
      <c r="U669" s="5"/>
      <c r="V669" s="5"/>
      <c r="W669" s="28"/>
      <c r="X669" s="28">
        <f>N669-S669</f>
        <v>0</v>
      </c>
      <c r="Y669" s="28">
        <f>O669-T669</f>
        <v>0</v>
      </c>
      <c r="Z669" s="28">
        <f>P669-U669</f>
        <v>0</v>
      </c>
      <c r="AA669" s="4"/>
      <c r="AB669" s="4"/>
      <c r="AC669">
        <f>IF(AB669=G669,1,2)</f>
        <v>2</v>
      </c>
    </row>
    <row r="670" spans="1:30" customFormat="1" ht="42" hidden="1" x14ac:dyDescent="0.3">
      <c r="A670" s="7" t="s">
        <v>2290</v>
      </c>
      <c r="B670" s="6">
        <v>541</v>
      </c>
      <c r="C670" s="7" t="s">
        <v>2250</v>
      </c>
      <c r="D670" s="7" t="s">
        <v>2291</v>
      </c>
      <c r="E670" s="7" t="s">
        <v>1106</v>
      </c>
      <c r="F670" s="4"/>
      <c r="G670" s="7" t="s">
        <v>2292</v>
      </c>
      <c r="H670" s="7" t="s">
        <v>251</v>
      </c>
      <c r="I670" s="5"/>
      <c r="J670" s="21" t="s">
        <v>2293</v>
      </c>
      <c r="K670" s="7" t="s">
        <v>24</v>
      </c>
      <c r="L670" s="7" t="s">
        <v>2294</v>
      </c>
      <c r="M670" s="114">
        <v>3903175140</v>
      </c>
      <c r="N670" s="114">
        <v>752143200</v>
      </c>
      <c r="O670" s="114">
        <v>7500000</v>
      </c>
      <c r="P670" s="110"/>
      <c r="Q670" s="109">
        <f>M670+N670+O670+P670</f>
        <v>4662818340</v>
      </c>
      <c r="R670" s="14">
        <v>3903175140</v>
      </c>
      <c r="S670" s="14">
        <v>752143200</v>
      </c>
      <c r="T670" s="30">
        <v>7500000</v>
      </c>
      <c r="U670" s="5"/>
      <c r="V670" s="5"/>
      <c r="W670" s="28"/>
      <c r="X670" s="28">
        <f>N670-S670</f>
        <v>0</v>
      </c>
      <c r="Y670" s="28">
        <f>O670-T670</f>
        <v>0</v>
      </c>
      <c r="Z670" s="28">
        <f>P670-U670</f>
        <v>0</v>
      </c>
      <c r="AA670" s="4"/>
      <c r="AB670" s="4"/>
      <c r="AC670">
        <f>IF(AB670=G670,1,2)</f>
        <v>2</v>
      </c>
    </row>
    <row r="671" spans="1:30" customFormat="1" ht="31.2" hidden="1" x14ac:dyDescent="0.3">
      <c r="A671" s="7" t="s">
        <v>18</v>
      </c>
      <c r="B671" s="6">
        <v>542</v>
      </c>
      <c r="C671" s="7" t="s">
        <v>2250</v>
      </c>
      <c r="D671" s="7" t="s">
        <v>2295</v>
      </c>
      <c r="E671" s="7"/>
      <c r="F671" s="4"/>
      <c r="G671" s="7" t="s">
        <v>2296</v>
      </c>
      <c r="H671" s="7"/>
      <c r="I671" s="7"/>
      <c r="J671" s="7" t="s">
        <v>2297</v>
      </c>
      <c r="K671" s="7" t="s">
        <v>24</v>
      </c>
      <c r="L671" s="7" t="s">
        <v>2298</v>
      </c>
      <c r="M671" s="114">
        <v>32247210000</v>
      </c>
      <c r="N671" s="111"/>
      <c r="O671" s="109">
        <v>15000000</v>
      </c>
      <c r="P671" s="110"/>
      <c r="Q671" s="109">
        <f>M671+N671+O671+P671</f>
        <v>32262210000</v>
      </c>
      <c r="R671" s="14">
        <v>32247210000</v>
      </c>
      <c r="S671" s="5"/>
      <c r="T671" s="72"/>
      <c r="U671" s="5"/>
      <c r="V671" s="5"/>
      <c r="W671" s="28"/>
      <c r="X671" s="28">
        <f>N671-S671</f>
        <v>0</v>
      </c>
      <c r="Y671" s="36">
        <f>O671-T671</f>
        <v>15000000</v>
      </c>
      <c r="Z671" s="28">
        <f>P671-U671</f>
        <v>0</v>
      </c>
      <c r="AA671" s="4"/>
      <c r="AB671" s="40"/>
      <c r="AC671" s="121">
        <f>IF(AB671=G671,1,2)</f>
        <v>2</v>
      </c>
      <c r="AD671" s="121"/>
    </row>
    <row r="672" spans="1:30" customFormat="1" ht="31.2" hidden="1" x14ac:dyDescent="0.3">
      <c r="A672" s="7" t="s">
        <v>46</v>
      </c>
      <c r="B672" s="6">
        <v>545</v>
      </c>
      <c r="C672" s="7" t="s">
        <v>2250</v>
      </c>
      <c r="D672" s="7" t="s">
        <v>2307</v>
      </c>
      <c r="E672" s="5"/>
      <c r="F672" s="4"/>
      <c r="G672" s="7" t="s">
        <v>2308</v>
      </c>
      <c r="H672" s="5"/>
      <c r="I672" s="7" t="s">
        <v>1707</v>
      </c>
      <c r="J672" s="21" t="s">
        <v>2309</v>
      </c>
      <c r="K672" s="7" t="s">
        <v>24</v>
      </c>
      <c r="L672" s="7" t="s">
        <v>2112</v>
      </c>
      <c r="M672" s="114">
        <v>4323287659</v>
      </c>
      <c r="N672" s="111"/>
      <c r="O672" s="114">
        <v>7500000</v>
      </c>
      <c r="P672" s="110"/>
      <c r="Q672" s="109">
        <f>M672+N672+O672+P672</f>
        <v>4330787659</v>
      </c>
      <c r="R672" s="14">
        <v>4323287659</v>
      </c>
      <c r="S672" s="5"/>
      <c r="T672" s="30">
        <v>7500000</v>
      </c>
      <c r="U672" s="5"/>
      <c r="V672" s="5"/>
      <c r="W672" s="28"/>
      <c r="X672" s="28">
        <f>N672-S672</f>
        <v>0</v>
      </c>
      <c r="Y672" s="28">
        <f>O672-T672</f>
        <v>0</v>
      </c>
      <c r="Z672" s="28">
        <f>P672-U672</f>
        <v>0</v>
      </c>
      <c r="AA672" s="4"/>
      <c r="AB672" s="4"/>
      <c r="AC672">
        <f>IF(AB672=G672,1,2)</f>
        <v>2</v>
      </c>
    </row>
    <row r="673" spans="1:30" customFormat="1" ht="31.2" hidden="1" x14ac:dyDescent="0.3">
      <c r="A673" s="7" t="s">
        <v>46</v>
      </c>
      <c r="B673" s="6">
        <v>547</v>
      </c>
      <c r="C673" s="7" t="s">
        <v>2250</v>
      </c>
      <c r="D673" s="7" t="s">
        <v>2314</v>
      </c>
      <c r="E673" s="5"/>
      <c r="F673" s="4"/>
      <c r="G673" s="7" t="s">
        <v>2315</v>
      </c>
      <c r="H673" s="5"/>
      <c r="I673" s="7" t="s">
        <v>1707</v>
      </c>
      <c r="J673" s="21" t="s">
        <v>2316</v>
      </c>
      <c r="K673" s="7" t="s">
        <v>24</v>
      </c>
      <c r="L673" s="7" t="s">
        <v>2317</v>
      </c>
      <c r="M673" s="114">
        <v>2859676109</v>
      </c>
      <c r="N673" s="111"/>
      <c r="O673" s="114">
        <v>7500000</v>
      </c>
      <c r="P673" s="110"/>
      <c r="Q673" s="109">
        <f>M673+N673+O673+P673</f>
        <v>2867176109</v>
      </c>
      <c r="R673" s="14">
        <v>2859676109</v>
      </c>
      <c r="S673" s="5"/>
      <c r="T673" s="33">
        <v>7500000</v>
      </c>
      <c r="U673" s="5"/>
      <c r="V673" s="5"/>
      <c r="W673" s="28"/>
      <c r="X673" s="28">
        <f>N673-S673</f>
        <v>0</v>
      </c>
      <c r="Y673" s="28">
        <f>O673-T673</f>
        <v>0</v>
      </c>
      <c r="Z673" s="28">
        <f>P673-U673</f>
        <v>0</v>
      </c>
      <c r="AA673" s="4"/>
      <c r="AB673" s="4"/>
      <c r="AC673">
        <f>IF(AB673=G673,1,2)</f>
        <v>2</v>
      </c>
    </row>
    <row r="674" spans="1:30" customFormat="1" ht="105" hidden="1" x14ac:dyDescent="0.3">
      <c r="A674" s="7" t="s">
        <v>46</v>
      </c>
      <c r="B674" s="6">
        <v>549</v>
      </c>
      <c r="C674" s="7" t="s">
        <v>2323</v>
      </c>
      <c r="D674" s="7" t="s">
        <v>2324</v>
      </c>
      <c r="E674" s="7" t="s">
        <v>2325</v>
      </c>
      <c r="F674" s="4"/>
      <c r="G674" s="7" t="s">
        <v>2326</v>
      </c>
      <c r="H674" s="7" t="s">
        <v>2327</v>
      </c>
      <c r="I674" s="5"/>
      <c r="J674" s="21" t="s">
        <v>2328</v>
      </c>
      <c r="K674" s="7" t="s">
        <v>24</v>
      </c>
      <c r="L674" s="7" t="s">
        <v>2329</v>
      </c>
      <c r="M674" s="114">
        <v>3029579080</v>
      </c>
      <c r="N674" s="114">
        <v>1093270920</v>
      </c>
      <c r="O674" s="114">
        <v>15000000</v>
      </c>
      <c r="P674" s="110"/>
      <c r="Q674" s="109">
        <f>M674+N674+O674+P674</f>
        <v>4137850000</v>
      </c>
      <c r="R674" s="14">
        <v>3029579080</v>
      </c>
      <c r="S674" s="14">
        <v>1093270920</v>
      </c>
      <c r="T674" s="33">
        <v>15000000</v>
      </c>
      <c r="U674" s="5"/>
      <c r="V674" s="5"/>
      <c r="W674" s="28"/>
      <c r="X674" s="28">
        <f>N674-S674</f>
        <v>0</v>
      </c>
      <c r="Y674" s="28">
        <f>O674-T674</f>
        <v>0</v>
      </c>
      <c r="Z674" s="28">
        <f>P674-U674</f>
        <v>0</v>
      </c>
      <c r="AA674" s="4"/>
      <c r="AB674" s="4"/>
      <c r="AC674">
        <f>IF(AB674=G674,1,2)</f>
        <v>2</v>
      </c>
    </row>
    <row r="675" spans="1:30" customFormat="1" ht="31.2" hidden="1" x14ac:dyDescent="0.3">
      <c r="A675" s="7" t="s">
        <v>2290</v>
      </c>
      <c r="B675" s="6">
        <v>550</v>
      </c>
      <c r="C675" s="7" t="s">
        <v>2323</v>
      </c>
      <c r="D675" s="7" t="s">
        <v>2330</v>
      </c>
      <c r="E675" s="5"/>
      <c r="F675" s="4"/>
      <c r="G675" s="7" t="s">
        <v>2331</v>
      </c>
      <c r="H675" s="5"/>
      <c r="I675" s="5"/>
      <c r="J675" s="21" t="s">
        <v>2332</v>
      </c>
      <c r="K675" s="7" t="s">
        <v>24</v>
      </c>
      <c r="L675" s="7" t="s">
        <v>2333</v>
      </c>
      <c r="M675" s="114">
        <v>3126839264</v>
      </c>
      <c r="N675" s="111"/>
      <c r="O675" s="114">
        <v>15000000</v>
      </c>
      <c r="P675" s="110"/>
      <c r="Q675" s="109">
        <f>M675+N675+O675+P675</f>
        <v>3141839264</v>
      </c>
      <c r="R675" s="14">
        <v>3126839264</v>
      </c>
      <c r="S675" s="5"/>
      <c r="T675" s="33">
        <v>15000000</v>
      </c>
      <c r="U675" s="5"/>
      <c r="V675" s="5"/>
      <c r="W675" s="28"/>
      <c r="X675" s="28">
        <f>N675-S675</f>
        <v>0</v>
      </c>
      <c r="Y675" s="28">
        <f>O675-T675</f>
        <v>0</v>
      </c>
      <c r="Z675" s="28">
        <f>P675-U675</f>
        <v>0</v>
      </c>
      <c r="AA675" s="4"/>
      <c r="AB675" s="4"/>
      <c r="AC675">
        <f>IF(AB675=G675,1,2)</f>
        <v>2</v>
      </c>
    </row>
    <row r="676" spans="1:30" customFormat="1" ht="42" hidden="1" x14ac:dyDescent="0.3">
      <c r="A676" s="7" t="s">
        <v>2290</v>
      </c>
      <c r="B676" s="6">
        <v>551</v>
      </c>
      <c r="C676" s="7" t="s">
        <v>2323</v>
      </c>
      <c r="D676" s="7" t="s">
        <v>2334</v>
      </c>
      <c r="E676" s="5"/>
      <c r="F676" s="4"/>
      <c r="G676" s="7" t="s">
        <v>2335</v>
      </c>
      <c r="H676" s="5"/>
      <c r="I676" s="5"/>
      <c r="J676" s="21" t="s">
        <v>2336</v>
      </c>
      <c r="K676" s="7" t="s">
        <v>24</v>
      </c>
      <c r="L676" s="7" t="s">
        <v>2337</v>
      </c>
      <c r="M676" s="114">
        <v>4445642144</v>
      </c>
      <c r="N676" s="111"/>
      <c r="O676" s="114">
        <v>15000000</v>
      </c>
      <c r="P676" s="110"/>
      <c r="Q676" s="109">
        <f>M676+N676+O676+P676</f>
        <v>4460642144</v>
      </c>
      <c r="R676" s="14">
        <v>4445642144</v>
      </c>
      <c r="S676" s="5"/>
      <c r="T676" s="33">
        <v>15000000</v>
      </c>
      <c r="U676" s="5"/>
      <c r="V676" s="5"/>
      <c r="W676" s="28"/>
      <c r="X676" s="28">
        <f>N676-S676</f>
        <v>0</v>
      </c>
      <c r="Y676" s="28">
        <f>O676-T676</f>
        <v>0</v>
      </c>
      <c r="Z676" s="28">
        <f>P676-U676</f>
        <v>0</v>
      </c>
      <c r="AA676" s="4"/>
      <c r="AB676" s="4"/>
      <c r="AC676">
        <f>IF(AB676=G676,1,2)</f>
        <v>2</v>
      </c>
    </row>
    <row r="677" spans="1:30" customFormat="1" ht="147" hidden="1" customHeight="1" x14ac:dyDescent="0.3">
      <c r="A677" s="7" t="s">
        <v>46</v>
      </c>
      <c r="B677" s="6">
        <v>552</v>
      </c>
      <c r="C677" s="7" t="s">
        <v>2323</v>
      </c>
      <c r="D677" s="7" t="s">
        <v>2338</v>
      </c>
      <c r="E677" s="5"/>
      <c r="F677" s="4"/>
      <c r="G677" s="7" t="s">
        <v>2339</v>
      </c>
      <c r="H677" s="5"/>
      <c r="I677" s="5"/>
      <c r="J677" s="21" t="s">
        <v>2340</v>
      </c>
      <c r="K677" s="7" t="s">
        <v>24</v>
      </c>
      <c r="L677" s="7" t="s">
        <v>2341</v>
      </c>
      <c r="M677" s="114">
        <v>1583134434</v>
      </c>
      <c r="N677" s="111"/>
      <c r="O677" s="114">
        <v>7500000</v>
      </c>
      <c r="P677" s="110"/>
      <c r="Q677" s="109">
        <f>M677+N677+O677+P677</f>
        <v>1590634434</v>
      </c>
      <c r="R677" s="14">
        <v>1583134434</v>
      </c>
      <c r="S677" s="5"/>
      <c r="T677" s="30">
        <v>7500000</v>
      </c>
      <c r="U677" s="5"/>
      <c r="V677" s="5"/>
      <c r="W677" s="28"/>
      <c r="X677" s="28">
        <f>N677-S677</f>
        <v>0</v>
      </c>
      <c r="Y677" s="28">
        <f>O677-T677</f>
        <v>0</v>
      </c>
      <c r="Z677" s="28">
        <f>P677-U677</f>
        <v>0</v>
      </c>
      <c r="AA677" s="4"/>
      <c r="AB677" s="4"/>
      <c r="AC677">
        <f>IF(AB677=G677,1,2)</f>
        <v>2</v>
      </c>
    </row>
    <row r="678" spans="1:30" customFormat="1" ht="42" hidden="1" x14ac:dyDescent="0.3">
      <c r="A678" s="7" t="s">
        <v>2290</v>
      </c>
      <c r="B678" s="6">
        <v>553</v>
      </c>
      <c r="C678" s="7" t="s">
        <v>2323</v>
      </c>
      <c r="D678" s="7" t="s">
        <v>2342</v>
      </c>
      <c r="E678" s="7" t="s">
        <v>2343</v>
      </c>
      <c r="F678" s="4"/>
      <c r="G678" s="7" t="s">
        <v>2344</v>
      </c>
      <c r="H678" s="7" t="s">
        <v>2345</v>
      </c>
      <c r="I678" s="5"/>
      <c r="J678" s="21" t="s">
        <v>2346</v>
      </c>
      <c r="K678" s="7" t="s">
        <v>24</v>
      </c>
      <c r="L678" s="7" t="s">
        <v>2347</v>
      </c>
      <c r="M678" s="114">
        <v>4323930590</v>
      </c>
      <c r="N678" s="114">
        <v>575679508</v>
      </c>
      <c r="O678" s="114">
        <v>7500000</v>
      </c>
      <c r="P678" s="110"/>
      <c r="Q678" s="109">
        <f>M678+N678+O678+P678</f>
        <v>4907110098</v>
      </c>
      <c r="R678" s="14">
        <v>4323930590</v>
      </c>
      <c r="S678" s="14">
        <v>575679508</v>
      </c>
      <c r="T678" s="31">
        <v>7500000</v>
      </c>
      <c r="U678" s="5"/>
      <c r="V678" s="5"/>
      <c r="W678" s="28"/>
      <c r="X678" s="28">
        <f>N678-S678</f>
        <v>0</v>
      </c>
      <c r="Y678" s="28">
        <f>O678-T678</f>
        <v>0</v>
      </c>
      <c r="Z678" s="28">
        <f>P678-U678</f>
        <v>0</v>
      </c>
      <c r="AA678" s="4"/>
      <c r="AB678" s="4"/>
      <c r="AC678">
        <f>IF(AB678=G678,1,2)</f>
        <v>2</v>
      </c>
    </row>
    <row r="679" spans="1:30" customFormat="1" ht="63" hidden="1" x14ac:dyDescent="0.3">
      <c r="A679" s="7" t="s">
        <v>18</v>
      </c>
      <c r="B679" s="6">
        <v>555</v>
      </c>
      <c r="C679" s="7" t="s">
        <v>2323</v>
      </c>
      <c r="D679" s="7" t="s">
        <v>2352</v>
      </c>
      <c r="E679" s="5"/>
      <c r="F679" s="4"/>
      <c r="G679" s="7" t="s">
        <v>2353</v>
      </c>
      <c r="H679" s="5"/>
      <c r="I679" s="5"/>
      <c r="J679" s="21" t="s">
        <v>2354</v>
      </c>
      <c r="K679" s="7" t="s">
        <v>24</v>
      </c>
      <c r="L679" s="7" t="s">
        <v>2355</v>
      </c>
      <c r="M679" s="114">
        <v>7567136540</v>
      </c>
      <c r="N679" s="111"/>
      <c r="O679" s="114">
        <v>15000000</v>
      </c>
      <c r="P679" s="110"/>
      <c r="Q679" s="109">
        <f>M679+N679+O679+P679</f>
        <v>7582136540</v>
      </c>
      <c r="R679" s="14">
        <v>7567136540</v>
      </c>
      <c r="S679" s="5"/>
      <c r="T679" s="30">
        <v>15000000</v>
      </c>
      <c r="U679" s="5"/>
      <c r="V679" s="5"/>
      <c r="W679" s="28"/>
      <c r="X679" s="28">
        <f>N679-S679</f>
        <v>0</v>
      </c>
      <c r="Y679" s="28">
        <f>O679-T679</f>
        <v>0</v>
      </c>
      <c r="Z679" s="28">
        <f>P679-U679</f>
        <v>0</v>
      </c>
      <c r="AA679" s="4"/>
      <c r="AB679" s="4"/>
      <c r="AC679">
        <f>IF(AB679=G679,1,2)</f>
        <v>2</v>
      </c>
    </row>
    <row r="680" spans="1:30" customFormat="1" ht="42" hidden="1" x14ac:dyDescent="0.3">
      <c r="A680" s="7" t="s">
        <v>46</v>
      </c>
      <c r="B680" s="6">
        <v>556</v>
      </c>
      <c r="C680" s="7" t="s">
        <v>2323</v>
      </c>
      <c r="D680" s="7" t="s">
        <v>2356</v>
      </c>
      <c r="E680" s="5"/>
      <c r="F680" s="4"/>
      <c r="G680" s="7" t="s">
        <v>2357</v>
      </c>
      <c r="H680" s="5"/>
      <c r="I680" s="5"/>
      <c r="J680" s="21" t="s">
        <v>2358</v>
      </c>
      <c r="K680" s="7" t="s">
        <v>24</v>
      </c>
      <c r="L680" s="7" t="s">
        <v>1696</v>
      </c>
      <c r="M680" s="114">
        <v>5507929500</v>
      </c>
      <c r="N680" s="111"/>
      <c r="O680" s="114">
        <v>7500000</v>
      </c>
      <c r="P680" s="110"/>
      <c r="Q680" s="109">
        <f>M680+N680+O680+P680</f>
        <v>5515429500</v>
      </c>
      <c r="R680" s="14">
        <v>5507929500</v>
      </c>
      <c r="S680" s="5"/>
      <c r="T680" s="30">
        <v>7500000</v>
      </c>
      <c r="U680" s="5"/>
      <c r="V680" s="5"/>
      <c r="W680" s="28"/>
      <c r="X680" s="28">
        <f>N680-S680</f>
        <v>0</v>
      </c>
      <c r="Y680" s="28">
        <f>O680-T680</f>
        <v>0</v>
      </c>
      <c r="Z680" s="28">
        <f>P680-U680</f>
        <v>0</v>
      </c>
      <c r="AA680" s="4"/>
      <c r="AB680" s="4"/>
      <c r="AC680">
        <f>IF(AB680=G680,1,2)</f>
        <v>2</v>
      </c>
    </row>
    <row r="681" spans="1:30" customFormat="1" ht="31.2" hidden="1" x14ac:dyDescent="0.3">
      <c r="A681" s="7" t="s">
        <v>62</v>
      </c>
      <c r="B681" s="6">
        <v>557</v>
      </c>
      <c r="C681" s="7" t="s">
        <v>2323</v>
      </c>
      <c r="D681" s="7" t="s">
        <v>2359</v>
      </c>
      <c r="E681" s="7" t="s">
        <v>2360</v>
      </c>
      <c r="F681" s="4"/>
      <c r="G681" s="7" t="s">
        <v>2361</v>
      </c>
      <c r="H681" s="7" t="s">
        <v>2362</v>
      </c>
      <c r="I681" s="5"/>
      <c r="J681" s="21" t="s">
        <v>2363</v>
      </c>
      <c r="K681" s="7" t="s">
        <v>24</v>
      </c>
      <c r="L681" s="7" t="s">
        <v>2364</v>
      </c>
      <c r="M681" s="114">
        <v>3526135072</v>
      </c>
      <c r="N681" s="114">
        <v>192607800</v>
      </c>
      <c r="O681" s="114">
        <v>15000000</v>
      </c>
      <c r="P681" s="110"/>
      <c r="Q681" s="109">
        <f>M681+N681+O681+P681</f>
        <v>3733742872</v>
      </c>
      <c r="R681" s="14">
        <v>3526135072</v>
      </c>
      <c r="S681" s="14">
        <v>192607800</v>
      </c>
      <c r="T681" s="30">
        <v>15000000</v>
      </c>
      <c r="U681" s="5"/>
      <c r="V681" s="5"/>
      <c r="W681" s="28"/>
      <c r="X681" s="28">
        <f>N681-S681</f>
        <v>0</v>
      </c>
      <c r="Y681" s="28">
        <f>O681-T681</f>
        <v>0</v>
      </c>
      <c r="Z681" s="28">
        <f>P681-U681</f>
        <v>0</v>
      </c>
      <c r="AA681" s="4"/>
      <c r="AB681" s="4"/>
      <c r="AC681">
        <f>IF(AB681=G681,1,2)</f>
        <v>2</v>
      </c>
    </row>
    <row r="682" spans="1:30" customFormat="1" ht="31.2" hidden="1" x14ac:dyDescent="0.3">
      <c r="A682" s="7" t="s">
        <v>62</v>
      </c>
      <c r="B682" s="6">
        <v>558</v>
      </c>
      <c r="C682" s="7" t="s">
        <v>2323</v>
      </c>
      <c r="D682" s="7" t="s">
        <v>2365</v>
      </c>
      <c r="E682" s="5"/>
      <c r="F682" s="4"/>
      <c r="G682" s="7" t="s">
        <v>2366</v>
      </c>
      <c r="H682" s="5"/>
      <c r="I682" s="5"/>
      <c r="J682" s="21" t="s">
        <v>2367</v>
      </c>
      <c r="K682" s="7" t="s">
        <v>24</v>
      </c>
      <c r="L682" s="7" t="s">
        <v>2368</v>
      </c>
      <c r="M682" s="114">
        <v>3090219698</v>
      </c>
      <c r="N682" s="111"/>
      <c r="O682" s="114">
        <v>15000000</v>
      </c>
      <c r="P682" s="110"/>
      <c r="Q682" s="109">
        <f>M682+N682+O682+P682</f>
        <v>3105219698</v>
      </c>
      <c r="R682" s="14">
        <v>3090219698</v>
      </c>
      <c r="S682" s="5"/>
      <c r="T682" s="33">
        <v>15000000</v>
      </c>
      <c r="U682" s="5"/>
      <c r="V682" s="5"/>
      <c r="W682" s="28"/>
      <c r="X682" s="28">
        <f>N682-S682</f>
        <v>0</v>
      </c>
      <c r="Y682" s="28">
        <f>O682-T682</f>
        <v>0</v>
      </c>
      <c r="Z682" s="28">
        <f>P682-U682</f>
        <v>0</v>
      </c>
      <c r="AA682" s="4"/>
      <c r="AB682" s="4"/>
      <c r="AC682">
        <f>IF(AB682=G682,1,2)</f>
        <v>2</v>
      </c>
    </row>
    <row r="683" spans="1:30" customFormat="1" ht="42" hidden="1" x14ac:dyDescent="0.3">
      <c r="A683" s="7" t="s">
        <v>62</v>
      </c>
      <c r="B683" s="6">
        <v>560</v>
      </c>
      <c r="C683" s="7" t="s">
        <v>2323</v>
      </c>
      <c r="D683" s="7" t="s">
        <v>2373</v>
      </c>
      <c r="E683" s="5"/>
      <c r="F683" s="4"/>
      <c r="G683" s="7" t="s">
        <v>2374</v>
      </c>
      <c r="H683" s="5"/>
      <c r="I683" s="5"/>
      <c r="J683" s="21" t="s">
        <v>2375</v>
      </c>
      <c r="K683" s="7" t="s">
        <v>24</v>
      </c>
      <c r="L683" s="7" t="s">
        <v>2376</v>
      </c>
      <c r="M683" s="114">
        <v>8227078695</v>
      </c>
      <c r="N683" s="111"/>
      <c r="O683" s="114">
        <v>15000000</v>
      </c>
      <c r="P683" s="110"/>
      <c r="Q683" s="109">
        <f>M683+N683+O683+P683</f>
        <v>8242078695</v>
      </c>
      <c r="R683" s="14">
        <v>8227078695</v>
      </c>
      <c r="S683" s="5"/>
      <c r="T683" s="33">
        <v>15000000</v>
      </c>
      <c r="U683" s="5"/>
      <c r="V683" s="5"/>
      <c r="W683" s="28"/>
      <c r="X683" s="28">
        <f>N683-S683</f>
        <v>0</v>
      </c>
      <c r="Y683" s="28">
        <f>O683-T683</f>
        <v>0</v>
      </c>
      <c r="Z683" s="28">
        <f>P683-U683</f>
        <v>0</v>
      </c>
      <c r="AA683" s="4"/>
      <c r="AB683" s="4"/>
      <c r="AC683">
        <f>IF(AB683=G683,1,2)</f>
        <v>2</v>
      </c>
    </row>
    <row r="684" spans="1:30" customFormat="1" ht="31.2" hidden="1" x14ac:dyDescent="0.3">
      <c r="A684" s="7" t="s">
        <v>1601</v>
      </c>
      <c r="B684" s="6">
        <v>561</v>
      </c>
      <c r="C684" s="7" t="s">
        <v>2323</v>
      </c>
      <c r="D684" s="7" t="s">
        <v>2377</v>
      </c>
      <c r="E684" s="5"/>
      <c r="F684" s="4"/>
      <c r="G684" s="7" t="s">
        <v>2378</v>
      </c>
      <c r="H684" s="5"/>
      <c r="I684" s="5"/>
      <c r="J684" s="21" t="s">
        <v>2379</v>
      </c>
      <c r="K684" s="7" t="s">
        <v>24</v>
      </c>
      <c r="L684" s="7" t="s">
        <v>2380</v>
      </c>
      <c r="M684" s="114">
        <v>5211174260</v>
      </c>
      <c r="N684" s="111"/>
      <c r="O684" s="114">
        <v>15000000</v>
      </c>
      <c r="P684" s="110"/>
      <c r="Q684" s="109">
        <f>M684+N684+O684+P684</f>
        <v>5226174260</v>
      </c>
      <c r="R684" s="36">
        <v>5211174260</v>
      </c>
      <c r="S684" s="5"/>
      <c r="T684" s="30">
        <v>15000000</v>
      </c>
      <c r="U684" s="5"/>
      <c r="V684" s="5"/>
      <c r="W684" s="28"/>
      <c r="X684" s="28">
        <f>N684-S684</f>
        <v>0</v>
      </c>
      <c r="Y684" s="28">
        <f>O684-T684</f>
        <v>0</v>
      </c>
      <c r="Z684" s="28">
        <f>P684-U684</f>
        <v>0</v>
      </c>
      <c r="AA684" s="4"/>
      <c r="AB684" s="4"/>
      <c r="AC684">
        <f>IF(AB684=G684,1,2)</f>
        <v>2</v>
      </c>
    </row>
    <row r="685" spans="1:30" customFormat="1" ht="42" hidden="1" x14ac:dyDescent="0.3">
      <c r="A685" s="7" t="s">
        <v>62</v>
      </c>
      <c r="B685" s="6">
        <v>563</v>
      </c>
      <c r="C685" s="7" t="s">
        <v>2323</v>
      </c>
      <c r="D685" s="7" t="s">
        <v>2385</v>
      </c>
      <c r="E685" s="5"/>
      <c r="F685" s="4"/>
      <c r="G685" s="7" t="s">
        <v>2386</v>
      </c>
      <c r="H685" s="5"/>
      <c r="I685" s="5"/>
      <c r="J685" s="21" t="s">
        <v>2387</v>
      </c>
      <c r="K685" s="7" t="s">
        <v>24</v>
      </c>
      <c r="L685" s="7" t="s">
        <v>2388</v>
      </c>
      <c r="M685" s="114">
        <v>4009786804</v>
      </c>
      <c r="N685" s="111"/>
      <c r="O685" s="114">
        <v>7500000</v>
      </c>
      <c r="P685" s="110"/>
      <c r="Q685" s="109">
        <f>M685+N685+O685+P685</f>
        <v>4017286804</v>
      </c>
      <c r="R685" s="14">
        <v>4009786804</v>
      </c>
      <c r="S685" s="5"/>
      <c r="T685" s="33">
        <v>7500000</v>
      </c>
      <c r="U685" s="5"/>
      <c r="V685" s="5"/>
      <c r="W685" s="28"/>
      <c r="X685" s="28">
        <f>N685-S685</f>
        <v>0</v>
      </c>
      <c r="Y685" s="28">
        <f>O685-T685</f>
        <v>0</v>
      </c>
      <c r="Z685" s="28">
        <f>P685-U685</f>
        <v>0</v>
      </c>
      <c r="AA685" s="4"/>
      <c r="AB685" s="4"/>
      <c r="AC685">
        <f>IF(AB685=G685,1,2)</f>
        <v>2</v>
      </c>
    </row>
    <row r="686" spans="1:30" customFormat="1" ht="42" hidden="1" x14ac:dyDescent="0.3">
      <c r="A686" s="7" t="s">
        <v>62</v>
      </c>
      <c r="B686" s="6">
        <v>564</v>
      </c>
      <c r="C686" s="7" t="s">
        <v>2323</v>
      </c>
      <c r="D686" s="7" t="s">
        <v>2389</v>
      </c>
      <c r="E686" s="5"/>
      <c r="F686" s="4"/>
      <c r="G686" s="7" t="s">
        <v>2390</v>
      </c>
      <c r="H686" s="5"/>
      <c r="I686" s="5"/>
      <c r="J686" s="21" t="s">
        <v>2391</v>
      </c>
      <c r="K686" s="7" t="s">
        <v>24</v>
      </c>
      <c r="L686" s="7" t="s">
        <v>2392</v>
      </c>
      <c r="M686" s="114">
        <v>1650178250</v>
      </c>
      <c r="N686" s="111"/>
      <c r="O686" s="114">
        <v>7500000</v>
      </c>
      <c r="P686" s="110"/>
      <c r="Q686" s="109">
        <f>M686+N686+O686+P686</f>
        <v>1657678250</v>
      </c>
      <c r="R686" s="14">
        <v>1650178250</v>
      </c>
      <c r="S686" s="5"/>
      <c r="T686" s="33">
        <v>7500000</v>
      </c>
      <c r="U686" s="5"/>
      <c r="V686" s="5"/>
      <c r="W686" s="28"/>
      <c r="X686" s="28">
        <f>N686-S686</f>
        <v>0</v>
      </c>
      <c r="Y686" s="28">
        <f>O686-T686</f>
        <v>0</v>
      </c>
      <c r="Z686" s="28">
        <f>P686-U686</f>
        <v>0</v>
      </c>
      <c r="AA686" s="4"/>
      <c r="AB686" s="4"/>
      <c r="AC686">
        <f>IF(AB686=G686,1,2)</f>
        <v>2</v>
      </c>
    </row>
    <row r="687" spans="1:30" customFormat="1" ht="31.2" hidden="1" x14ac:dyDescent="0.3">
      <c r="A687" s="7" t="s">
        <v>18</v>
      </c>
      <c r="B687" s="6">
        <v>566</v>
      </c>
      <c r="C687" s="7" t="s">
        <v>2323</v>
      </c>
      <c r="D687" s="7" t="s">
        <v>2397</v>
      </c>
      <c r="E687" s="7"/>
      <c r="F687" s="4"/>
      <c r="G687" s="7" t="s">
        <v>2398</v>
      </c>
      <c r="H687" s="7"/>
      <c r="I687" s="7"/>
      <c r="J687" s="7" t="s">
        <v>2399</v>
      </c>
      <c r="K687" s="7" t="s">
        <v>24</v>
      </c>
      <c r="L687" s="7" t="s">
        <v>2400</v>
      </c>
      <c r="M687" s="114">
        <v>41760857447</v>
      </c>
      <c r="N687" s="111"/>
      <c r="O687" s="109">
        <v>15000000</v>
      </c>
      <c r="P687" s="110"/>
      <c r="Q687" s="109">
        <f>M687+N687+O687+P687</f>
        <v>41775857447</v>
      </c>
      <c r="R687" s="14">
        <v>41760857447</v>
      </c>
      <c r="S687" s="5"/>
      <c r="T687" s="72"/>
      <c r="U687" s="5"/>
      <c r="V687" s="5"/>
      <c r="W687" s="28"/>
      <c r="X687" s="28">
        <f>N687-S687</f>
        <v>0</v>
      </c>
      <c r="Y687" s="36">
        <f>O687-T687</f>
        <v>15000000</v>
      </c>
      <c r="Z687" s="28">
        <f>P687-U687</f>
        <v>0</v>
      </c>
      <c r="AA687" s="4"/>
      <c r="AB687" s="40"/>
      <c r="AC687" s="121">
        <f>IF(AB687=G687,1,2)</f>
        <v>2</v>
      </c>
      <c r="AD687" s="121"/>
    </row>
    <row r="688" spans="1:30" customFormat="1" ht="78" hidden="1" customHeight="1" x14ac:dyDescent="0.3">
      <c r="A688" s="7" t="s">
        <v>2290</v>
      </c>
      <c r="B688" s="6">
        <v>567</v>
      </c>
      <c r="C688" s="7" t="s">
        <v>2323</v>
      </c>
      <c r="D688" s="7" t="s">
        <v>2401</v>
      </c>
      <c r="E688" s="7" t="s">
        <v>2402</v>
      </c>
      <c r="F688" s="4"/>
      <c r="G688" s="7" t="s">
        <v>2403</v>
      </c>
      <c r="H688" s="5"/>
      <c r="I688" s="5"/>
      <c r="J688" s="21" t="s">
        <v>2404</v>
      </c>
      <c r="K688" s="7" t="s">
        <v>24</v>
      </c>
      <c r="L688" s="7" t="s">
        <v>2405</v>
      </c>
      <c r="M688" s="114">
        <v>2967127072</v>
      </c>
      <c r="N688" s="114">
        <v>394557580</v>
      </c>
      <c r="O688" s="114">
        <v>15000000</v>
      </c>
      <c r="P688" s="110"/>
      <c r="Q688" s="109">
        <f>M688+N688+O688+P688</f>
        <v>3376684652</v>
      </c>
      <c r="R688" s="14">
        <v>2967127072</v>
      </c>
      <c r="S688" s="14">
        <v>394557580</v>
      </c>
      <c r="T688" s="30">
        <v>15000000</v>
      </c>
      <c r="U688" s="5"/>
      <c r="V688" s="5"/>
      <c r="W688" s="28"/>
      <c r="X688" s="28">
        <f>N688-S688</f>
        <v>0</v>
      </c>
      <c r="Y688" s="28">
        <f>O688-T688</f>
        <v>0</v>
      </c>
      <c r="Z688" s="28">
        <f>P688-U688</f>
        <v>0</v>
      </c>
      <c r="AA688" s="4"/>
      <c r="AB688" s="4"/>
      <c r="AC688">
        <f>IF(AB688=G688,1,2)</f>
        <v>2</v>
      </c>
    </row>
    <row r="689" spans="1:30" customFormat="1" ht="42" hidden="1" x14ac:dyDescent="0.3">
      <c r="A689" s="7" t="s">
        <v>18</v>
      </c>
      <c r="B689" s="6">
        <v>569</v>
      </c>
      <c r="C689" s="7" t="s">
        <v>2323</v>
      </c>
      <c r="D689" s="7" t="s">
        <v>2411</v>
      </c>
      <c r="E689" s="5"/>
      <c r="F689" s="4"/>
      <c r="G689" s="7" t="s">
        <v>2412</v>
      </c>
      <c r="H689" s="5"/>
      <c r="I689" s="5"/>
      <c r="J689" s="21" t="s">
        <v>2413</v>
      </c>
      <c r="K689" s="7" t="s">
        <v>24</v>
      </c>
      <c r="L689" s="7" t="s">
        <v>2414</v>
      </c>
      <c r="M689" s="114">
        <v>6823115420</v>
      </c>
      <c r="N689" s="111"/>
      <c r="O689" s="114">
        <v>15000000</v>
      </c>
      <c r="P689" s="110"/>
      <c r="Q689" s="109">
        <f>M689+N689+O689+P689</f>
        <v>6838115420</v>
      </c>
      <c r="R689" s="14">
        <v>6823115420</v>
      </c>
      <c r="S689" s="5"/>
      <c r="T689" s="30">
        <v>15000000</v>
      </c>
      <c r="U689" s="5"/>
      <c r="V689" s="5"/>
      <c r="W689" s="28"/>
      <c r="X689" s="28">
        <f>N689-S689</f>
        <v>0</v>
      </c>
      <c r="Y689" s="28">
        <f>O689-T689</f>
        <v>0</v>
      </c>
      <c r="Z689" s="28">
        <f>P689-U689</f>
        <v>0</v>
      </c>
      <c r="AA689" s="4"/>
      <c r="AB689" s="4"/>
      <c r="AC689">
        <f>IF(AB689=G689,1,2)</f>
        <v>2</v>
      </c>
    </row>
    <row r="690" spans="1:30" customFormat="1" ht="42" hidden="1" x14ac:dyDescent="0.3">
      <c r="A690" s="7" t="s">
        <v>1601</v>
      </c>
      <c r="B690" s="6">
        <v>570</v>
      </c>
      <c r="C690" s="7" t="s">
        <v>2323</v>
      </c>
      <c r="D690" s="7" t="s">
        <v>2415</v>
      </c>
      <c r="E690" s="5"/>
      <c r="F690" s="4"/>
      <c r="G690" s="7" t="s">
        <v>2416</v>
      </c>
      <c r="H690" s="5"/>
      <c r="I690" s="5"/>
      <c r="J690" s="21" t="s">
        <v>2417</v>
      </c>
      <c r="K690" s="7" t="s">
        <v>24</v>
      </c>
      <c r="L690" s="7" t="s">
        <v>2418</v>
      </c>
      <c r="M690" s="114">
        <v>223003630</v>
      </c>
      <c r="N690" s="111"/>
      <c r="O690" s="114">
        <v>7500000</v>
      </c>
      <c r="P690" s="110"/>
      <c r="Q690" s="109">
        <f>M690+N690+O690+P690</f>
        <v>230503630</v>
      </c>
      <c r="R690" s="14">
        <v>223003630</v>
      </c>
      <c r="S690" s="5"/>
      <c r="T690" s="30">
        <v>7500000</v>
      </c>
      <c r="U690" s="5"/>
      <c r="V690" s="5"/>
      <c r="W690" s="28"/>
      <c r="X690" s="28">
        <f>N690-S690</f>
        <v>0</v>
      </c>
      <c r="Y690" s="28">
        <f>O690-T690</f>
        <v>0</v>
      </c>
      <c r="Z690" s="28">
        <f>P690-U690</f>
        <v>0</v>
      </c>
      <c r="AA690" s="4"/>
      <c r="AB690" s="4"/>
      <c r="AC690">
        <f>IF(AB690=G690,1,2)</f>
        <v>2</v>
      </c>
    </row>
    <row r="691" spans="1:30" customFormat="1" ht="42" hidden="1" x14ac:dyDescent="0.3">
      <c r="A691" s="7" t="s">
        <v>1601</v>
      </c>
      <c r="B691" s="6">
        <v>571</v>
      </c>
      <c r="C691" s="7" t="s">
        <v>2323</v>
      </c>
      <c r="D691" s="7" t="s">
        <v>2419</v>
      </c>
      <c r="E691" s="5"/>
      <c r="F691" s="4"/>
      <c r="G691" s="7" t="s">
        <v>2420</v>
      </c>
      <c r="H691" s="5"/>
      <c r="I691" s="5"/>
      <c r="J691" s="21" t="s">
        <v>1468</v>
      </c>
      <c r="K691" s="7" t="s">
        <v>24</v>
      </c>
      <c r="L691" s="7" t="s">
        <v>2421</v>
      </c>
      <c r="M691" s="114">
        <v>4591185242</v>
      </c>
      <c r="N691" s="111"/>
      <c r="O691" s="114">
        <v>7500000</v>
      </c>
      <c r="P691" s="110"/>
      <c r="Q691" s="109">
        <f>M691+N691+O691+P691</f>
        <v>4598685242</v>
      </c>
      <c r="R691" s="36">
        <v>4591185242</v>
      </c>
      <c r="S691" s="5"/>
      <c r="T691" s="30">
        <v>7500000</v>
      </c>
      <c r="U691" s="5"/>
      <c r="V691" s="5"/>
      <c r="W691" s="28"/>
      <c r="X691" s="28">
        <f>N691-S691</f>
        <v>0</v>
      </c>
      <c r="Y691" s="28">
        <f>O691-T691</f>
        <v>0</v>
      </c>
      <c r="Z691" s="28">
        <f>P691-U691</f>
        <v>0</v>
      </c>
      <c r="AA691" s="4"/>
      <c r="AB691" s="4"/>
      <c r="AC691">
        <f>IF(AB691=G691,1,2)</f>
        <v>2</v>
      </c>
    </row>
    <row r="692" spans="1:30" customFormat="1" ht="31.2" hidden="1" x14ac:dyDescent="0.3">
      <c r="A692" s="7" t="s">
        <v>62</v>
      </c>
      <c r="B692" s="6">
        <v>572</v>
      </c>
      <c r="C692" s="7" t="s">
        <v>2323</v>
      </c>
      <c r="D692" s="7" t="s">
        <v>2422</v>
      </c>
      <c r="E692" s="5"/>
      <c r="F692" s="4"/>
      <c r="G692" s="7" t="s">
        <v>2423</v>
      </c>
      <c r="H692" s="5"/>
      <c r="I692" s="5"/>
      <c r="J692" s="21" t="s">
        <v>2424</v>
      </c>
      <c r="K692" s="7" t="s">
        <v>24</v>
      </c>
      <c r="L692" s="7" t="s">
        <v>2425</v>
      </c>
      <c r="M692" s="114">
        <v>1598877052</v>
      </c>
      <c r="N692" s="111"/>
      <c r="O692" s="114">
        <v>7500000</v>
      </c>
      <c r="P692" s="110"/>
      <c r="Q692" s="109">
        <f>M692+N692+O692+P692</f>
        <v>1606377052</v>
      </c>
      <c r="R692" s="14">
        <v>1598877052</v>
      </c>
      <c r="S692" s="5"/>
      <c r="T692" s="30">
        <v>7500000</v>
      </c>
      <c r="U692" s="5"/>
      <c r="V692" s="5"/>
      <c r="W692" s="28"/>
      <c r="X692" s="28">
        <f>N692-S692</f>
        <v>0</v>
      </c>
      <c r="Y692" s="28">
        <f>O692-T692</f>
        <v>0</v>
      </c>
      <c r="Z692" s="28">
        <f>P692-U692</f>
        <v>0</v>
      </c>
      <c r="AA692" s="4"/>
      <c r="AB692" s="4"/>
      <c r="AC692">
        <f>IF(AB692=G692,1,2)</f>
        <v>2</v>
      </c>
    </row>
    <row r="693" spans="1:30" customFormat="1" ht="31.2" hidden="1" x14ac:dyDescent="0.4">
      <c r="A693" s="7" t="s">
        <v>62</v>
      </c>
      <c r="B693" s="6">
        <v>573</v>
      </c>
      <c r="C693" s="7" t="s">
        <v>2323</v>
      </c>
      <c r="D693" s="7" t="s">
        <v>2426</v>
      </c>
      <c r="E693" s="7" t="s">
        <v>2427</v>
      </c>
      <c r="F693" s="4"/>
      <c r="G693" s="7" t="s">
        <v>2428</v>
      </c>
      <c r="H693" s="7"/>
      <c r="I693" s="7"/>
      <c r="J693" s="7" t="s">
        <v>2429</v>
      </c>
      <c r="K693" s="7" t="s">
        <v>24</v>
      </c>
      <c r="L693" s="7" t="s">
        <v>2430</v>
      </c>
      <c r="M693" s="114">
        <v>4657154105</v>
      </c>
      <c r="N693" s="111"/>
      <c r="O693" s="109">
        <v>15000000</v>
      </c>
      <c r="P693" s="110"/>
      <c r="Q693" s="109">
        <f>M693+N693+O693+P693</f>
        <v>4672154105</v>
      </c>
      <c r="R693" s="5"/>
      <c r="S693" s="5"/>
      <c r="T693" s="72"/>
      <c r="U693" s="5"/>
      <c r="V693" s="5"/>
      <c r="W693" s="28">
        <v>4657154105</v>
      </c>
      <c r="X693" s="28">
        <f>N693-S693</f>
        <v>0</v>
      </c>
      <c r="Y693" s="36">
        <f>O693-T693</f>
        <v>15000000</v>
      </c>
      <c r="Z693" s="28">
        <f>P693-U693</f>
        <v>0</v>
      </c>
      <c r="AA693" s="16">
        <v>4657154105</v>
      </c>
      <c r="AB693" s="40"/>
      <c r="AC693" s="121">
        <f>IF(AB693=G693,1,2)</f>
        <v>2</v>
      </c>
      <c r="AD693" s="121"/>
    </row>
    <row r="694" spans="1:30" customFormat="1" ht="62.4" hidden="1" customHeight="1" x14ac:dyDescent="0.3">
      <c r="A694" s="7" t="s">
        <v>1601</v>
      </c>
      <c r="B694" s="6">
        <v>574</v>
      </c>
      <c r="C694" s="7" t="s">
        <v>2323</v>
      </c>
      <c r="D694" s="7" t="s">
        <v>2431</v>
      </c>
      <c r="E694" s="5"/>
      <c r="F694" s="4"/>
      <c r="G694" s="7" t="s">
        <v>2432</v>
      </c>
      <c r="H694" s="5"/>
      <c r="I694" s="5"/>
      <c r="J694" s="21" t="s">
        <v>2433</v>
      </c>
      <c r="K694" s="7" t="s">
        <v>24</v>
      </c>
      <c r="L694" s="7" t="s">
        <v>2434</v>
      </c>
      <c r="M694" s="114">
        <v>2293726938</v>
      </c>
      <c r="N694" s="111"/>
      <c r="O694" s="114">
        <v>7500000</v>
      </c>
      <c r="P694" s="110"/>
      <c r="Q694" s="109">
        <f>M694+N694+O694+P694</f>
        <v>2301226938</v>
      </c>
      <c r="R694" s="36">
        <v>2293726938</v>
      </c>
      <c r="S694" s="5"/>
      <c r="T694" s="30">
        <v>7500000</v>
      </c>
      <c r="U694" s="5"/>
      <c r="V694" s="5"/>
      <c r="W694" s="28"/>
      <c r="X694" s="28">
        <f>N694-S694</f>
        <v>0</v>
      </c>
      <c r="Y694" s="28">
        <f>O694-T694</f>
        <v>0</v>
      </c>
      <c r="Z694" s="28">
        <f>P694-U694</f>
        <v>0</v>
      </c>
      <c r="AA694" s="4"/>
      <c r="AB694" s="4"/>
      <c r="AC694">
        <f>IF(AB694=G694,1,2)</f>
        <v>2</v>
      </c>
    </row>
    <row r="695" spans="1:30" customFormat="1" ht="42" hidden="1" x14ac:dyDescent="0.3">
      <c r="A695" s="7" t="s">
        <v>1601</v>
      </c>
      <c r="B695" s="6">
        <v>578</v>
      </c>
      <c r="C695" s="7" t="s">
        <v>2323</v>
      </c>
      <c r="D695" s="7" t="s">
        <v>2451</v>
      </c>
      <c r="E695" s="5"/>
      <c r="F695" s="4"/>
      <c r="G695" s="7" t="s">
        <v>2452</v>
      </c>
      <c r="H695" s="5"/>
      <c r="I695" s="5"/>
      <c r="J695" s="21" t="s">
        <v>2453</v>
      </c>
      <c r="K695" s="7" t="s">
        <v>24</v>
      </c>
      <c r="L695" s="7" t="s">
        <v>2454</v>
      </c>
      <c r="M695" s="114">
        <v>2671997320</v>
      </c>
      <c r="N695" s="111"/>
      <c r="O695" s="114">
        <v>15000000</v>
      </c>
      <c r="P695" s="110"/>
      <c r="Q695" s="109">
        <f>M695+N695+O695+P695</f>
        <v>2686997320</v>
      </c>
      <c r="R695" s="36">
        <v>2671997320</v>
      </c>
      <c r="S695" s="5"/>
      <c r="T695" s="30">
        <v>15000000</v>
      </c>
      <c r="U695" s="5"/>
      <c r="V695" s="5"/>
      <c r="W695" s="28"/>
      <c r="X695" s="28">
        <f>N695-S695</f>
        <v>0</v>
      </c>
      <c r="Y695" s="28">
        <f>O695-T695</f>
        <v>0</v>
      </c>
      <c r="Z695" s="28">
        <f>P695-U695</f>
        <v>0</v>
      </c>
      <c r="AA695" s="4"/>
      <c r="AB695" s="4"/>
      <c r="AC695">
        <f>IF(AB695=G695,1,2)</f>
        <v>2</v>
      </c>
    </row>
    <row r="696" spans="1:30" customFormat="1" ht="140.4" hidden="1" customHeight="1" x14ac:dyDescent="0.3">
      <c r="A696" s="7" t="s">
        <v>1601</v>
      </c>
      <c r="B696" s="6">
        <v>579</v>
      </c>
      <c r="C696" s="7" t="s">
        <v>2323</v>
      </c>
      <c r="D696" s="7" t="s">
        <v>2455</v>
      </c>
      <c r="E696" s="7" t="s">
        <v>2456</v>
      </c>
      <c r="F696" s="4"/>
      <c r="G696" s="7" t="s">
        <v>2457</v>
      </c>
      <c r="H696" s="7" t="s">
        <v>1717</v>
      </c>
      <c r="I696" s="5"/>
      <c r="J696" s="21" t="s">
        <v>2458</v>
      </c>
      <c r="K696" s="7" t="s">
        <v>24</v>
      </c>
      <c r="L696" s="7" t="s">
        <v>2459</v>
      </c>
      <c r="M696" s="114">
        <v>68554474200</v>
      </c>
      <c r="N696" s="114">
        <v>6111803210</v>
      </c>
      <c r="O696" s="114">
        <v>7500000</v>
      </c>
      <c r="P696" s="110"/>
      <c r="Q696" s="109">
        <f>M696+N696+O696+P696</f>
        <v>74673777410</v>
      </c>
      <c r="R696" s="36">
        <v>68554474200</v>
      </c>
      <c r="S696" s="3">
        <v>6111803210</v>
      </c>
      <c r="T696" s="30">
        <v>7500000</v>
      </c>
      <c r="U696" s="5"/>
      <c r="V696" s="5"/>
      <c r="W696" s="28"/>
      <c r="X696" s="28">
        <f>N696-S696</f>
        <v>0</v>
      </c>
      <c r="Y696" s="28">
        <f>O696-T696</f>
        <v>0</v>
      </c>
      <c r="Z696" s="28">
        <f>P696-U696</f>
        <v>0</v>
      </c>
      <c r="AA696" s="4"/>
      <c r="AB696" s="4"/>
      <c r="AC696">
        <f>IF(AB696=G696,1,2)</f>
        <v>2</v>
      </c>
    </row>
    <row r="697" spans="1:30" customFormat="1" ht="42" hidden="1" customHeight="1" x14ac:dyDescent="0.3">
      <c r="A697" s="7" t="s">
        <v>2290</v>
      </c>
      <c r="B697" s="6">
        <v>580</v>
      </c>
      <c r="C697" s="7" t="s">
        <v>2323</v>
      </c>
      <c r="D697" s="7" t="s">
        <v>2460</v>
      </c>
      <c r="E697" s="7"/>
      <c r="F697" s="4"/>
      <c r="G697" s="7" t="s">
        <v>2461</v>
      </c>
      <c r="H697" s="44" t="s">
        <v>2462</v>
      </c>
      <c r="I697" s="7"/>
      <c r="J697" s="7" t="s">
        <v>786</v>
      </c>
      <c r="K697" s="7" t="s">
        <v>24</v>
      </c>
      <c r="L697" s="7" t="s">
        <v>2463</v>
      </c>
      <c r="M697" s="114">
        <v>1711695248</v>
      </c>
      <c r="N697" s="111"/>
      <c r="O697" s="109">
        <v>7500000</v>
      </c>
      <c r="P697" s="110"/>
      <c r="Q697" s="109">
        <f>M697+N697+O697+P697</f>
        <v>1719195248</v>
      </c>
      <c r="R697" s="14">
        <v>1711695248</v>
      </c>
      <c r="S697" s="5"/>
      <c r="T697" s="72"/>
      <c r="U697" s="5"/>
      <c r="V697" s="5"/>
      <c r="W697" s="28"/>
      <c r="X697" s="28">
        <f>N697-S697</f>
        <v>0</v>
      </c>
      <c r="Y697" s="36">
        <f>O697-T697</f>
        <v>7500000</v>
      </c>
      <c r="Z697" s="28">
        <f>P697-U697</f>
        <v>0</v>
      </c>
      <c r="AA697" s="4"/>
      <c r="AB697" s="40"/>
      <c r="AC697" s="121">
        <f>IF(AB697=G697,1,2)</f>
        <v>2</v>
      </c>
      <c r="AD697" s="121"/>
    </row>
    <row r="698" spans="1:30" customFormat="1" ht="31.2" hidden="1" x14ac:dyDescent="0.3">
      <c r="A698" s="7" t="s">
        <v>1601</v>
      </c>
      <c r="B698" s="6">
        <v>581</v>
      </c>
      <c r="C698" s="7" t="s">
        <v>2323</v>
      </c>
      <c r="D698" s="7" t="s">
        <v>2464</v>
      </c>
      <c r="E698" s="5"/>
      <c r="F698" s="4"/>
      <c r="G698" s="7" t="s">
        <v>2465</v>
      </c>
      <c r="H698" s="5"/>
      <c r="I698" s="5"/>
      <c r="J698" s="21" t="s">
        <v>2466</v>
      </c>
      <c r="K698" s="7" t="s">
        <v>24</v>
      </c>
      <c r="L698" s="7" t="s">
        <v>2467</v>
      </c>
      <c r="M698" s="114">
        <v>7112339220</v>
      </c>
      <c r="N698" s="111"/>
      <c r="O698" s="114">
        <v>7500000</v>
      </c>
      <c r="P698" s="110"/>
      <c r="Q698" s="109">
        <f>M698+N698+O698+P698</f>
        <v>7119839220</v>
      </c>
      <c r="R698" s="36">
        <v>7112339220</v>
      </c>
      <c r="S698" s="5"/>
      <c r="T698" s="31">
        <v>7500000</v>
      </c>
      <c r="U698" s="5"/>
      <c r="V698" s="5"/>
      <c r="W698" s="28"/>
      <c r="X698" s="28">
        <f>N698-S698</f>
        <v>0</v>
      </c>
      <c r="Y698" s="28">
        <f>O698-T698</f>
        <v>0</v>
      </c>
      <c r="Z698" s="28">
        <f>P698-U698</f>
        <v>0</v>
      </c>
      <c r="AA698" s="4"/>
      <c r="AB698" s="4"/>
      <c r="AC698">
        <f>IF(AB698=G698,1,2)</f>
        <v>2</v>
      </c>
    </row>
    <row r="699" spans="1:30" customFormat="1" ht="46.8" hidden="1" x14ac:dyDescent="0.3">
      <c r="A699" s="7" t="s">
        <v>18</v>
      </c>
      <c r="B699" s="6">
        <v>583</v>
      </c>
      <c r="C699" s="7" t="s">
        <v>2323</v>
      </c>
      <c r="D699" s="7" t="s">
        <v>2474</v>
      </c>
      <c r="E699" s="7"/>
      <c r="F699" s="4"/>
      <c r="G699" s="7" t="s">
        <v>2475</v>
      </c>
      <c r="H699" s="7"/>
      <c r="I699" s="7"/>
      <c r="J699" s="7" t="s">
        <v>2476</v>
      </c>
      <c r="K699" s="7" t="s">
        <v>24</v>
      </c>
      <c r="L699" s="7" t="s">
        <v>2477</v>
      </c>
      <c r="M699" s="114">
        <v>10795952385</v>
      </c>
      <c r="N699" s="111"/>
      <c r="O699" s="109">
        <v>7500000</v>
      </c>
      <c r="P699" s="110"/>
      <c r="Q699" s="109">
        <f>M699+N699+O699+P699</f>
        <v>10803452385</v>
      </c>
      <c r="R699" s="14">
        <v>10795952385</v>
      </c>
      <c r="S699" s="5"/>
      <c r="T699" s="72"/>
      <c r="U699" s="5"/>
      <c r="V699" s="5"/>
      <c r="W699" s="28"/>
      <c r="X699" s="28">
        <f>N699-S699</f>
        <v>0</v>
      </c>
      <c r="Y699" s="36">
        <f>O699-T699</f>
        <v>7500000</v>
      </c>
      <c r="Z699" s="28">
        <f>P699-U699</f>
        <v>0</v>
      </c>
      <c r="AA699" s="4"/>
      <c r="AB699" s="40"/>
      <c r="AC699" s="121">
        <f>IF(AB699=G699,1,2)</f>
        <v>2</v>
      </c>
      <c r="AD699" s="121"/>
    </row>
    <row r="700" spans="1:30" customFormat="1" ht="62.4" hidden="1" customHeight="1" x14ac:dyDescent="0.3">
      <c r="A700" s="7" t="s">
        <v>2290</v>
      </c>
      <c r="B700" s="6">
        <v>584</v>
      </c>
      <c r="C700" s="7" t="s">
        <v>2323</v>
      </c>
      <c r="D700" s="7" t="s">
        <v>2478</v>
      </c>
      <c r="E700" s="5"/>
      <c r="F700" s="4"/>
      <c r="G700" s="7" t="s">
        <v>2479</v>
      </c>
      <c r="H700" s="5"/>
      <c r="I700" s="5"/>
      <c r="J700" s="21" t="s">
        <v>2480</v>
      </c>
      <c r="K700" s="7" t="s">
        <v>24</v>
      </c>
      <c r="L700" s="7" t="s">
        <v>2481</v>
      </c>
      <c r="M700" s="114">
        <v>2819871600</v>
      </c>
      <c r="N700" s="111"/>
      <c r="O700" s="114">
        <v>7500000</v>
      </c>
      <c r="P700" s="110"/>
      <c r="Q700" s="109">
        <f>M700+N700+O700+P700</f>
        <v>2827371600</v>
      </c>
      <c r="R700" s="14">
        <v>2819871600</v>
      </c>
      <c r="S700" s="5"/>
      <c r="T700" s="31">
        <v>7500000</v>
      </c>
      <c r="U700" s="5"/>
      <c r="V700" s="5"/>
      <c r="W700" s="28"/>
      <c r="X700" s="28">
        <f>N700-S700</f>
        <v>0</v>
      </c>
      <c r="Y700" s="28">
        <f>O700-T700</f>
        <v>0</v>
      </c>
      <c r="Z700" s="28">
        <f>P700-U700</f>
        <v>0</v>
      </c>
      <c r="AA700" s="4"/>
      <c r="AB700" s="4"/>
      <c r="AC700">
        <f>IF(AB700=G700,1,2)</f>
        <v>2</v>
      </c>
    </row>
    <row r="701" spans="1:30" customFormat="1" ht="63" hidden="1" x14ac:dyDescent="0.3">
      <c r="A701" s="7" t="s">
        <v>18</v>
      </c>
      <c r="B701" s="6">
        <v>585</v>
      </c>
      <c r="C701" s="7" t="s">
        <v>2323</v>
      </c>
      <c r="D701" s="7" t="s">
        <v>2482</v>
      </c>
      <c r="E701" s="5"/>
      <c r="F701" s="4"/>
      <c r="G701" s="7" t="s">
        <v>2483</v>
      </c>
      <c r="H701" s="5"/>
      <c r="I701" s="5"/>
      <c r="J701" s="21" t="s">
        <v>2484</v>
      </c>
      <c r="K701" s="7" t="s">
        <v>24</v>
      </c>
      <c r="L701" s="7" t="s">
        <v>2485</v>
      </c>
      <c r="M701" s="114">
        <v>22402051899</v>
      </c>
      <c r="N701" s="111"/>
      <c r="O701" s="114">
        <v>15000000</v>
      </c>
      <c r="P701" s="110"/>
      <c r="Q701" s="109">
        <f>M701+N701+O701+P701</f>
        <v>22417051899</v>
      </c>
      <c r="R701" s="14">
        <v>22402051899</v>
      </c>
      <c r="S701" s="5"/>
      <c r="T701" s="30">
        <v>15000000</v>
      </c>
      <c r="U701" s="5"/>
      <c r="V701" s="5"/>
      <c r="W701" s="28"/>
      <c r="X701" s="28">
        <f>N701-S701</f>
        <v>0</v>
      </c>
      <c r="Y701" s="28">
        <f>O701-T701</f>
        <v>0</v>
      </c>
      <c r="Z701" s="28">
        <f>P701-U701</f>
        <v>0</v>
      </c>
      <c r="AA701" s="4"/>
      <c r="AB701" s="4"/>
      <c r="AC701">
        <f>IF(AB701=G701,1,2)</f>
        <v>2</v>
      </c>
    </row>
    <row r="702" spans="1:30" customFormat="1" ht="62.4" hidden="1" customHeight="1" x14ac:dyDescent="0.3">
      <c r="A702" s="7" t="s">
        <v>2290</v>
      </c>
      <c r="B702" s="6">
        <v>587</v>
      </c>
      <c r="C702" s="7" t="s">
        <v>2323</v>
      </c>
      <c r="D702" s="7" t="s">
        <v>2490</v>
      </c>
      <c r="E702" s="7" t="s">
        <v>982</v>
      </c>
      <c r="F702" s="4"/>
      <c r="G702" s="7" t="s">
        <v>2491</v>
      </c>
      <c r="H702" s="5"/>
      <c r="I702" s="5"/>
      <c r="J702" s="21" t="s">
        <v>2492</v>
      </c>
      <c r="K702" s="7" t="s">
        <v>24</v>
      </c>
      <c r="L702" s="7" t="s">
        <v>2493</v>
      </c>
      <c r="M702" s="114">
        <v>1123628598</v>
      </c>
      <c r="N702" s="114">
        <v>258107850</v>
      </c>
      <c r="O702" s="114">
        <v>7500000</v>
      </c>
      <c r="P702" s="110"/>
      <c r="Q702" s="109">
        <f>M702+N702+O702+P702</f>
        <v>1389236448</v>
      </c>
      <c r="R702" s="14">
        <v>1123628598</v>
      </c>
      <c r="S702" s="3">
        <v>258107850</v>
      </c>
      <c r="T702" s="33">
        <v>7500000</v>
      </c>
      <c r="U702" s="5"/>
      <c r="V702" s="5"/>
      <c r="W702" s="28"/>
      <c r="X702" s="28">
        <f>N702-S702</f>
        <v>0</v>
      </c>
      <c r="Y702" s="28">
        <f>O702-T702</f>
        <v>0</v>
      </c>
      <c r="Z702" s="28">
        <f>P702-U702</f>
        <v>0</v>
      </c>
      <c r="AA702" s="4"/>
      <c r="AB702" s="4"/>
      <c r="AC702">
        <f>IF(AB702=G702,1,2)</f>
        <v>2</v>
      </c>
    </row>
    <row r="703" spans="1:30" customFormat="1" ht="42" hidden="1" x14ac:dyDescent="0.3">
      <c r="A703" s="7" t="s">
        <v>1601</v>
      </c>
      <c r="B703" s="6">
        <v>588</v>
      </c>
      <c r="C703" s="7" t="s">
        <v>2323</v>
      </c>
      <c r="D703" s="7" t="s">
        <v>2494</v>
      </c>
      <c r="E703" s="7" t="s">
        <v>982</v>
      </c>
      <c r="F703" s="4"/>
      <c r="G703" s="7" t="s">
        <v>2495</v>
      </c>
      <c r="H703" s="5"/>
      <c r="I703" s="5"/>
      <c r="J703" s="21" t="s">
        <v>2496</v>
      </c>
      <c r="K703" s="7" t="s">
        <v>24</v>
      </c>
      <c r="L703" s="7" t="s">
        <v>2497</v>
      </c>
      <c r="M703" s="114">
        <v>289367750</v>
      </c>
      <c r="N703" s="114">
        <v>66783150</v>
      </c>
      <c r="O703" s="114">
        <v>7500000</v>
      </c>
      <c r="P703" s="110"/>
      <c r="Q703" s="109">
        <f>M703+N703+O703+P703</f>
        <v>363650900</v>
      </c>
      <c r="R703" s="14">
        <v>289367750</v>
      </c>
      <c r="S703" s="14">
        <v>66783150</v>
      </c>
      <c r="T703" s="33">
        <v>7500000</v>
      </c>
      <c r="U703" s="5"/>
      <c r="V703" s="5"/>
      <c r="W703" s="28"/>
      <c r="X703" s="28">
        <f>N703-S703</f>
        <v>0</v>
      </c>
      <c r="Y703" s="28">
        <f>O703-T703</f>
        <v>0</v>
      </c>
      <c r="Z703" s="28">
        <f>P703-U703</f>
        <v>0</v>
      </c>
      <c r="AA703" s="4"/>
      <c r="AB703" s="4"/>
      <c r="AC703">
        <f>IF(AB703=G703,1,2)</f>
        <v>2</v>
      </c>
    </row>
    <row r="704" spans="1:30" customFormat="1" ht="31.2" hidden="1" x14ac:dyDescent="0.3">
      <c r="A704" s="7" t="s">
        <v>62</v>
      </c>
      <c r="B704" s="6">
        <v>590</v>
      </c>
      <c r="C704" s="7" t="s">
        <v>2323</v>
      </c>
      <c r="D704" s="7" t="s">
        <v>2502</v>
      </c>
      <c r="E704" s="5"/>
      <c r="F704" s="4"/>
      <c r="G704" s="7" t="s">
        <v>2503</v>
      </c>
      <c r="H704" s="5"/>
      <c r="I704" s="5"/>
      <c r="J704" s="21" t="s">
        <v>2504</v>
      </c>
      <c r="K704" s="7" t="s">
        <v>24</v>
      </c>
      <c r="L704" s="7" t="s">
        <v>2505</v>
      </c>
      <c r="M704" s="114">
        <v>1667596776</v>
      </c>
      <c r="N704" s="111"/>
      <c r="O704" s="114">
        <v>7500000</v>
      </c>
      <c r="P704" s="110"/>
      <c r="Q704" s="109">
        <f>M704+N704+O704+P704</f>
        <v>1675096776</v>
      </c>
      <c r="R704" s="14">
        <v>1667596776</v>
      </c>
      <c r="S704" s="5"/>
      <c r="T704" s="33">
        <v>7500000</v>
      </c>
      <c r="U704" s="5"/>
      <c r="V704" s="5"/>
      <c r="W704" s="28"/>
      <c r="X704" s="28">
        <f>N704-S704</f>
        <v>0</v>
      </c>
      <c r="Y704" s="28">
        <f>O704-T704</f>
        <v>0</v>
      </c>
      <c r="Z704" s="28">
        <f>P704-U704</f>
        <v>0</v>
      </c>
      <c r="AA704" s="4"/>
      <c r="AB704" s="4"/>
      <c r="AC704">
        <f>IF(AB704=G704,1,2)</f>
        <v>2</v>
      </c>
    </row>
    <row r="705" spans="1:30" customFormat="1" ht="62.4" hidden="1" customHeight="1" x14ac:dyDescent="0.3">
      <c r="A705" s="7" t="s">
        <v>1601</v>
      </c>
      <c r="B705" s="6">
        <v>593</v>
      </c>
      <c r="C705" s="7" t="s">
        <v>2323</v>
      </c>
      <c r="D705" s="7" t="s">
        <v>2518</v>
      </c>
      <c r="E705" s="5"/>
      <c r="F705" s="4"/>
      <c r="G705" s="7" t="s">
        <v>2519</v>
      </c>
      <c r="H705" s="5"/>
      <c r="I705" s="5"/>
      <c r="J705" s="21" t="s">
        <v>2520</v>
      </c>
      <c r="K705" s="7" t="s">
        <v>24</v>
      </c>
      <c r="L705" s="7" t="s">
        <v>2521</v>
      </c>
      <c r="M705" s="114">
        <v>4657447500</v>
      </c>
      <c r="N705" s="111"/>
      <c r="O705" s="114">
        <v>7500000</v>
      </c>
      <c r="P705" s="110"/>
      <c r="Q705" s="109">
        <f>M705+N705+O705+P705</f>
        <v>4664947500</v>
      </c>
      <c r="R705" s="14">
        <v>4657447500</v>
      </c>
      <c r="S705" s="5"/>
      <c r="T705" s="33">
        <v>7500000</v>
      </c>
      <c r="U705" s="5"/>
      <c r="V705" s="5"/>
      <c r="W705" s="28"/>
      <c r="X705" s="28">
        <f>N705-S705</f>
        <v>0</v>
      </c>
      <c r="Y705" s="28">
        <f>O705-T705</f>
        <v>0</v>
      </c>
      <c r="Z705" s="28">
        <f>P705-U705</f>
        <v>0</v>
      </c>
      <c r="AA705" s="4"/>
      <c r="AB705" s="4"/>
      <c r="AC705">
        <f>IF(AB705=G705,1,2)</f>
        <v>2</v>
      </c>
    </row>
    <row r="706" spans="1:30" customFormat="1" ht="42" hidden="1" x14ac:dyDescent="0.3">
      <c r="A706" s="7" t="s">
        <v>1601</v>
      </c>
      <c r="B706" s="6">
        <v>594</v>
      </c>
      <c r="C706" s="7" t="s">
        <v>2323</v>
      </c>
      <c r="D706" s="7" t="s">
        <v>2522</v>
      </c>
      <c r="E706" s="5"/>
      <c r="F706" s="4"/>
      <c r="G706" s="7" t="s">
        <v>2523</v>
      </c>
      <c r="H706" s="5"/>
      <c r="I706" s="5"/>
      <c r="J706" s="21" t="s">
        <v>1536</v>
      </c>
      <c r="K706" s="7" t="s">
        <v>24</v>
      </c>
      <c r="L706" s="7" t="s">
        <v>2524</v>
      </c>
      <c r="M706" s="114">
        <v>3031671576</v>
      </c>
      <c r="N706" s="111"/>
      <c r="O706" s="114">
        <v>15000000</v>
      </c>
      <c r="P706" s="110"/>
      <c r="Q706" s="109">
        <f>M706+N706+O706+P706</f>
        <v>3046671576</v>
      </c>
      <c r="R706" s="36">
        <v>3031671576</v>
      </c>
      <c r="S706" s="5"/>
      <c r="T706" s="30">
        <v>15000000</v>
      </c>
      <c r="U706" s="5"/>
      <c r="V706" s="5"/>
      <c r="W706" s="28"/>
      <c r="X706" s="28">
        <f>N706-S706</f>
        <v>0</v>
      </c>
      <c r="Y706" s="28">
        <f>O706-T706</f>
        <v>0</v>
      </c>
      <c r="Z706" s="28">
        <f>P706-U706</f>
        <v>0</v>
      </c>
      <c r="AA706" s="4"/>
      <c r="AB706" s="4"/>
      <c r="AC706">
        <f>IF(AB706=G706,1,2)</f>
        <v>2</v>
      </c>
    </row>
    <row r="707" spans="1:30" customFormat="1" ht="78" hidden="1" customHeight="1" x14ac:dyDescent="0.3">
      <c r="A707" s="7" t="s">
        <v>46</v>
      </c>
      <c r="B707" s="6">
        <v>595</v>
      </c>
      <c r="C707" s="7" t="s">
        <v>2323</v>
      </c>
      <c r="D707" s="7" t="s">
        <v>2525</v>
      </c>
      <c r="E707" s="5"/>
      <c r="F707" s="4"/>
      <c r="G707" s="7" t="s">
        <v>2526</v>
      </c>
      <c r="H707" s="5"/>
      <c r="I707" s="5"/>
      <c r="J707" s="21" t="s">
        <v>2527</v>
      </c>
      <c r="K707" s="7" t="s">
        <v>24</v>
      </c>
      <c r="L707" s="7" t="s">
        <v>2528</v>
      </c>
      <c r="M707" s="114">
        <v>3664053620</v>
      </c>
      <c r="N707" s="111"/>
      <c r="O707" s="114">
        <v>15000000</v>
      </c>
      <c r="P707" s="110"/>
      <c r="Q707" s="109">
        <f>M707+N707+O707+P707</f>
        <v>3679053620</v>
      </c>
      <c r="R707" s="14">
        <v>3664053620</v>
      </c>
      <c r="S707" s="5"/>
      <c r="T707" s="30">
        <v>15000000</v>
      </c>
      <c r="U707" s="5"/>
      <c r="V707" s="5"/>
      <c r="W707" s="28"/>
      <c r="X707" s="28">
        <f>N707-S707</f>
        <v>0</v>
      </c>
      <c r="Y707" s="28">
        <f>O707-T707</f>
        <v>0</v>
      </c>
      <c r="Z707" s="28">
        <f>P707-U707</f>
        <v>0</v>
      </c>
      <c r="AA707" s="4"/>
      <c r="AB707" s="4"/>
      <c r="AC707">
        <f>IF(AB707=G707,1,2)</f>
        <v>2</v>
      </c>
    </row>
    <row r="708" spans="1:30" customFormat="1" ht="31.2" hidden="1" x14ac:dyDescent="0.3">
      <c r="A708" s="7" t="s">
        <v>18</v>
      </c>
      <c r="B708" s="6">
        <v>596</v>
      </c>
      <c r="C708" s="7" t="s">
        <v>2323</v>
      </c>
      <c r="D708" s="7" t="s">
        <v>2529</v>
      </c>
      <c r="E708" s="5"/>
      <c r="F708" s="4"/>
      <c r="G708" s="7" t="s">
        <v>2530</v>
      </c>
      <c r="H708" s="5"/>
      <c r="I708" s="5"/>
      <c r="J708" s="21" t="s">
        <v>2531</v>
      </c>
      <c r="K708" s="7" t="s">
        <v>24</v>
      </c>
      <c r="L708" s="7" t="s">
        <v>2532</v>
      </c>
      <c r="M708" s="114">
        <v>4539694518</v>
      </c>
      <c r="N708" s="111"/>
      <c r="O708" s="114">
        <v>15000000</v>
      </c>
      <c r="P708" s="110"/>
      <c r="Q708" s="109">
        <f>M708+N708+O708+P708</f>
        <v>4554694518</v>
      </c>
      <c r="R708" s="14">
        <v>4539694518</v>
      </c>
      <c r="S708" s="5"/>
      <c r="T708" s="30">
        <v>15000000</v>
      </c>
      <c r="U708" s="5"/>
      <c r="V708" s="5"/>
      <c r="W708" s="28"/>
      <c r="X708" s="28">
        <f>N708-S708</f>
        <v>0</v>
      </c>
      <c r="Y708" s="28">
        <f>O708-T708</f>
        <v>0</v>
      </c>
      <c r="Z708" s="28">
        <f>P708-U708</f>
        <v>0</v>
      </c>
      <c r="AA708" s="4"/>
      <c r="AB708" s="4"/>
      <c r="AC708">
        <f>IF(AB708=G708,1,2)</f>
        <v>2</v>
      </c>
    </row>
    <row r="709" spans="1:30" customFormat="1" ht="42" hidden="1" x14ac:dyDescent="0.3">
      <c r="A709" s="7" t="s">
        <v>18</v>
      </c>
      <c r="B709" s="6">
        <v>598</v>
      </c>
      <c r="C709" s="7" t="s">
        <v>2323</v>
      </c>
      <c r="D709" s="7" t="s">
        <v>2537</v>
      </c>
      <c r="E709" s="5"/>
      <c r="F709" s="4"/>
      <c r="G709" s="7" t="s">
        <v>2538</v>
      </c>
      <c r="H709" s="5"/>
      <c r="I709" s="5"/>
      <c r="J709" s="21" t="s">
        <v>2539</v>
      </c>
      <c r="K709" s="7" t="s">
        <v>24</v>
      </c>
      <c r="L709" s="7" t="s">
        <v>1631</v>
      </c>
      <c r="M709" s="114">
        <v>1167043337</v>
      </c>
      <c r="N709" s="111"/>
      <c r="O709" s="114">
        <v>15000000</v>
      </c>
      <c r="P709" s="110"/>
      <c r="Q709" s="109">
        <f>M709+N709+O709+P709</f>
        <v>1182043337</v>
      </c>
      <c r="R709" s="14">
        <v>1167043337</v>
      </c>
      <c r="S709" s="5"/>
      <c r="T709" s="30">
        <v>15000000</v>
      </c>
      <c r="U709" s="5"/>
      <c r="V709" s="5"/>
      <c r="W709" s="28"/>
      <c r="X709" s="28">
        <f>N709-S709</f>
        <v>0</v>
      </c>
      <c r="Y709" s="28">
        <f>O709-T709</f>
        <v>0</v>
      </c>
      <c r="Z709" s="28">
        <f>P709-U709</f>
        <v>0</v>
      </c>
      <c r="AA709" s="4"/>
      <c r="AB709" s="4"/>
      <c r="AC709">
        <f>IF(AB709=G709,1,2)</f>
        <v>2</v>
      </c>
    </row>
    <row r="710" spans="1:30" customFormat="1" ht="42" hidden="1" x14ac:dyDescent="0.3">
      <c r="A710" s="7" t="s">
        <v>62</v>
      </c>
      <c r="B710" s="6">
        <v>600</v>
      </c>
      <c r="C710" s="7" t="s">
        <v>2323</v>
      </c>
      <c r="D710" s="7" t="s">
        <v>2546</v>
      </c>
      <c r="E710" s="7" t="s">
        <v>2547</v>
      </c>
      <c r="F710" s="4"/>
      <c r="G710" s="7" t="s">
        <v>2548</v>
      </c>
      <c r="H710" s="7" t="s">
        <v>2549</v>
      </c>
      <c r="I710" s="5"/>
      <c r="J710" s="21" t="s">
        <v>2550</v>
      </c>
      <c r="K710" s="7" t="s">
        <v>24</v>
      </c>
      <c r="L710" s="7" t="s">
        <v>2551</v>
      </c>
      <c r="M710" s="114">
        <v>1144818850</v>
      </c>
      <c r="N710" s="114">
        <v>312256350</v>
      </c>
      <c r="O710" s="114">
        <v>7500000</v>
      </c>
      <c r="P710" s="110"/>
      <c r="Q710" s="109">
        <f>M710+N710+O710+P710</f>
        <v>1464575200</v>
      </c>
      <c r="R710" s="14">
        <v>1144818850</v>
      </c>
      <c r="S710" s="14">
        <v>312256350</v>
      </c>
      <c r="T710" s="30">
        <v>7500000</v>
      </c>
      <c r="U710" s="5"/>
      <c r="V710" s="5"/>
      <c r="W710" s="28"/>
      <c r="X710" s="28">
        <f>N710-S710</f>
        <v>0</v>
      </c>
      <c r="Y710" s="28">
        <f>O710-T710</f>
        <v>0</v>
      </c>
      <c r="Z710" s="28">
        <f>P710-U710</f>
        <v>0</v>
      </c>
      <c r="AA710" s="4"/>
      <c r="AB710" s="4"/>
      <c r="AC710">
        <f>IF(AB710=G710,1,2)</f>
        <v>2</v>
      </c>
    </row>
    <row r="711" spans="1:30" customFormat="1" ht="31.2" hidden="1" x14ac:dyDescent="0.3">
      <c r="A711" s="7" t="s">
        <v>1601</v>
      </c>
      <c r="B711" s="6">
        <v>602</v>
      </c>
      <c r="C711" s="7" t="s">
        <v>2323</v>
      </c>
      <c r="D711" s="7" t="s">
        <v>2558</v>
      </c>
      <c r="E711" s="7"/>
      <c r="F711" s="4"/>
      <c r="G711" s="7" t="s">
        <v>2559</v>
      </c>
      <c r="H711" s="7"/>
      <c r="I711" s="7"/>
      <c r="J711" s="7" t="s">
        <v>2560</v>
      </c>
      <c r="K711" s="7" t="s">
        <v>24</v>
      </c>
      <c r="L711" s="7" t="s">
        <v>2561</v>
      </c>
      <c r="M711" s="114">
        <v>3859546610</v>
      </c>
      <c r="N711" s="111"/>
      <c r="O711" s="109">
        <v>15000000</v>
      </c>
      <c r="P711" s="110"/>
      <c r="Q711" s="109">
        <f>M711+N711+O711+P711</f>
        <v>3874546610</v>
      </c>
      <c r="R711" s="5"/>
      <c r="S711" s="5"/>
      <c r="T711" s="72"/>
      <c r="U711" s="5"/>
      <c r="V711" s="5"/>
      <c r="W711" s="28">
        <v>3859546610</v>
      </c>
      <c r="X711" s="28">
        <f>N711-S711</f>
        <v>0</v>
      </c>
      <c r="Y711" s="36">
        <f>O711-T711</f>
        <v>15000000</v>
      </c>
      <c r="Z711" s="28">
        <f>P711-U711</f>
        <v>0</v>
      </c>
      <c r="AA711" s="8">
        <v>3859546610</v>
      </c>
      <c r="AB711" s="40"/>
      <c r="AC711" s="121">
        <f>IF(AB711=G711,1,2)</f>
        <v>2</v>
      </c>
      <c r="AD711" s="121"/>
    </row>
    <row r="712" spans="1:30" customFormat="1" ht="63" hidden="1" x14ac:dyDescent="0.3">
      <c r="A712" s="7" t="s">
        <v>53</v>
      </c>
      <c r="B712" s="6">
        <v>603</v>
      </c>
      <c r="C712" s="7" t="s">
        <v>2562</v>
      </c>
      <c r="D712" s="7" t="s">
        <v>2563</v>
      </c>
      <c r="E712" s="5"/>
      <c r="F712" s="4"/>
      <c r="G712" s="7" t="s">
        <v>2564</v>
      </c>
      <c r="H712" s="5"/>
      <c r="I712" s="7" t="s">
        <v>2565</v>
      </c>
      <c r="J712" s="21" t="s">
        <v>2566</v>
      </c>
      <c r="K712" s="7" t="s">
        <v>24</v>
      </c>
      <c r="L712" s="7" t="s">
        <v>2567</v>
      </c>
      <c r="M712" s="114">
        <v>8125156619</v>
      </c>
      <c r="N712" s="111"/>
      <c r="O712" s="114">
        <v>15000000</v>
      </c>
      <c r="P712" s="110"/>
      <c r="Q712" s="109">
        <f>M712+N712+O712+P712</f>
        <v>8140156619</v>
      </c>
      <c r="R712" s="14">
        <v>8125156619</v>
      </c>
      <c r="S712" s="5"/>
      <c r="T712" s="30">
        <v>15000000</v>
      </c>
      <c r="U712" s="5"/>
      <c r="V712" s="5"/>
      <c r="W712" s="28"/>
      <c r="X712" s="28">
        <f>N712-S712</f>
        <v>0</v>
      </c>
      <c r="Y712" s="28">
        <f>O712-T712</f>
        <v>0</v>
      </c>
      <c r="Z712" s="28">
        <f>P712-U712</f>
        <v>0</v>
      </c>
      <c r="AA712" s="4"/>
      <c r="AB712" s="4"/>
      <c r="AC712">
        <f>IF(AB712=G712,1,2)</f>
        <v>2</v>
      </c>
    </row>
    <row r="713" spans="1:30" customFormat="1" ht="31.2" hidden="1" x14ac:dyDescent="0.3">
      <c r="A713" s="7" t="s">
        <v>62</v>
      </c>
      <c r="B713" s="6">
        <v>605</v>
      </c>
      <c r="C713" s="7" t="s">
        <v>2562</v>
      </c>
      <c r="D713" s="7" t="s">
        <v>2573</v>
      </c>
      <c r="E713" s="7" t="s">
        <v>2574</v>
      </c>
      <c r="F713" s="4"/>
      <c r="G713" s="7" t="s">
        <v>2575</v>
      </c>
      <c r="H713" s="7" t="s">
        <v>2576</v>
      </c>
      <c r="I713" s="7"/>
      <c r="J713" s="7" t="s">
        <v>2577</v>
      </c>
      <c r="K713" s="7" t="s">
        <v>24</v>
      </c>
      <c r="L713" s="7" t="s">
        <v>2578</v>
      </c>
      <c r="M713" s="114">
        <v>1671793805</v>
      </c>
      <c r="N713" s="114">
        <v>397954999</v>
      </c>
      <c r="O713" s="109">
        <v>7500000</v>
      </c>
      <c r="P713" s="110"/>
      <c r="Q713" s="109">
        <f>M713+N713+O713+P713</f>
        <v>2077248804</v>
      </c>
      <c r="R713" s="14">
        <v>1671793805</v>
      </c>
      <c r="S713" s="3">
        <v>397954999</v>
      </c>
      <c r="T713" s="72"/>
      <c r="U713" s="5"/>
      <c r="V713" s="5"/>
      <c r="W713" s="28"/>
      <c r="X713" s="28">
        <f>N713-S713</f>
        <v>0</v>
      </c>
      <c r="Y713" s="36">
        <f>O713-T713</f>
        <v>7500000</v>
      </c>
      <c r="Z713" s="28">
        <f>P713-U713</f>
        <v>0</v>
      </c>
      <c r="AA713" s="4"/>
      <c r="AB713" s="40"/>
      <c r="AC713" s="121">
        <f>IF(AB713=G713,1,2)</f>
        <v>2</v>
      </c>
      <c r="AD713" s="121"/>
    </row>
    <row r="714" spans="1:30" customFormat="1" ht="42" hidden="1" x14ac:dyDescent="0.3">
      <c r="A714" s="7" t="s">
        <v>62</v>
      </c>
      <c r="B714" s="6">
        <v>607</v>
      </c>
      <c r="C714" s="7" t="s">
        <v>2562</v>
      </c>
      <c r="D714" s="7" t="s">
        <v>2585</v>
      </c>
      <c r="E714" s="5"/>
      <c r="F714" s="4"/>
      <c r="G714" s="7" t="s">
        <v>2586</v>
      </c>
      <c r="H714" s="5"/>
      <c r="I714" s="5"/>
      <c r="J714" s="21" t="s">
        <v>2587</v>
      </c>
      <c r="K714" s="7" t="s">
        <v>24</v>
      </c>
      <c r="L714" s="7" t="s">
        <v>2524</v>
      </c>
      <c r="M714" s="114">
        <v>49275408</v>
      </c>
      <c r="N714" s="111"/>
      <c r="O714" s="114">
        <v>7500000</v>
      </c>
      <c r="P714" s="110"/>
      <c r="Q714" s="109">
        <f>M714+N714+O714+P714</f>
        <v>56775408</v>
      </c>
      <c r="R714" s="14">
        <v>49275408</v>
      </c>
      <c r="S714" s="5"/>
      <c r="T714" s="30">
        <v>7500000</v>
      </c>
      <c r="U714" s="5"/>
      <c r="V714" s="5"/>
      <c r="W714" s="28"/>
      <c r="X714" s="28">
        <f>N714-S714</f>
        <v>0</v>
      </c>
      <c r="Y714" s="28">
        <f>O714-T714</f>
        <v>0</v>
      </c>
      <c r="Z714" s="28">
        <f>P714-U714</f>
        <v>0</v>
      </c>
      <c r="AA714" s="4"/>
      <c r="AB714" s="4"/>
      <c r="AC714">
        <f>IF(AB714=G714,1,2)</f>
        <v>2</v>
      </c>
    </row>
    <row r="715" spans="1:30" customFormat="1" ht="62.4" hidden="1" customHeight="1" x14ac:dyDescent="0.3">
      <c r="A715" s="7" t="s">
        <v>62</v>
      </c>
      <c r="B715" s="6">
        <v>608</v>
      </c>
      <c r="C715" s="7" t="s">
        <v>2562</v>
      </c>
      <c r="D715" s="7" t="s">
        <v>2588</v>
      </c>
      <c r="E715" s="5"/>
      <c r="F715" s="4"/>
      <c r="G715" s="7" t="s">
        <v>2589</v>
      </c>
      <c r="H715" s="5"/>
      <c r="I715" s="5"/>
      <c r="J715" s="21" t="s">
        <v>2590</v>
      </c>
      <c r="K715" s="7" t="s">
        <v>24</v>
      </c>
      <c r="L715" s="7" t="s">
        <v>2591</v>
      </c>
      <c r="M715" s="114">
        <v>2200225188</v>
      </c>
      <c r="N715" s="111"/>
      <c r="O715" s="114">
        <v>7500000</v>
      </c>
      <c r="P715" s="110"/>
      <c r="Q715" s="109">
        <f>M715+N715+O715+P715</f>
        <v>2207725188</v>
      </c>
      <c r="R715" s="14">
        <v>2200225188</v>
      </c>
      <c r="S715" s="5"/>
      <c r="T715" s="33">
        <v>7500000</v>
      </c>
      <c r="U715" s="5"/>
      <c r="V715" s="5"/>
      <c r="W715" s="28"/>
      <c r="X715" s="28">
        <f>N715-S715</f>
        <v>0</v>
      </c>
      <c r="Y715" s="28">
        <f>O715-T715</f>
        <v>0</v>
      </c>
      <c r="Z715" s="28">
        <f>P715-U715</f>
        <v>0</v>
      </c>
      <c r="AA715" s="4"/>
      <c r="AB715" s="4"/>
      <c r="AC715">
        <f>IF(AB715=G715,1,2)</f>
        <v>2</v>
      </c>
    </row>
    <row r="716" spans="1:30" customFormat="1" ht="42" hidden="1" x14ac:dyDescent="0.3">
      <c r="A716" s="7" t="s">
        <v>18</v>
      </c>
      <c r="B716" s="6">
        <v>609</v>
      </c>
      <c r="C716" s="7" t="s">
        <v>2562</v>
      </c>
      <c r="D716" s="7" t="s">
        <v>2592</v>
      </c>
      <c r="E716" s="5"/>
      <c r="F716" s="4"/>
      <c r="G716" s="7" t="s">
        <v>2593</v>
      </c>
      <c r="H716" s="5"/>
      <c r="I716" s="5"/>
      <c r="J716" s="21" t="s">
        <v>2594</v>
      </c>
      <c r="K716" s="7" t="s">
        <v>24</v>
      </c>
      <c r="L716" s="7" t="s">
        <v>2595</v>
      </c>
      <c r="M716" s="114">
        <v>1053577380</v>
      </c>
      <c r="N716" s="111"/>
      <c r="O716" s="114">
        <v>7500000</v>
      </c>
      <c r="P716" s="110"/>
      <c r="Q716" s="109">
        <f>M716+N716+O716+P716</f>
        <v>1061077380</v>
      </c>
      <c r="R716" s="14">
        <v>1053577380</v>
      </c>
      <c r="S716" s="5"/>
      <c r="T716" s="31">
        <v>7500000</v>
      </c>
      <c r="U716" s="5"/>
      <c r="V716" s="5"/>
      <c r="W716" s="28"/>
      <c r="X716" s="28">
        <f>N716-S716</f>
        <v>0</v>
      </c>
      <c r="Y716" s="28">
        <f>O716-T716</f>
        <v>0</v>
      </c>
      <c r="Z716" s="28">
        <f>P716-U716</f>
        <v>0</v>
      </c>
      <c r="AA716" s="4"/>
      <c r="AB716" s="4"/>
      <c r="AC716">
        <f>IF(AB716=G716,1,2)</f>
        <v>2</v>
      </c>
    </row>
    <row r="717" spans="1:30" customFormat="1" ht="31.2" hidden="1" x14ac:dyDescent="0.3">
      <c r="A717" s="7" t="s">
        <v>62</v>
      </c>
      <c r="B717" s="6">
        <v>610</v>
      </c>
      <c r="C717" s="7" t="s">
        <v>2562</v>
      </c>
      <c r="D717" s="7" t="s">
        <v>2596</v>
      </c>
      <c r="E717" s="7" t="s">
        <v>2597</v>
      </c>
      <c r="F717" s="4"/>
      <c r="G717" s="7" t="s">
        <v>2598</v>
      </c>
      <c r="H717" s="7" t="s">
        <v>2599</v>
      </c>
      <c r="I717" s="5"/>
      <c r="J717" s="21" t="s">
        <v>2600</v>
      </c>
      <c r="K717" s="7" t="s">
        <v>24</v>
      </c>
      <c r="L717" s="7" t="s">
        <v>2601</v>
      </c>
      <c r="M717" s="114">
        <v>1419150880</v>
      </c>
      <c r="N717" s="114">
        <v>91469952</v>
      </c>
      <c r="O717" s="114">
        <v>7500000</v>
      </c>
      <c r="P717" s="110"/>
      <c r="Q717" s="109">
        <f>M717+N717+O717+P717</f>
        <v>1518120832</v>
      </c>
      <c r="R717" s="14">
        <v>1419150880</v>
      </c>
      <c r="S717" s="3">
        <v>91469952</v>
      </c>
      <c r="T717" s="33">
        <v>7500000</v>
      </c>
      <c r="U717" s="5"/>
      <c r="V717" s="5"/>
      <c r="W717" s="28"/>
      <c r="X717" s="28">
        <f>N717-S717</f>
        <v>0</v>
      </c>
      <c r="Y717" s="28">
        <f>O717-T717</f>
        <v>0</v>
      </c>
      <c r="Z717" s="28">
        <f>P717-U717</f>
        <v>0</v>
      </c>
      <c r="AA717" s="4"/>
      <c r="AB717" s="4"/>
      <c r="AC717">
        <f>IF(AB717=G717,1,2)</f>
        <v>2</v>
      </c>
    </row>
    <row r="718" spans="1:30" customFormat="1" ht="46.8" hidden="1" x14ac:dyDescent="0.3">
      <c r="A718" s="7" t="s">
        <v>62</v>
      </c>
      <c r="B718" s="6">
        <v>611</v>
      </c>
      <c r="C718" s="7" t="s">
        <v>2562</v>
      </c>
      <c r="D718" s="7" t="s">
        <v>2602</v>
      </c>
      <c r="E718" s="5"/>
      <c r="F718" s="4"/>
      <c r="G718" s="7" t="s">
        <v>2603</v>
      </c>
      <c r="H718" s="5"/>
      <c r="I718" s="5"/>
      <c r="J718" s="21" t="s">
        <v>2604</v>
      </c>
      <c r="K718" s="7" t="s">
        <v>24</v>
      </c>
      <c r="L718" s="7" t="s">
        <v>2605</v>
      </c>
      <c r="M718" s="114">
        <v>2821214140</v>
      </c>
      <c r="N718" s="111"/>
      <c r="O718" s="114">
        <v>15000000</v>
      </c>
      <c r="P718" s="110"/>
      <c r="Q718" s="109">
        <f>M718+N718+O718+P718</f>
        <v>2836214140</v>
      </c>
      <c r="R718" s="14">
        <v>2821214140</v>
      </c>
      <c r="S718" s="5"/>
      <c r="T718" s="33">
        <v>15000000</v>
      </c>
      <c r="U718" s="5"/>
      <c r="V718" s="5"/>
      <c r="W718" s="28"/>
      <c r="X718" s="28">
        <f>N718-S718</f>
        <v>0</v>
      </c>
      <c r="Y718" s="28">
        <f>O718-T718</f>
        <v>0</v>
      </c>
      <c r="Z718" s="28">
        <f>P718-U718</f>
        <v>0</v>
      </c>
      <c r="AA718" s="4"/>
      <c r="AB718" s="4"/>
      <c r="AC718">
        <f>IF(AB718=G718,1,2)</f>
        <v>2</v>
      </c>
    </row>
    <row r="719" spans="1:30" customFormat="1" ht="31.2" hidden="1" x14ac:dyDescent="0.3">
      <c r="A719" s="7" t="s">
        <v>1601</v>
      </c>
      <c r="B719" s="6">
        <v>612</v>
      </c>
      <c r="C719" s="7" t="s">
        <v>2562</v>
      </c>
      <c r="D719" s="7" t="s">
        <v>2606</v>
      </c>
      <c r="E719" s="5"/>
      <c r="F719" s="4"/>
      <c r="G719" s="7" t="s">
        <v>2607</v>
      </c>
      <c r="H719" s="5"/>
      <c r="I719" s="5"/>
      <c r="J719" s="21" t="s">
        <v>2608</v>
      </c>
      <c r="K719" s="7" t="s">
        <v>24</v>
      </c>
      <c r="L719" s="7" t="s">
        <v>2609</v>
      </c>
      <c r="M719" s="114">
        <v>4672084520</v>
      </c>
      <c r="N719" s="111"/>
      <c r="O719" s="114">
        <v>7500000</v>
      </c>
      <c r="P719" s="110"/>
      <c r="Q719" s="109">
        <f>M719+N719+O719+P719</f>
        <v>4679584520</v>
      </c>
      <c r="R719" s="36">
        <v>4672084520</v>
      </c>
      <c r="S719" s="5"/>
      <c r="T719" s="30">
        <v>7500000</v>
      </c>
      <c r="U719" s="5"/>
      <c r="V719" s="5"/>
      <c r="W719" s="28"/>
      <c r="X719" s="28">
        <f>N719-S719</f>
        <v>0</v>
      </c>
      <c r="Y719" s="28">
        <f>O719-T719</f>
        <v>0</v>
      </c>
      <c r="Z719" s="28">
        <f>P719-U719</f>
        <v>0</v>
      </c>
      <c r="AA719" s="4"/>
      <c r="AB719" s="4"/>
      <c r="AC719">
        <f>IF(AB719=G719,1,2)</f>
        <v>2</v>
      </c>
    </row>
    <row r="720" spans="1:30" customFormat="1" ht="31.2" hidden="1" x14ac:dyDescent="0.3">
      <c r="A720" s="7" t="s">
        <v>18</v>
      </c>
      <c r="B720" s="6">
        <v>613</v>
      </c>
      <c r="C720" s="7" t="s">
        <v>2562</v>
      </c>
      <c r="D720" s="7" t="s">
        <v>2610</v>
      </c>
      <c r="E720" s="5"/>
      <c r="F720" s="4"/>
      <c r="G720" s="7" t="s">
        <v>2611</v>
      </c>
      <c r="H720" s="5"/>
      <c r="I720" s="7" t="s">
        <v>2565</v>
      </c>
      <c r="J720" s="21" t="s">
        <v>2612</v>
      </c>
      <c r="K720" s="7" t="s">
        <v>24</v>
      </c>
      <c r="L720" s="7" t="s">
        <v>2613</v>
      </c>
      <c r="M720" s="114">
        <v>2648940180</v>
      </c>
      <c r="N720" s="111"/>
      <c r="O720" s="114">
        <v>15000000</v>
      </c>
      <c r="P720" s="110"/>
      <c r="Q720" s="109">
        <f>M720+N720+O720+P720</f>
        <v>2663940180</v>
      </c>
      <c r="R720" s="14">
        <v>2648940180</v>
      </c>
      <c r="S720" s="5"/>
      <c r="T720" s="30">
        <v>15000000</v>
      </c>
      <c r="U720" s="5"/>
      <c r="V720" s="5"/>
      <c r="W720" s="28"/>
      <c r="X720" s="28">
        <f>N720-S720</f>
        <v>0</v>
      </c>
      <c r="Y720" s="28">
        <f>O720-T720</f>
        <v>0</v>
      </c>
      <c r="Z720" s="28">
        <f>P720-U720</f>
        <v>0</v>
      </c>
      <c r="AA720" s="4"/>
      <c r="AB720" s="4"/>
      <c r="AC720">
        <f>IF(AB720=G720,1,2)</f>
        <v>2</v>
      </c>
    </row>
    <row r="721" spans="1:30" customFormat="1" ht="62.4" hidden="1" customHeight="1" x14ac:dyDescent="0.3">
      <c r="A721" s="7" t="s">
        <v>53</v>
      </c>
      <c r="B721" s="6">
        <v>614</v>
      </c>
      <c r="C721" s="7" t="s">
        <v>2562</v>
      </c>
      <c r="D721" s="7" t="s">
        <v>2614</v>
      </c>
      <c r="E721" s="5"/>
      <c r="F721" s="4"/>
      <c r="G721" s="7" t="s">
        <v>2615</v>
      </c>
      <c r="H721" s="5"/>
      <c r="I721" s="7" t="s">
        <v>2565</v>
      </c>
      <c r="J721" s="21" t="s">
        <v>2616</v>
      </c>
      <c r="K721" s="7" t="s">
        <v>24</v>
      </c>
      <c r="L721" s="7" t="s">
        <v>2169</v>
      </c>
      <c r="M721" s="114">
        <v>13040553670</v>
      </c>
      <c r="N721" s="111"/>
      <c r="O721" s="114">
        <v>15000000</v>
      </c>
      <c r="P721" s="110"/>
      <c r="Q721" s="109">
        <f>M721+N721+O721+P721</f>
        <v>13055553670</v>
      </c>
      <c r="R721" s="36">
        <v>13040553670</v>
      </c>
      <c r="S721" s="5"/>
      <c r="T721" s="30">
        <v>15000000</v>
      </c>
      <c r="U721" s="5"/>
      <c r="V721" s="5"/>
      <c r="W721" s="28"/>
      <c r="X721" s="28">
        <f>N721-S721</f>
        <v>0</v>
      </c>
      <c r="Y721" s="28">
        <f>O721-T721</f>
        <v>0</v>
      </c>
      <c r="Z721" s="28">
        <f>P721-U721</f>
        <v>0</v>
      </c>
      <c r="AA721" s="4"/>
      <c r="AB721" s="4"/>
      <c r="AC721">
        <f>IF(AB721=G721,1,2)</f>
        <v>2</v>
      </c>
    </row>
    <row r="722" spans="1:30" customFormat="1" ht="42" hidden="1" x14ac:dyDescent="0.3">
      <c r="A722" s="7" t="s">
        <v>46</v>
      </c>
      <c r="B722" s="6">
        <v>616</v>
      </c>
      <c r="C722" s="7" t="s">
        <v>2562</v>
      </c>
      <c r="D722" s="7" t="s">
        <v>2623</v>
      </c>
      <c r="E722" s="5"/>
      <c r="F722" s="4"/>
      <c r="G722" s="7" t="s">
        <v>2624</v>
      </c>
      <c r="H722" s="5"/>
      <c r="I722" s="7" t="s">
        <v>2565</v>
      </c>
      <c r="J722" s="21" t="s">
        <v>2625</v>
      </c>
      <c r="K722" s="7" t="s">
        <v>24</v>
      </c>
      <c r="L722" s="7" t="s">
        <v>2626</v>
      </c>
      <c r="M722" s="114">
        <v>5176307722</v>
      </c>
      <c r="N722" s="111"/>
      <c r="O722" s="114">
        <v>7500000</v>
      </c>
      <c r="P722" s="110"/>
      <c r="Q722" s="109">
        <f>M722+N722+O722+P722</f>
        <v>5183807722</v>
      </c>
      <c r="R722" s="14">
        <v>5176307722</v>
      </c>
      <c r="S722" s="5"/>
      <c r="T722" s="30">
        <v>7500000</v>
      </c>
      <c r="U722" s="5"/>
      <c r="V722" s="5"/>
      <c r="W722" s="28"/>
      <c r="X722" s="28">
        <f>N722-S722</f>
        <v>0</v>
      </c>
      <c r="Y722" s="28">
        <f>O722-T722</f>
        <v>0</v>
      </c>
      <c r="Z722" s="28">
        <f>P722-U722</f>
        <v>0</v>
      </c>
      <c r="AA722" s="4"/>
      <c r="AB722" s="4"/>
      <c r="AC722">
        <f>IF(AB722=G722,1,2)</f>
        <v>2</v>
      </c>
    </row>
    <row r="723" spans="1:30" customFormat="1" ht="62.4" hidden="1" customHeight="1" x14ac:dyDescent="0.3">
      <c r="A723" s="7" t="s">
        <v>62</v>
      </c>
      <c r="B723" s="6">
        <v>617</v>
      </c>
      <c r="C723" s="7" t="s">
        <v>2562</v>
      </c>
      <c r="D723" s="7" t="s">
        <v>2627</v>
      </c>
      <c r="E723" s="7" t="s">
        <v>2628</v>
      </c>
      <c r="F723" s="4"/>
      <c r="G723" s="7" t="s">
        <v>2629</v>
      </c>
      <c r="H723" s="7" t="s">
        <v>2630</v>
      </c>
      <c r="I723" s="5"/>
      <c r="J723" s="7" t="s">
        <v>2631</v>
      </c>
      <c r="K723" s="7" t="s">
        <v>24</v>
      </c>
      <c r="L723" s="7" t="s">
        <v>2632</v>
      </c>
      <c r="M723" s="109">
        <v>1147124800</v>
      </c>
      <c r="N723" s="109">
        <v>605553600</v>
      </c>
      <c r="O723" s="114">
        <v>15000000</v>
      </c>
      <c r="P723" s="110"/>
      <c r="Q723" s="109">
        <f>M723+N723+O723+P723</f>
        <v>1767678400</v>
      </c>
      <c r="R723" s="14">
        <v>1147124800</v>
      </c>
      <c r="S723" s="7"/>
      <c r="T723" s="33">
        <v>15000000</v>
      </c>
      <c r="U723" s="5"/>
      <c r="V723" s="5"/>
      <c r="W723" s="28"/>
      <c r="X723" s="36">
        <f>N723-S723</f>
        <v>605553600</v>
      </c>
      <c r="Y723" s="28">
        <f>O723-T723</f>
        <v>0</v>
      </c>
      <c r="Z723" s="28">
        <f>P723-U723</f>
        <v>0</v>
      </c>
      <c r="AA723" s="40"/>
      <c r="AB723" s="40"/>
      <c r="AC723" s="61">
        <f>IF(AB723=G723,1,2)</f>
        <v>2</v>
      </c>
      <c r="AD723" s="61"/>
    </row>
    <row r="724" spans="1:30" customFormat="1" ht="62.4" hidden="1" x14ac:dyDescent="0.3">
      <c r="A724" s="7" t="s">
        <v>53</v>
      </c>
      <c r="B724" s="6">
        <v>618</v>
      </c>
      <c r="C724" s="7" t="s">
        <v>2562</v>
      </c>
      <c r="D724" s="7" t="s">
        <v>2633</v>
      </c>
      <c r="E724" s="7" t="s">
        <v>2634</v>
      </c>
      <c r="F724" s="4"/>
      <c r="G724" s="7" t="s">
        <v>2635</v>
      </c>
      <c r="H724" s="7" t="s">
        <v>2636</v>
      </c>
      <c r="I724" s="7" t="s">
        <v>2565</v>
      </c>
      <c r="J724" s="7" t="s">
        <v>2637</v>
      </c>
      <c r="K724" s="7" t="s">
        <v>24</v>
      </c>
      <c r="L724" s="7" t="s">
        <v>2638</v>
      </c>
      <c r="M724" s="109">
        <v>13354478286</v>
      </c>
      <c r="N724" s="109">
        <v>1409984400</v>
      </c>
      <c r="O724" s="109">
        <v>7500000</v>
      </c>
      <c r="P724" s="110"/>
      <c r="Q724" s="109">
        <f>M724+N724+O724+P724</f>
        <v>14771962686</v>
      </c>
      <c r="R724" s="14">
        <v>13354478286</v>
      </c>
      <c r="S724" s="3">
        <v>1409984400</v>
      </c>
      <c r="T724" s="72"/>
      <c r="U724" s="5"/>
      <c r="V724" s="5"/>
      <c r="W724" s="28"/>
      <c r="X724" s="36">
        <f>N724-S724</f>
        <v>0</v>
      </c>
      <c r="Y724" s="36">
        <f>O724-T724</f>
        <v>7500000</v>
      </c>
      <c r="Z724" s="28">
        <f>P724-U724</f>
        <v>0</v>
      </c>
      <c r="AA724" s="40"/>
      <c r="AB724" s="40"/>
      <c r="AC724" s="121">
        <f>IF(AB724=G724,1,2)</f>
        <v>2</v>
      </c>
      <c r="AD724" s="121"/>
    </row>
    <row r="725" spans="1:30" customFormat="1" ht="31.2" hidden="1" x14ac:dyDescent="0.3">
      <c r="A725" s="7" t="s">
        <v>46</v>
      </c>
      <c r="B725" s="6">
        <v>619</v>
      </c>
      <c r="C725" s="7" t="s">
        <v>2562</v>
      </c>
      <c r="D725" s="7" t="s">
        <v>2639</v>
      </c>
      <c r="E725" s="7" t="s">
        <v>3876</v>
      </c>
      <c r="F725" s="4"/>
      <c r="G725" s="7" t="s">
        <v>2640</v>
      </c>
      <c r="H725" s="7" t="s">
        <v>3904</v>
      </c>
      <c r="I725" s="5"/>
      <c r="J725" s="7" t="s">
        <v>2641</v>
      </c>
      <c r="K725" s="7" t="s">
        <v>24</v>
      </c>
      <c r="L725" s="7" t="s">
        <v>2642</v>
      </c>
      <c r="M725" s="109">
        <v>5798938856</v>
      </c>
      <c r="N725" s="74">
        <v>40182912</v>
      </c>
      <c r="O725" s="114">
        <v>15000000</v>
      </c>
      <c r="P725" s="110"/>
      <c r="Q725" s="109">
        <f>M725+N725+O725+P725</f>
        <v>5854121768</v>
      </c>
      <c r="R725" s="14">
        <v>5798938856</v>
      </c>
      <c r="S725" s="36">
        <v>40182912</v>
      </c>
      <c r="T725" s="30">
        <v>15000000</v>
      </c>
      <c r="U725" s="5"/>
      <c r="V725" s="5"/>
      <c r="W725" s="28"/>
      <c r="X725" s="36">
        <f>N725-S725</f>
        <v>0</v>
      </c>
      <c r="Y725" s="28">
        <f>O725-T725</f>
        <v>0</v>
      </c>
      <c r="Z725" s="28">
        <f>P725-U725</f>
        <v>0</v>
      </c>
      <c r="AA725" s="40"/>
      <c r="AB725" s="40"/>
      <c r="AC725" s="61">
        <f>IF(AB725=G725,1,2)</f>
        <v>2</v>
      </c>
      <c r="AD725" s="61"/>
    </row>
    <row r="726" spans="1:30" customFormat="1" ht="31.2" hidden="1" x14ac:dyDescent="0.3">
      <c r="A726" s="7" t="s">
        <v>18</v>
      </c>
      <c r="B726" s="6">
        <v>620</v>
      </c>
      <c r="C726" s="7" t="s">
        <v>2562</v>
      </c>
      <c r="D726" s="7" t="s">
        <v>2643</v>
      </c>
      <c r="E726" s="5"/>
      <c r="F726" s="4"/>
      <c r="G726" s="7" t="s">
        <v>2644</v>
      </c>
      <c r="H726" s="5"/>
      <c r="I726" s="5"/>
      <c r="J726" s="21" t="s">
        <v>2645</v>
      </c>
      <c r="K726" s="7" t="s">
        <v>24</v>
      </c>
      <c r="L726" s="7" t="s">
        <v>2646</v>
      </c>
      <c r="M726" s="114">
        <v>4209356424</v>
      </c>
      <c r="N726" s="111"/>
      <c r="O726" s="114">
        <v>7500000</v>
      </c>
      <c r="P726" s="110"/>
      <c r="Q726" s="109">
        <f>M726+N726+O726+P726</f>
        <v>4216856424</v>
      </c>
      <c r="R726" s="14">
        <v>4209356424</v>
      </c>
      <c r="S726" s="5"/>
      <c r="T726" s="30">
        <v>7500000</v>
      </c>
      <c r="U726" s="5"/>
      <c r="V726" s="5"/>
      <c r="W726" s="28"/>
      <c r="X726" s="28">
        <f>N726-S726</f>
        <v>0</v>
      </c>
      <c r="Y726" s="28">
        <f>O726-T726</f>
        <v>0</v>
      </c>
      <c r="Z726" s="28">
        <f>P726-U726</f>
        <v>0</v>
      </c>
      <c r="AA726" s="4"/>
      <c r="AB726" s="4"/>
      <c r="AC726">
        <f>IF(AB726=G726,1,2)</f>
        <v>2</v>
      </c>
    </row>
    <row r="727" spans="1:30" customFormat="1" ht="31.2" hidden="1" x14ac:dyDescent="0.3">
      <c r="A727" s="7" t="s">
        <v>62</v>
      </c>
      <c r="B727" s="6">
        <v>623</v>
      </c>
      <c r="C727" s="7" t="s">
        <v>2562</v>
      </c>
      <c r="D727" s="7" t="s">
        <v>2659</v>
      </c>
      <c r="E727" s="7" t="s">
        <v>2660</v>
      </c>
      <c r="F727" s="4"/>
      <c r="G727" s="7" t="s">
        <v>2661</v>
      </c>
      <c r="H727" s="7" t="s">
        <v>2662</v>
      </c>
      <c r="I727" s="5"/>
      <c r="J727" s="21" t="s">
        <v>2663</v>
      </c>
      <c r="K727" s="7" t="s">
        <v>24</v>
      </c>
      <c r="L727" s="7" t="s">
        <v>2664</v>
      </c>
      <c r="M727" s="114">
        <v>6147723971</v>
      </c>
      <c r="N727" s="114">
        <v>491859703</v>
      </c>
      <c r="O727" s="114">
        <v>15000000</v>
      </c>
      <c r="P727" s="110"/>
      <c r="Q727" s="109">
        <f>M727+N727+O727+P727</f>
        <v>6654583674</v>
      </c>
      <c r="R727" s="14">
        <v>6147723971</v>
      </c>
      <c r="S727" s="14">
        <v>491859703</v>
      </c>
      <c r="T727" s="33">
        <v>15000000</v>
      </c>
      <c r="U727" s="5"/>
      <c r="V727" s="5"/>
      <c r="W727" s="28"/>
      <c r="X727" s="28">
        <f>N727-S727</f>
        <v>0</v>
      </c>
      <c r="Y727" s="28">
        <f>O727-T727</f>
        <v>0</v>
      </c>
      <c r="Z727" s="28">
        <f>P727-U727</f>
        <v>0</v>
      </c>
      <c r="AA727" s="4"/>
      <c r="AB727" s="4"/>
      <c r="AC727">
        <f>IF(AB727=G727,1,2)</f>
        <v>2</v>
      </c>
    </row>
    <row r="728" spans="1:30" customFormat="1" ht="31.2" hidden="1" x14ac:dyDescent="0.3">
      <c r="A728" s="7" t="s">
        <v>1601</v>
      </c>
      <c r="B728" s="6">
        <v>624</v>
      </c>
      <c r="C728" s="7" t="s">
        <v>2562</v>
      </c>
      <c r="D728" s="7" t="s">
        <v>2665</v>
      </c>
      <c r="E728" s="5"/>
      <c r="F728" s="4"/>
      <c r="G728" s="7" t="s">
        <v>2666</v>
      </c>
      <c r="H728" s="5"/>
      <c r="I728" s="5"/>
      <c r="J728" s="21" t="s">
        <v>2667</v>
      </c>
      <c r="K728" s="7" t="s">
        <v>24</v>
      </c>
      <c r="L728" s="7" t="s">
        <v>2517</v>
      </c>
      <c r="M728" s="114">
        <v>4471431370</v>
      </c>
      <c r="N728" s="111"/>
      <c r="O728" s="114">
        <v>15000000</v>
      </c>
      <c r="P728" s="110"/>
      <c r="Q728" s="109">
        <f>M728+N728+O728+P728</f>
        <v>4486431370</v>
      </c>
      <c r="R728" s="36">
        <v>4471431370</v>
      </c>
      <c r="S728" s="5"/>
      <c r="T728" s="30">
        <v>15000000</v>
      </c>
      <c r="U728" s="5"/>
      <c r="V728" s="5"/>
      <c r="W728" s="28"/>
      <c r="X728" s="28">
        <f>N728-S728</f>
        <v>0</v>
      </c>
      <c r="Y728" s="28">
        <f>O728-T728</f>
        <v>0</v>
      </c>
      <c r="Z728" s="28">
        <f>P728-U728</f>
        <v>0</v>
      </c>
      <c r="AA728" s="4"/>
      <c r="AB728" s="4"/>
      <c r="AC728">
        <f>IF(AB728=G728,1,2)</f>
        <v>2</v>
      </c>
    </row>
    <row r="729" spans="1:30" customFormat="1" ht="62.4" hidden="1" customHeight="1" x14ac:dyDescent="0.3">
      <c r="A729" s="7" t="s">
        <v>1601</v>
      </c>
      <c r="B729" s="6">
        <v>625</v>
      </c>
      <c r="C729" s="7" t="s">
        <v>2562</v>
      </c>
      <c r="D729" s="7" t="s">
        <v>2668</v>
      </c>
      <c r="E729" s="7" t="s">
        <v>2669</v>
      </c>
      <c r="F729" s="4"/>
      <c r="G729" s="7" t="s">
        <v>2670</v>
      </c>
      <c r="H729" s="7" t="s">
        <v>2671</v>
      </c>
      <c r="I729" s="5"/>
      <c r="J729" s="21" t="s">
        <v>2672</v>
      </c>
      <c r="K729" s="7" t="s">
        <v>24</v>
      </c>
      <c r="L729" s="7" t="s">
        <v>2673</v>
      </c>
      <c r="M729" s="114">
        <v>3044214687</v>
      </c>
      <c r="N729" s="114">
        <v>148963795</v>
      </c>
      <c r="O729" s="114">
        <v>15000000</v>
      </c>
      <c r="P729" s="110"/>
      <c r="Q729" s="109">
        <f>M729+N729+O729+P729</f>
        <v>3208178482</v>
      </c>
      <c r="R729" s="36">
        <v>3044214687</v>
      </c>
      <c r="S729" s="3">
        <v>148963795</v>
      </c>
      <c r="T729" s="30">
        <v>15000000</v>
      </c>
      <c r="U729" s="5"/>
      <c r="V729" s="5"/>
      <c r="W729" s="28"/>
      <c r="X729" s="28">
        <f>N729-S729</f>
        <v>0</v>
      </c>
      <c r="Y729" s="28">
        <f>O729-T729</f>
        <v>0</v>
      </c>
      <c r="Z729" s="28">
        <f>P729-U729</f>
        <v>0</v>
      </c>
      <c r="AA729" s="4"/>
      <c r="AB729" s="4"/>
      <c r="AC729">
        <f>IF(AB729=G729,1,2)</f>
        <v>2</v>
      </c>
    </row>
    <row r="730" spans="1:30" customFormat="1" ht="62.4" hidden="1" customHeight="1" x14ac:dyDescent="0.3">
      <c r="A730" s="7" t="s">
        <v>46</v>
      </c>
      <c r="B730" s="6">
        <v>627</v>
      </c>
      <c r="C730" s="7" t="s">
        <v>2562</v>
      </c>
      <c r="D730" s="7" t="s">
        <v>2678</v>
      </c>
      <c r="E730" s="7" t="s">
        <v>828</v>
      </c>
      <c r="F730" s="4"/>
      <c r="G730" s="7" t="s">
        <v>2679</v>
      </c>
      <c r="H730" s="7" t="s">
        <v>2680</v>
      </c>
      <c r="I730" s="5"/>
      <c r="J730" s="21" t="s">
        <v>2681</v>
      </c>
      <c r="K730" s="7" t="s">
        <v>24</v>
      </c>
      <c r="L730" s="7" t="s">
        <v>2682</v>
      </c>
      <c r="M730" s="114">
        <v>15436039426</v>
      </c>
      <c r="N730" s="114">
        <v>276510000</v>
      </c>
      <c r="O730" s="114">
        <v>15000000</v>
      </c>
      <c r="P730" s="110"/>
      <c r="Q730" s="109">
        <f>M730+N730+O730+P730</f>
        <v>15727549426</v>
      </c>
      <c r="R730" s="14">
        <v>15436039426</v>
      </c>
      <c r="S730" s="28">
        <v>276510000</v>
      </c>
      <c r="T730" s="33">
        <v>15000000</v>
      </c>
      <c r="U730" s="5"/>
      <c r="V730" s="5"/>
      <c r="W730" s="28"/>
      <c r="X730" s="28">
        <f>N730-S730</f>
        <v>0</v>
      </c>
      <c r="Y730" s="28">
        <f>O730-T730</f>
        <v>0</v>
      </c>
      <c r="Z730" s="28">
        <f>P730-U730</f>
        <v>0</v>
      </c>
      <c r="AA730" s="4"/>
      <c r="AB730" s="4"/>
      <c r="AC730">
        <f>IF(AB730=G730,1,2)</f>
        <v>2</v>
      </c>
    </row>
    <row r="731" spans="1:30" customFormat="1" ht="31.2" hidden="1" x14ac:dyDescent="0.3">
      <c r="A731" s="7" t="s">
        <v>53</v>
      </c>
      <c r="B731" s="6">
        <v>628</v>
      </c>
      <c r="C731" s="7" t="s">
        <v>2562</v>
      </c>
      <c r="D731" s="7" t="s">
        <v>2683</v>
      </c>
      <c r="E731" s="5"/>
      <c r="F731" s="4"/>
      <c r="G731" s="7" t="s">
        <v>2684</v>
      </c>
      <c r="H731" s="5"/>
      <c r="I731" s="7" t="s">
        <v>2685</v>
      </c>
      <c r="J731" s="21" t="s">
        <v>2686</v>
      </c>
      <c r="K731" s="7" t="s">
        <v>24</v>
      </c>
      <c r="L731" s="7" t="s">
        <v>2687</v>
      </c>
      <c r="M731" s="114">
        <v>5653822980</v>
      </c>
      <c r="N731" s="111"/>
      <c r="O731" s="114">
        <v>7500000</v>
      </c>
      <c r="P731" s="110"/>
      <c r="Q731" s="109">
        <f>M731+N731+O731+P731</f>
        <v>5661322980</v>
      </c>
      <c r="R731" s="14">
        <v>5653822980</v>
      </c>
      <c r="S731" s="5"/>
      <c r="T731" s="30">
        <v>7500000</v>
      </c>
      <c r="U731" s="5"/>
      <c r="V731" s="5"/>
      <c r="W731" s="28"/>
      <c r="X731" s="28">
        <f>N731-S731</f>
        <v>0</v>
      </c>
      <c r="Y731" s="28">
        <f>O731-T731</f>
        <v>0</v>
      </c>
      <c r="Z731" s="28">
        <f>P731-U731</f>
        <v>0</v>
      </c>
      <c r="AA731" s="4"/>
      <c r="AB731" s="4"/>
      <c r="AC731">
        <f>IF(AB731=G731,1,2)</f>
        <v>2</v>
      </c>
    </row>
    <row r="732" spans="1:30" customFormat="1" ht="62.4" hidden="1" customHeight="1" x14ac:dyDescent="0.3">
      <c r="A732" s="7" t="s">
        <v>53</v>
      </c>
      <c r="B732" s="6">
        <v>629</v>
      </c>
      <c r="C732" s="7" t="s">
        <v>2562</v>
      </c>
      <c r="D732" s="7" t="s">
        <v>2688</v>
      </c>
      <c r="E732" s="5"/>
      <c r="F732" s="4"/>
      <c r="G732" s="7" t="s">
        <v>2689</v>
      </c>
      <c r="H732" s="5"/>
      <c r="I732" s="7" t="s">
        <v>2685</v>
      </c>
      <c r="J732" s="21" t="s">
        <v>2690</v>
      </c>
      <c r="K732" s="7" t="s">
        <v>24</v>
      </c>
      <c r="L732" s="7" t="s">
        <v>2691</v>
      </c>
      <c r="M732" s="114">
        <v>1466514605</v>
      </c>
      <c r="N732" s="111"/>
      <c r="O732" s="114">
        <v>7500000</v>
      </c>
      <c r="P732" s="110"/>
      <c r="Q732" s="109">
        <f>M732+N732+O732+P732</f>
        <v>1474014605</v>
      </c>
      <c r="R732" s="14">
        <v>1466514605</v>
      </c>
      <c r="S732" s="5"/>
      <c r="T732" s="33">
        <v>7500000</v>
      </c>
      <c r="U732" s="5"/>
      <c r="V732" s="5"/>
      <c r="W732" s="28"/>
      <c r="X732" s="28">
        <f>N732-S732</f>
        <v>0</v>
      </c>
      <c r="Y732" s="28">
        <f>O732-T732</f>
        <v>0</v>
      </c>
      <c r="Z732" s="28">
        <f>P732-U732</f>
        <v>0</v>
      </c>
      <c r="AA732" s="4"/>
      <c r="AB732" s="4"/>
      <c r="AC732">
        <f>IF(AB732=G732,1,2)</f>
        <v>2</v>
      </c>
    </row>
    <row r="733" spans="1:30" customFormat="1" ht="31.2" hidden="1" x14ac:dyDescent="0.3">
      <c r="A733" s="7" t="s">
        <v>2290</v>
      </c>
      <c r="B733" s="6">
        <v>630</v>
      </c>
      <c r="C733" s="7" t="s">
        <v>2562</v>
      </c>
      <c r="D733" s="7" t="s">
        <v>2692</v>
      </c>
      <c r="E733" s="5"/>
      <c r="F733" s="4"/>
      <c r="G733" s="7" t="s">
        <v>2693</v>
      </c>
      <c r="H733" s="5"/>
      <c r="I733" s="7" t="s">
        <v>2565</v>
      </c>
      <c r="J733" s="21" t="s">
        <v>2694</v>
      </c>
      <c r="K733" s="7" t="s">
        <v>24</v>
      </c>
      <c r="L733" s="7" t="s">
        <v>2695</v>
      </c>
      <c r="M733" s="114">
        <v>7247037716</v>
      </c>
      <c r="N733" s="111"/>
      <c r="O733" s="114">
        <v>7500000</v>
      </c>
      <c r="P733" s="110"/>
      <c r="Q733" s="109">
        <f>M733+N733+O733+P733</f>
        <v>7254537716</v>
      </c>
      <c r="R733" s="14">
        <v>7247037716</v>
      </c>
      <c r="S733" s="5"/>
      <c r="T733" s="33">
        <v>7500000</v>
      </c>
      <c r="U733" s="5"/>
      <c r="V733" s="5"/>
      <c r="W733" s="28"/>
      <c r="X733" s="28">
        <f>N733-S733</f>
        <v>0</v>
      </c>
      <c r="Y733" s="28">
        <f>O733-T733</f>
        <v>0</v>
      </c>
      <c r="Z733" s="28">
        <f>P733-U733</f>
        <v>0</v>
      </c>
      <c r="AA733" s="4"/>
      <c r="AB733" s="4"/>
      <c r="AC733">
        <f>IF(AB733=G733,1,2)</f>
        <v>2</v>
      </c>
    </row>
    <row r="734" spans="1:30" customFormat="1" ht="78" hidden="1" customHeight="1" x14ac:dyDescent="0.3">
      <c r="A734" s="7" t="s">
        <v>18</v>
      </c>
      <c r="B734" s="6">
        <v>631</v>
      </c>
      <c r="C734" s="7" t="s">
        <v>2562</v>
      </c>
      <c r="D734" s="7" t="s">
        <v>2696</v>
      </c>
      <c r="E734" s="5"/>
      <c r="F734" s="4"/>
      <c r="G734" s="7" t="s">
        <v>2697</v>
      </c>
      <c r="H734" s="5"/>
      <c r="I734" s="5"/>
      <c r="J734" s="21" t="s">
        <v>2698</v>
      </c>
      <c r="K734" s="7" t="s">
        <v>24</v>
      </c>
      <c r="L734" s="7" t="s">
        <v>2699</v>
      </c>
      <c r="M734" s="114">
        <v>3170225742</v>
      </c>
      <c r="N734" s="111"/>
      <c r="O734" s="114">
        <v>15000000</v>
      </c>
      <c r="P734" s="110"/>
      <c r="Q734" s="109">
        <f>M734+N734+O734+P734</f>
        <v>3185225742</v>
      </c>
      <c r="R734" s="14">
        <v>3170225742</v>
      </c>
      <c r="S734" s="5"/>
      <c r="T734" s="30">
        <v>15000000</v>
      </c>
      <c r="U734" s="5"/>
      <c r="V734" s="5"/>
      <c r="W734" s="28"/>
      <c r="X734" s="28">
        <f>N734-S734</f>
        <v>0</v>
      </c>
      <c r="Y734" s="28">
        <f>O734-T734</f>
        <v>0</v>
      </c>
      <c r="Z734" s="28">
        <f>P734-U734</f>
        <v>0</v>
      </c>
      <c r="AA734" s="4"/>
      <c r="AB734" s="4"/>
      <c r="AC734">
        <f>IF(AB734=G734,1,2)</f>
        <v>2</v>
      </c>
    </row>
    <row r="735" spans="1:30" customFormat="1" ht="42" hidden="1" x14ac:dyDescent="0.3">
      <c r="A735" s="7" t="s">
        <v>18</v>
      </c>
      <c r="B735" s="6">
        <v>632</v>
      </c>
      <c r="C735" s="7" t="s">
        <v>2562</v>
      </c>
      <c r="D735" s="7" t="s">
        <v>2700</v>
      </c>
      <c r="E735" s="5"/>
      <c r="F735" s="4"/>
      <c r="G735" s="7" t="s">
        <v>2701</v>
      </c>
      <c r="H735" s="5"/>
      <c r="I735" s="5"/>
      <c r="J735" s="21" t="s">
        <v>2702</v>
      </c>
      <c r="K735" s="7" t="s">
        <v>24</v>
      </c>
      <c r="L735" s="7" t="s">
        <v>2703</v>
      </c>
      <c r="M735" s="114">
        <v>5063021384</v>
      </c>
      <c r="N735" s="111"/>
      <c r="O735" s="114">
        <v>15000000</v>
      </c>
      <c r="P735" s="110"/>
      <c r="Q735" s="109">
        <f>M735+N735+O735+P735</f>
        <v>5078021384</v>
      </c>
      <c r="R735" s="14">
        <v>5063021384</v>
      </c>
      <c r="S735" s="5"/>
      <c r="T735" s="30">
        <v>15000000</v>
      </c>
      <c r="U735" s="5"/>
      <c r="V735" s="5"/>
      <c r="W735" s="28"/>
      <c r="X735" s="28">
        <f>N735-S735</f>
        <v>0</v>
      </c>
      <c r="Y735" s="28">
        <f>O735-T735</f>
        <v>0</v>
      </c>
      <c r="Z735" s="28">
        <f>P735-U735</f>
        <v>0</v>
      </c>
      <c r="AA735" s="4"/>
      <c r="AB735" s="4"/>
      <c r="AC735">
        <f>IF(AB735=G735,1,2)</f>
        <v>2</v>
      </c>
    </row>
    <row r="736" spans="1:30" customFormat="1" ht="126" hidden="1" x14ac:dyDescent="0.3">
      <c r="A736" s="7" t="s">
        <v>53</v>
      </c>
      <c r="B736" s="6">
        <v>633</v>
      </c>
      <c r="C736" s="7" t="s">
        <v>2562</v>
      </c>
      <c r="D736" s="7" t="s">
        <v>2704</v>
      </c>
      <c r="E736" s="5"/>
      <c r="F736" s="4"/>
      <c r="G736" s="7" t="s">
        <v>2705</v>
      </c>
      <c r="H736" s="5"/>
      <c r="I736" s="7" t="s">
        <v>2565</v>
      </c>
      <c r="J736" s="21" t="s">
        <v>2706</v>
      </c>
      <c r="K736" s="7" t="s">
        <v>24</v>
      </c>
      <c r="L736" s="7" t="s">
        <v>2707</v>
      </c>
      <c r="M736" s="114">
        <v>3070287800</v>
      </c>
      <c r="N736" s="111"/>
      <c r="O736" s="114">
        <v>7500000</v>
      </c>
      <c r="P736" s="110"/>
      <c r="Q736" s="109">
        <f>M736+N736+O736+P736</f>
        <v>3077787800</v>
      </c>
      <c r="R736" s="14">
        <v>3070287800</v>
      </c>
      <c r="S736" s="5"/>
      <c r="T736" s="30">
        <v>7500000</v>
      </c>
      <c r="U736" s="5"/>
      <c r="V736" s="5"/>
      <c r="W736" s="28"/>
      <c r="X736" s="28">
        <f>N736-S736</f>
        <v>0</v>
      </c>
      <c r="Y736" s="28">
        <f>O736-T736</f>
        <v>0</v>
      </c>
      <c r="Z736" s="28">
        <f>P736-U736</f>
        <v>0</v>
      </c>
      <c r="AA736" s="4"/>
      <c r="AB736" s="4"/>
      <c r="AC736">
        <f>IF(AB736=G736,1,2)</f>
        <v>2</v>
      </c>
    </row>
    <row r="737" spans="1:30" customFormat="1" ht="46.8" hidden="1" x14ac:dyDescent="0.3">
      <c r="A737" s="7" t="s">
        <v>46</v>
      </c>
      <c r="B737" s="6">
        <v>634</v>
      </c>
      <c r="C737" s="7" t="s">
        <v>2562</v>
      </c>
      <c r="D737" s="7" t="s">
        <v>2708</v>
      </c>
      <c r="E737" s="5"/>
      <c r="F737" s="4"/>
      <c r="G737" s="7" t="s">
        <v>2709</v>
      </c>
      <c r="H737" s="5"/>
      <c r="I737" s="7" t="s">
        <v>2565</v>
      </c>
      <c r="J737" s="21" t="s">
        <v>2710</v>
      </c>
      <c r="K737" s="7" t="s">
        <v>24</v>
      </c>
      <c r="L737" s="7" t="s">
        <v>2711</v>
      </c>
      <c r="M737" s="114">
        <v>3569089716</v>
      </c>
      <c r="N737" s="111"/>
      <c r="O737" s="114">
        <v>7500000</v>
      </c>
      <c r="P737" s="110"/>
      <c r="Q737" s="109">
        <f>M737+N737+O737+P737</f>
        <v>3576589716</v>
      </c>
      <c r="R737" s="14">
        <v>3569089716</v>
      </c>
      <c r="S737" s="5"/>
      <c r="T737" s="30">
        <v>7500000</v>
      </c>
      <c r="U737" s="5"/>
      <c r="V737" s="5"/>
      <c r="W737" s="28"/>
      <c r="X737" s="28">
        <f>N737-S737</f>
        <v>0</v>
      </c>
      <c r="Y737" s="28">
        <f>O737-T737</f>
        <v>0</v>
      </c>
      <c r="Z737" s="28">
        <f>P737-U737</f>
        <v>0</v>
      </c>
      <c r="AA737" s="4"/>
      <c r="AB737" s="4"/>
      <c r="AC737">
        <f>IF(AB737=G737,1,2)</f>
        <v>2</v>
      </c>
    </row>
    <row r="738" spans="1:30" customFormat="1" ht="31.2" hidden="1" x14ac:dyDescent="0.3">
      <c r="A738" s="7" t="s">
        <v>53</v>
      </c>
      <c r="B738" s="6">
        <v>635</v>
      </c>
      <c r="C738" s="7" t="s">
        <v>2562</v>
      </c>
      <c r="D738" s="7" t="s">
        <v>2712</v>
      </c>
      <c r="E738" s="5"/>
      <c r="F738" s="4"/>
      <c r="G738" s="7" t="s">
        <v>2713</v>
      </c>
      <c r="H738" s="5"/>
      <c r="I738" s="7" t="s">
        <v>2685</v>
      </c>
      <c r="J738" s="21" t="s">
        <v>2714</v>
      </c>
      <c r="K738" s="7" t="s">
        <v>24</v>
      </c>
      <c r="L738" s="7" t="s">
        <v>2715</v>
      </c>
      <c r="M738" s="114">
        <v>1028645990</v>
      </c>
      <c r="N738" s="111"/>
      <c r="O738" s="114">
        <v>7500000</v>
      </c>
      <c r="P738" s="110"/>
      <c r="Q738" s="109">
        <f>M738+N738+O738+P738</f>
        <v>1036145990</v>
      </c>
      <c r="R738" s="14">
        <v>1028645990</v>
      </c>
      <c r="S738" s="5"/>
      <c r="T738" s="33">
        <v>7500000</v>
      </c>
      <c r="U738" s="5"/>
      <c r="V738" s="5"/>
      <c r="W738" s="28"/>
      <c r="X738" s="28">
        <f>N738-S738</f>
        <v>0</v>
      </c>
      <c r="Y738" s="28">
        <f>O738-T738</f>
        <v>0</v>
      </c>
      <c r="Z738" s="28">
        <f>P738-U738</f>
        <v>0</v>
      </c>
      <c r="AA738" s="4"/>
      <c r="AB738" s="4"/>
      <c r="AC738">
        <f>IF(AB738=G738,1,2)</f>
        <v>2</v>
      </c>
    </row>
    <row r="739" spans="1:30" customFormat="1" ht="62.4" hidden="1" customHeight="1" x14ac:dyDescent="0.4">
      <c r="A739" s="7" t="s">
        <v>18</v>
      </c>
      <c r="B739" s="6">
        <v>636</v>
      </c>
      <c r="C739" s="7" t="s">
        <v>2562</v>
      </c>
      <c r="D739" s="7" t="s">
        <v>2716</v>
      </c>
      <c r="E739" s="7"/>
      <c r="F739" s="4"/>
      <c r="G739" s="7" t="s">
        <v>2717</v>
      </c>
      <c r="H739" s="7"/>
      <c r="I739" s="7"/>
      <c r="J739" s="7" t="s">
        <v>2718</v>
      </c>
      <c r="K739" s="7" t="s">
        <v>24</v>
      </c>
      <c r="L739" s="7" t="s">
        <v>2719</v>
      </c>
      <c r="M739" s="114">
        <v>4288374500</v>
      </c>
      <c r="N739" s="111"/>
      <c r="O739" s="109">
        <v>7500000</v>
      </c>
      <c r="P739" s="110"/>
      <c r="Q739" s="109">
        <f>M739+N739+O739+P739</f>
        <v>4295874500</v>
      </c>
      <c r="R739" s="5"/>
      <c r="S739" s="5"/>
      <c r="T739" s="72"/>
      <c r="U739" s="5"/>
      <c r="V739" s="5"/>
      <c r="W739" s="28">
        <v>4288374500</v>
      </c>
      <c r="X739" s="28">
        <f>N739-S739</f>
        <v>0</v>
      </c>
      <c r="Y739" s="36">
        <f>O739-T739</f>
        <v>7500000</v>
      </c>
      <c r="Z739" s="28">
        <f>P739-U739</f>
        <v>0</v>
      </c>
      <c r="AA739" s="16">
        <v>4288374500</v>
      </c>
      <c r="AB739" s="40"/>
      <c r="AC739" s="121">
        <f>IF(AB739=G739,1,2)</f>
        <v>2</v>
      </c>
      <c r="AD739" s="121"/>
    </row>
    <row r="740" spans="1:30" customFormat="1" ht="31.2" hidden="1" x14ac:dyDescent="0.3">
      <c r="A740" s="7" t="s">
        <v>46</v>
      </c>
      <c r="B740" s="6">
        <v>637</v>
      </c>
      <c r="C740" s="7" t="s">
        <v>2562</v>
      </c>
      <c r="D740" s="7" t="s">
        <v>2720</v>
      </c>
      <c r="E740" s="5"/>
      <c r="F740" s="4"/>
      <c r="G740" s="7" t="s">
        <v>2721</v>
      </c>
      <c r="H740" s="5"/>
      <c r="I740" s="5"/>
      <c r="J740" s="21" t="s">
        <v>2722</v>
      </c>
      <c r="K740" s="7" t="s">
        <v>24</v>
      </c>
      <c r="L740" s="7" t="s">
        <v>2723</v>
      </c>
      <c r="M740" s="114">
        <v>1265664188</v>
      </c>
      <c r="N740" s="111"/>
      <c r="O740" s="114">
        <v>7500000</v>
      </c>
      <c r="P740" s="110"/>
      <c r="Q740" s="109">
        <f>M740+N740+O740+P740</f>
        <v>1273164188</v>
      </c>
      <c r="R740" s="14">
        <v>1265664188</v>
      </c>
      <c r="S740" s="5"/>
      <c r="T740" s="30">
        <v>7500000</v>
      </c>
      <c r="U740" s="5"/>
      <c r="V740" s="5"/>
      <c r="W740" s="28"/>
      <c r="X740" s="28">
        <f>N740-S740</f>
        <v>0</v>
      </c>
      <c r="Y740" s="28">
        <f>O740-T740</f>
        <v>0</v>
      </c>
      <c r="Z740" s="28">
        <f>P740-U740</f>
        <v>0</v>
      </c>
      <c r="AA740" s="4"/>
      <c r="AB740" s="4"/>
      <c r="AC740">
        <f>IF(AB740=G740,1,2)</f>
        <v>2</v>
      </c>
    </row>
    <row r="741" spans="1:30" customFormat="1" ht="42" hidden="1" x14ac:dyDescent="0.3">
      <c r="A741" s="7" t="s">
        <v>53</v>
      </c>
      <c r="B741" s="6">
        <v>638</v>
      </c>
      <c r="C741" s="7" t="s">
        <v>2562</v>
      </c>
      <c r="D741" s="7" t="s">
        <v>2724</v>
      </c>
      <c r="E741" s="5"/>
      <c r="F741" s="4"/>
      <c r="G741" s="7" t="s">
        <v>2725</v>
      </c>
      <c r="H741" s="5"/>
      <c r="I741" s="7" t="s">
        <v>2726</v>
      </c>
      <c r="J741" s="21" t="s">
        <v>2727</v>
      </c>
      <c r="K741" s="7" t="s">
        <v>24</v>
      </c>
      <c r="L741" s="7" t="s">
        <v>2728</v>
      </c>
      <c r="M741" s="114">
        <v>301882620</v>
      </c>
      <c r="N741" s="111"/>
      <c r="O741" s="114">
        <v>7500000</v>
      </c>
      <c r="P741" s="110"/>
      <c r="Q741" s="109">
        <f>M741+N741+O741+P741</f>
        <v>309382620</v>
      </c>
      <c r="R741" s="14">
        <v>301882620</v>
      </c>
      <c r="S741" s="5"/>
      <c r="T741" s="33">
        <v>7500000</v>
      </c>
      <c r="U741" s="5"/>
      <c r="V741" s="5"/>
      <c r="W741" s="28"/>
      <c r="X741" s="28">
        <f>N741-S741</f>
        <v>0</v>
      </c>
      <c r="Y741" s="28">
        <f>O741-T741</f>
        <v>0</v>
      </c>
      <c r="Z741" s="28">
        <f>P741-U741</f>
        <v>0</v>
      </c>
      <c r="AA741" s="4"/>
      <c r="AB741" s="4"/>
      <c r="AC741">
        <f>IF(AB741=G741,1,2)</f>
        <v>2</v>
      </c>
    </row>
    <row r="742" spans="1:30" customFormat="1" ht="31.2" hidden="1" x14ac:dyDescent="0.3">
      <c r="A742" s="7" t="s">
        <v>53</v>
      </c>
      <c r="B742" s="6">
        <v>640</v>
      </c>
      <c r="C742" s="7" t="s">
        <v>2562</v>
      </c>
      <c r="D742" s="7" t="s">
        <v>2734</v>
      </c>
      <c r="E742" s="7" t="s">
        <v>3877</v>
      </c>
      <c r="F742" s="4"/>
      <c r="G742" s="7" t="s">
        <v>2735</v>
      </c>
      <c r="H742" s="7" t="s">
        <v>3905</v>
      </c>
      <c r="I742" s="7" t="s">
        <v>2685</v>
      </c>
      <c r="J742" s="7" t="s">
        <v>2736</v>
      </c>
      <c r="K742" s="7" t="s">
        <v>24</v>
      </c>
      <c r="L742" s="7" t="s">
        <v>2737</v>
      </c>
      <c r="M742" s="109">
        <v>1387021608</v>
      </c>
      <c r="N742" s="74">
        <v>346755402</v>
      </c>
      <c r="O742" s="109">
        <v>7500000</v>
      </c>
      <c r="P742" s="110"/>
      <c r="Q742" s="109">
        <f>M742+N742+O742+P742</f>
        <v>1741277010</v>
      </c>
      <c r="R742" s="5"/>
      <c r="S742" s="7"/>
      <c r="T742" s="72"/>
      <c r="U742" s="5"/>
      <c r="V742" s="5"/>
      <c r="W742" s="28">
        <v>1387021608</v>
      </c>
      <c r="X742" s="36">
        <f>N742-S742</f>
        <v>346755402</v>
      </c>
      <c r="Y742" s="36">
        <f>O742-T742</f>
        <v>7500000</v>
      </c>
      <c r="Z742" s="28">
        <f>P742-U742</f>
        <v>0</v>
      </c>
      <c r="AA742" s="10">
        <v>1387021608</v>
      </c>
      <c r="AB742" s="40"/>
      <c r="AC742" s="121">
        <f>IF(AB742=G742,1,2)</f>
        <v>2</v>
      </c>
      <c r="AD742" s="121"/>
    </row>
    <row r="743" spans="1:30" customFormat="1" ht="31.2" hidden="1" x14ac:dyDescent="0.3">
      <c r="A743" s="7" t="s">
        <v>53</v>
      </c>
      <c r="B743" s="6">
        <v>641</v>
      </c>
      <c r="C743" s="7" t="s">
        <v>2562</v>
      </c>
      <c r="D743" s="7" t="s">
        <v>2738</v>
      </c>
      <c r="E743" s="5"/>
      <c r="F743" s="4"/>
      <c r="G743" s="7" t="s">
        <v>2739</v>
      </c>
      <c r="H743" s="5"/>
      <c r="I743" s="7" t="s">
        <v>28</v>
      </c>
      <c r="J743" s="21" t="s">
        <v>2740</v>
      </c>
      <c r="K743" s="7" t="s">
        <v>24</v>
      </c>
      <c r="L743" s="7" t="s">
        <v>2741</v>
      </c>
      <c r="M743" s="114">
        <v>258157180</v>
      </c>
      <c r="N743" s="111"/>
      <c r="O743" s="114">
        <v>3750000</v>
      </c>
      <c r="P743" s="110"/>
      <c r="Q743" s="109">
        <f>M743+N743+O743+P743</f>
        <v>261907180</v>
      </c>
      <c r="R743" s="14">
        <v>258157180</v>
      </c>
      <c r="S743" s="5"/>
      <c r="T743" s="33">
        <v>3750000</v>
      </c>
      <c r="U743" s="5"/>
      <c r="V743" s="5"/>
      <c r="W743" s="28"/>
      <c r="X743" s="28">
        <f>N743-S743</f>
        <v>0</v>
      </c>
      <c r="Y743" s="28">
        <f>O743-T743</f>
        <v>0</v>
      </c>
      <c r="Z743" s="28">
        <f>P743-U743</f>
        <v>0</v>
      </c>
      <c r="AA743" s="4"/>
      <c r="AB743" s="4"/>
      <c r="AC743">
        <f>IF(AB743=G743,1,2)</f>
        <v>2</v>
      </c>
    </row>
    <row r="744" spans="1:30" customFormat="1" ht="63" hidden="1" x14ac:dyDescent="0.3">
      <c r="A744" s="7" t="s">
        <v>53</v>
      </c>
      <c r="B744" s="6">
        <v>642</v>
      </c>
      <c r="C744" s="7" t="s">
        <v>2562</v>
      </c>
      <c r="D744" s="7" t="s">
        <v>2742</v>
      </c>
      <c r="E744" s="5"/>
      <c r="F744" s="4"/>
      <c r="G744" s="7" t="s">
        <v>2743</v>
      </c>
      <c r="H744" s="5"/>
      <c r="I744" s="7" t="s">
        <v>2685</v>
      </c>
      <c r="J744" s="21" t="s">
        <v>2744</v>
      </c>
      <c r="K744" s="7" t="s">
        <v>24</v>
      </c>
      <c r="L744" s="7" t="s">
        <v>2745</v>
      </c>
      <c r="M744" s="114">
        <v>3184129002</v>
      </c>
      <c r="N744" s="111"/>
      <c r="O744" s="114">
        <v>15000000</v>
      </c>
      <c r="P744" s="110"/>
      <c r="Q744" s="109">
        <f>M744+N744+O744+P744</f>
        <v>3199129002</v>
      </c>
      <c r="R744" s="14">
        <v>3184129002</v>
      </c>
      <c r="S744" s="5"/>
      <c r="T744" s="33">
        <v>15000000</v>
      </c>
      <c r="U744" s="5"/>
      <c r="V744" s="5"/>
      <c r="W744" s="28"/>
      <c r="X744" s="28">
        <f>N744-S744</f>
        <v>0</v>
      </c>
      <c r="Y744" s="28">
        <f>O744-T744</f>
        <v>0</v>
      </c>
      <c r="Z744" s="28">
        <f>P744-U744</f>
        <v>0</v>
      </c>
      <c r="AA744" s="4"/>
      <c r="AB744" s="4"/>
      <c r="AC744">
        <f>IF(AB744=G744,1,2)</f>
        <v>2</v>
      </c>
    </row>
    <row r="745" spans="1:30" customFormat="1" ht="31.2" hidden="1" x14ac:dyDescent="0.3">
      <c r="A745" s="7" t="s">
        <v>2290</v>
      </c>
      <c r="B745" s="6">
        <v>643</v>
      </c>
      <c r="C745" s="7" t="s">
        <v>2562</v>
      </c>
      <c r="D745" s="7" t="s">
        <v>2746</v>
      </c>
      <c r="E745" s="7" t="s">
        <v>2747</v>
      </c>
      <c r="F745" s="4"/>
      <c r="G745" s="7" t="s">
        <v>2748</v>
      </c>
      <c r="H745" s="7" t="s">
        <v>2749</v>
      </c>
      <c r="I745" s="7" t="s">
        <v>2685</v>
      </c>
      <c r="J745" s="21" t="s">
        <v>2750</v>
      </c>
      <c r="K745" s="7" t="s">
        <v>24</v>
      </c>
      <c r="L745" s="7" t="s">
        <v>2751</v>
      </c>
      <c r="M745" s="114">
        <v>5429528230</v>
      </c>
      <c r="N745" s="114">
        <v>1005357150</v>
      </c>
      <c r="O745" s="114">
        <v>7500000</v>
      </c>
      <c r="P745" s="110"/>
      <c r="Q745" s="109">
        <f>M745+N745+O745+P745</f>
        <v>6442385380</v>
      </c>
      <c r="R745" s="14">
        <v>5429528230</v>
      </c>
      <c r="S745" s="3">
        <v>1005357150</v>
      </c>
      <c r="T745" s="33">
        <v>7500000</v>
      </c>
      <c r="U745" s="5"/>
      <c r="V745" s="5"/>
      <c r="W745" s="28"/>
      <c r="X745" s="28">
        <f>N745-S745</f>
        <v>0</v>
      </c>
      <c r="Y745" s="28">
        <f>O745-T745</f>
        <v>0</v>
      </c>
      <c r="Z745" s="28">
        <f>P745-U745</f>
        <v>0</v>
      </c>
      <c r="AA745" s="4"/>
      <c r="AB745" s="4"/>
      <c r="AC745">
        <f>IF(AB745=G745,1,2)</f>
        <v>2</v>
      </c>
    </row>
    <row r="746" spans="1:30" customFormat="1" ht="31.2" hidden="1" x14ac:dyDescent="0.3">
      <c r="A746" s="7" t="s">
        <v>46</v>
      </c>
      <c r="B746" s="6">
        <v>647</v>
      </c>
      <c r="C746" s="7" t="s">
        <v>2562</v>
      </c>
      <c r="D746" s="7" t="s">
        <v>2768</v>
      </c>
      <c r="E746" s="5"/>
      <c r="F746" s="4"/>
      <c r="G746" s="7" t="s">
        <v>2769</v>
      </c>
      <c r="H746" s="5"/>
      <c r="I746" s="5"/>
      <c r="J746" s="21" t="s">
        <v>2770</v>
      </c>
      <c r="K746" s="7" t="s">
        <v>24</v>
      </c>
      <c r="L746" s="7" t="s">
        <v>2771</v>
      </c>
      <c r="M746" s="114">
        <v>1533758900</v>
      </c>
      <c r="N746" s="111"/>
      <c r="O746" s="114">
        <v>7500000</v>
      </c>
      <c r="P746" s="110"/>
      <c r="Q746" s="109">
        <f>M746+N746+O746+P746</f>
        <v>1541258900</v>
      </c>
      <c r="R746" s="14">
        <v>1533758900</v>
      </c>
      <c r="S746" s="5"/>
      <c r="T746" s="33">
        <v>7500000</v>
      </c>
      <c r="U746" s="5"/>
      <c r="V746" s="5"/>
      <c r="W746" s="28"/>
      <c r="X746" s="28">
        <f>N746-S746</f>
        <v>0</v>
      </c>
      <c r="Y746" s="28">
        <f>O746-T746</f>
        <v>0</v>
      </c>
      <c r="Z746" s="28">
        <f>P746-U746</f>
        <v>0</v>
      </c>
      <c r="AA746" s="4"/>
      <c r="AB746" s="4"/>
      <c r="AC746">
        <f>IF(AB746=G746,1,2)</f>
        <v>2</v>
      </c>
    </row>
    <row r="747" spans="1:30" customFormat="1" ht="62.4" hidden="1" customHeight="1" x14ac:dyDescent="0.3">
      <c r="A747" s="7" t="s">
        <v>53</v>
      </c>
      <c r="B747" s="6">
        <v>648</v>
      </c>
      <c r="C747" s="7" t="s">
        <v>2562</v>
      </c>
      <c r="D747" s="7" t="s">
        <v>2772</v>
      </c>
      <c r="E747" s="5"/>
      <c r="F747" s="4"/>
      <c r="G747" s="7" t="s">
        <v>2773</v>
      </c>
      <c r="H747" s="5"/>
      <c r="I747" s="7" t="s">
        <v>2565</v>
      </c>
      <c r="J747" s="21" t="s">
        <v>2774</v>
      </c>
      <c r="K747" s="7" t="s">
        <v>24</v>
      </c>
      <c r="L747" s="7" t="s">
        <v>2775</v>
      </c>
      <c r="M747" s="114">
        <v>7462791400</v>
      </c>
      <c r="N747" s="111"/>
      <c r="O747" s="114">
        <v>15000000</v>
      </c>
      <c r="P747" s="110"/>
      <c r="Q747" s="109">
        <f>M747+N747+O747+P747</f>
        <v>7477791400</v>
      </c>
      <c r="R747" s="14">
        <v>7462791400</v>
      </c>
      <c r="S747" s="5"/>
      <c r="T747" s="33">
        <v>15000000</v>
      </c>
      <c r="U747" s="5"/>
      <c r="V747" s="5"/>
      <c r="W747" s="28"/>
      <c r="X747" s="28">
        <f>N747-S747</f>
        <v>0</v>
      </c>
      <c r="Y747" s="28">
        <f>O747-T747</f>
        <v>0</v>
      </c>
      <c r="Z747" s="28">
        <f>P747-U747</f>
        <v>0</v>
      </c>
      <c r="AA747" s="4"/>
      <c r="AB747" s="4"/>
      <c r="AC747">
        <f>IF(AB747=G747,1,2)</f>
        <v>2</v>
      </c>
    </row>
    <row r="748" spans="1:30" customFormat="1" ht="62.4" hidden="1" customHeight="1" x14ac:dyDescent="0.3">
      <c r="A748" s="7" t="s">
        <v>2290</v>
      </c>
      <c r="B748" s="6">
        <v>649</v>
      </c>
      <c r="C748" s="7" t="s">
        <v>2562</v>
      </c>
      <c r="D748" s="7" t="s">
        <v>2776</v>
      </c>
      <c r="E748" s="5"/>
      <c r="F748" s="4"/>
      <c r="G748" s="7" t="s">
        <v>2777</v>
      </c>
      <c r="H748" s="5"/>
      <c r="I748" s="7" t="s">
        <v>2685</v>
      </c>
      <c r="J748" s="21" t="s">
        <v>2778</v>
      </c>
      <c r="K748" s="7" t="s">
        <v>24</v>
      </c>
      <c r="L748" s="7" t="s">
        <v>2779</v>
      </c>
      <c r="M748" s="114">
        <v>5198673388</v>
      </c>
      <c r="N748" s="111"/>
      <c r="O748" s="114">
        <v>15000000</v>
      </c>
      <c r="P748" s="110"/>
      <c r="Q748" s="109">
        <f>M748+N748+O748+P748</f>
        <v>5213673388</v>
      </c>
      <c r="R748" s="14">
        <v>5198673388</v>
      </c>
      <c r="S748" s="5"/>
      <c r="T748" s="30">
        <v>15000000</v>
      </c>
      <c r="U748" s="5"/>
      <c r="V748" s="5"/>
      <c r="W748" s="28"/>
      <c r="X748" s="28">
        <f>N748-S748</f>
        <v>0</v>
      </c>
      <c r="Y748" s="28">
        <f>O748-T748</f>
        <v>0</v>
      </c>
      <c r="Z748" s="28">
        <f>P748-U748</f>
        <v>0</v>
      </c>
      <c r="AA748" s="4"/>
      <c r="AB748" s="4"/>
      <c r="AC748">
        <f>IF(AB748=G748,1,2)</f>
        <v>2</v>
      </c>
    </row>
    <row r="749" spans="1:30" customFormat="1" ht="78" hidden="1" customHeight="1" x14ac:dyDescent="0.3">
      <c r="A749" s="7" t="s">
        <v>2290</v>
      </c>
      <c r="B749" s="6">
        <v>650</v>
      </c>
      <c r="C749" s="7" t="s">
        <v>2562</v>
      </c>
      <c r="D749" s="7" t="s">
        <v>2780</v>
      </c>
      <c r="E749" s="5"/>
      <c r="F749" s="4"/>
      <c r="G749" s="7" t="s">
        <v>2781</v>
      </c>
      <c r="H749" s="5"/>
      <c r="I749" s="7" t="s">
        <v>2565</v>
      </c>
      <c r="J749" s="21" t="s">
        <v>2782</v>
      </c>
      <c r="K749" s="7" t="s">
        <v>24</v>
      </c>
      <c r="L749" s="7" t="s">
        <v>2783</v>
      </c>
      <c r="M749" s="114">
        <v>2087490465</v>
      </c>
      <c r="N749" s="111"/>
      <c r="O749" s="114">
        <v>15000000</v>
      </c>
      <c r="P749" s="110"/>
      <c r="Q749" s="109">
        <f>M749+N749+O749+P749</f>
        <v>2102490465</v>
      </c>
      <c r="R749" s="14">
        <v>2087490465</v>
      </c>
      <c r="S749" s="5"/>
      <c r="T749" s="30">
        <v>15000000</v>
      </c>
      <c r="U749" s="5"/>
      <c r="V749" s="5"/>
      <c r="W749" s="28"/>
      <c r="X749" s="28">
        <f>N749-S749</f>
        <v>0</v>
      </c>
      <c r="Y749" s="28">
        <f>O749-T749</f>
        <v>0</v>
      </c>
      <c r="Z749" s="28">
        <f>P749-U749</f>
        <v>0</v>
      </c>
      <c r="AA749" s="4"/>
      <c r="AB749" s="4"/>
      <c r="AC749">
        <f>IF(AB749=G749,1,2)</f>
        <v>2</v>
      </c>
    </row>
    <row r="750" spans="1:30" customFormat="1" ht="93.6" hidden="1" customHeight="1" x14ac:dyDescent="0.3">
      <c r="A750" s="7" t="s">
        <v>46</v>
      </c>
      <c r="B750" s="6">
        <v>651</v>
      </c>
      <c r="C750" s="7" t="s">
        <v>2562</v>
      </c>
      <c r="D750" s="7" t="s">
        <v>2784</v>
      </c>
      <c r="E750" s="7"/>
      <c r="F750" s="4"/>
      <c r="G750" s="7" t="s">
        <v>2785</v>
      </c>
      <c r="H750" s="7"/>
      <c r="I750" s="7"/>
      <c r="J750" s="7" t="s">
        <v>2786</v>
      </c>
      <c r="K750" s="7" t="s">
        <v>24</v>
      </c>
      <c r="L750" s="7" t="s">
        <v>2787</v>
      </c>
      <c r="M750" s="114">
        <v>5912489280</v>
      </c>
      <c r="N750" s="111"/>
      <c r="O750" s="109">
        <v>15000000</v>
      </c>
      <c r="P750" s="110"/>
      <c r="Q750" s="109">
        <f>M750+N750+O750+P750</f>
        <v>5927489280</v>
      </c>
      <c r="R750" s="14">
        <v>5912489280</v>
      </c>
      <c r="S750" s="5"/>
      <c r="T750" s="72"/>
      <c r="U750" s="5"/>
      <c r="V750" s="5"/>
      <c r="W750" s="28"/>
      <c r="X750" s="28">
        <f>N750-S750</f>
        <v>0</v>
      </c>
      <c r="Y750" s="36">
        <f>O750-T750</f>
        <v>15000000</v>
      </c>
      <c r="Z750" s="28">
        <f>P750-U750</f>
        <v>0</v>
      </c>
      <c r="AA750" s="4"/>
      <c r="AB750" s="40"/>
      <c r="AC750" s="121">
        <f>IF(AB750=G750,1,2)</f>
        <v>2</v>
      </c>
      <c r="AD750" s="121"/>
    </row>
    <row r="751" spans="1:30" customFormat="1" ht="62.4" hidden="1" customHeight="1" x14ac:dyDescent="0.3">
      <c r="A751" s="7" t="s">
        <v>2290</v>
      </c>
      <c r="B751" s="6">
        <v>653</v>
      </c>
      <c r="C751" s="7" t="s">
        <v>2562</v>
      </c>
      <c r="D751" s="7" t="s">
        <v>2792</v>
      </c>
      <c r="E751" s="5"/>
      <c r="F751" s="4"/>
      <c r="G751" s="7" t="s">
        <v>2793</v>
      </c>
      <c r="H751" s="5"/>
      <c r="I751" s="7" t="s">
        <v>2685</v>
      </c>
      <c r="J751" s="21" t="s">
        <v>2794</v>
      </c>
      <c r="K751" s="7" t="s">
        <v>24</v>
      </c>
      <c r="L751" s="7" t="s">
        <v>2795</v>
      </c>
      <c r="M751" s="114">
        <v>3035947492</v>
      </c>
      <c r="N751" s="111"/>
      <c r="O751" s="114">
        <v>15000000</v>
      </c>
      <c r="P751" s="110"/>
      <c r="Q751" s="109">
        <f>M751+N751+O751+P751</f>
        <v>3050947492</v>
      </c>
      <c r="R751" s="14">
        <v>3035947492</v>
      </c>
      <c r="S751" s="5"/>
      <c r="T751" s="30">
        <v>15000000</v>
      </c>
      <c r="U751" s="5"/>
      <c r="V751" s="5"/>
      <c r="W751" s="28"/>
      <c r="X751" s="28">
        <f>N751-S751</f>
        <v>0</v>
      </c>
      <c r="Y751" s="28">
        <f>O751-T751</f>
        <v>0</v>
      </c>
      <c r="Z751" s="28">
        <f>P751-U751</f>
        <v>0</v>
      </c>
      <c r="AA751" s="4"/>
      <c r="AB751" s="4"/>
      <c r="AC751">
        <f>IF(AB751=G751,1,2)</f>
        <v>2</v>
      </c>
    </row>
    <row r="752" spans="1:30" customFormat="1" ht="31.2" hidden="1" x14ac:dyDescent="0.3">
      <c r="A752" s="7" t="s">
        <v>2290</v>
      </c>
      <c r="B752" s="6">
        <v>654</v>
      </c>
      <c r="C752" s="7" t="s">
        <v>2562</v>
      </c>
      <c r="D752" s="7" t="s">
        <v>2796</v>
      </c>
      <c r="E752" s="7"/>
      <c r="F752" s="4"/>
      <c r="G752" s="7" t="s">
        <v>2797</v>
      </c>
      <c r="H752" s="7"/>
      <c r="I752" s="7"/>
      <c r="J752" s="7" t="s">
        <v>2798</v>
      </c>
      <c r="K752" s="7" t="s">
        <v>24</v>
      </c>
      <c r="L752" s="7" t="s">
        <v>2799</v>
      </c>
      <c r="M752" s="114">
        <v>5634993422</v>
      </c>
      <c r="N752" s="111"/>
      <c r="O752" s="109">
        <v>15000000</v>
      </c>
      <c r="P752" s="110"/>
      <c r="Q752" s="109">
        <f>M752+N752+O752+P752</f>
        <v>5649993422</v>
      </c>
      <c r="R752" s="14">
        <v>5634993422</v>
      </c>
      <c r="S752" s="5"/>
      <c r="T752" s="72"/>
      <c r="U752" s="5"/>
      <c r="V752" s="5"/>
      <c r="W752" s="28"/>
      <c r="X752" s="28">
        <f>N752-S752</f>
        <v>0</v>
      </c>
      <c r="Y752" s="36">
        <f>O752-T752</f>
        <v>15000000</v>
      </c>
      <c r="Z752" s="28">
        <f>P752-U752</f>
        <v>0</v>
      </c>
      <c r="AA752" s="4"/>
      <c r="AB752" s="40"/>
      <c r="AC752" s="121">
        <f>IF(AB752=G752,1,2)</f>
        <v>2</v>
      </c>
      <c r="AD752" s="121"/>
    </row>
    <row r="753" spans="1:30" customFormat="1" ht="62.4" hidden="1" customHeight="1" x14ac:dyDescent="0.3">
      <c r="A753" s="7" t="s">
        <v>62</v>
      </c>
      <c r="B753" s="6">
        <v>655</v>
      </c>
      <c r="C753" s="7" t="s">
        <v>2800</v>
      </c>
      <c r="D753" s="7" t="s">
        <v>2801</v>
      </c>
      <c r="E753" s="7" t="s">
        <v>982</v>
      </c>
      <c r="F753" s="4"/>
      <c r="G753" s="7" t="s">
        <v>2802</v>
      </c>
      <c r="H753" s="5"/>
      <c r="I753" s="5"/>
      <c r="J753" s="21" t="s">
        <v>2803</v>
      </c>
      <c r="K753" s="7" t="s">
        <v>24</v>
      </c>
      <c r="L753" s="7" t="s">
        <v>2497</v>
      </c>
      <c r="M753" s="114">
        <v>9457911350</v>
      </c>
      <c r="N753" s="114">
        <v>415138500</v>
      </c>
      <c r="O753" s="114">
        <v>7500000</v>
      </c>
      <c r="P753" s="110"/>
      <c r="Q753" s="109">
        <f>M753+N753+O753+P753</f>
        <v>9880549850</v>
      </c>
      <c r="R753" s="14">
        <v>9457911350</v>
      </c>
      <c r="S753" s="3">
        <v>415138500</v>
      </c>
      <c r="T753" s="33">
        <v>7500000</v>
      </c>
      <c r="U753" s="5"/>
      <c r="V753" s="5"/>
      <c r="W753" s="28"/>
      <c r="X753" s="28">
        <f>N753-S753</f>
        <v>0</v>
      </c>
      <c r="Y753" s="28">
        <f>O753-T753</f>
        <v>0</v>
      </c>
      <c r="Z753" s="28">
        <f>P753-U753</f>
        <v>0</v>
      </c>
      <c r="AA753" s="4"/>
      <c r="AB753" s="4"/>
      <c r="AC753">
        <f>IF(AB753=G753,1,2)</f>
        <v>2</v>
      </c>
    </row>
    <row r="754" spans="1:30" customFormat="1" ht="62.4" hidden="1" customHeight="1" x14ac:dyDescent="0.3">
      <c r="A754" s="7" t="s">
        <v>46</v>
      </c>
      <c r="B754" s="6">
        <v>657</v>
      </c>
      <c r="C754" s="7" t="s">
        <v>2800</v>
      </c>
      <c r="D754" s="7" t="s">
        <v>2810</v>
      </c>
      <c r="E754" s="5"/>
      <c r="F754" s="4"/>
      <c r="G754" s="7" t="s">
        <v>2811</v>
      </c>
      <c r="H754" s="5"/>
      <c r="I754" s="7" t="s">
        <v>28</v>
      </c>
      <c r="J754" s="21" t="s">
        <v>2571</v>
      </c>
      <c r="K754" s="7" t="s">
        <v>24</v>
      </c>
      <c r="L754" s="7" t="s">
        <v>1789</v>
      </c>
      <c r="M754" s="114">
        <v>3993807300</v>
      </c>
      <c r="N754" s="111"/>
      <c r="O754" s="114">
        <v>3750000</v>
      </c>
      <c r="P754" s="110"/>
      <c r="Q754" s="109">
        <f>M754+N754+O754+P754</f>
        <v>3997557300</v>
      </c>
      <c r="R754" s="14">
        <v>3993807300</v>
      </c>
      <c r="S754" s="5"/>
      <c r="T754" s="30">
        <v>3750000</v>
      </c>
      <c r="U754" s="5"/>
      <c r="V754" s="5"/>
      <c r="W754" s="28"/>
      <c r="X754" s="28">
        <f>N754-S754</f>
        <v>0</v>
      </c>
      <c r="Y754" s="28">
        <f>O754-T754</f>
        <v>0</v>
      </c>
      <c r="Z754" s="28">
        <f>P754-U754</f>
        <v>0</v>
      </c>
      <c r="AA754" s="4"/>
      <c r="AB754" s="4"/>
      <c r="AC754">
        <f>IF(AB754=G754,1,2)</f>
        <v>2</v>
      </c>
    </row>
    <row r="755" spans="1:30" customFormat="1" ht="46.8" hidden="1" x14ac:dyDescent="0.3">
      <c r="A755" s="7" t="s">
        <v>18</v>
      </c>
      <c r="B755" s="6">
        <v>658</v>
      </c>
      <c r="C755" s="7" t="s">
        <v>2800</v>
      </c>
      <c r="D755" s="7" t="s">
        <v>2812</v>
      </c>
      <c r="E755" s="7" t="s">
        <v>2035</v>
      </c>
      <c r="F755" s="4"/>
      <c r="G755" s="7" t="s">
        <v>2813</v>
      </c>
      <c r="H755" s="7" t="s">
        <v>2814</v>
      </c>
      <c r="I755" s="7"/>
      <c r="J755" s="7" t="s">
        <v>2815</v>
      </c>
      <c r="K755" s="7" t="s">
        <v>24</v>
      </c>
      <c r="L755" s="7" t="s">
        <v>2816</v>
      </c>
      <c r="M755" s="114">
        <v>2023224224</v>
      </c>
      <c r="N755" s="114">
        <v>497631632</v>
      </c>
      <c r="O755" s="109">
        <v>7500000</v>
      </c>
      <c r="P755" s="110"/>
      <c r="Q755" s="109">
        <f>M755+N755+O755+P755</f>
        <v>2528355856</v>
      </c>
      <c r="R755" s="14">
        <v>2023224224</v>
      </c>
      <c r="S755" s="14">
        <v>497631632</v>
      </c>
      <c r="T755" s="72"/>
      <c r="U755" s="5"/>
      <c r="V755" s="5"/>
      <c r="W755" s="28"/>
      <c r="X755" s="28">
        <f>N755-S755</f>
        <v>0</v>
      </c>
      <c r="Y755" s="36">
        <f>O755-T755</f>
        <v>7500000</v>
      </c>
      <c r="Z755" s="28">
        <f>P755-U755</f>
        <v>0</v>
      </c>
      <c r="AA755" s="4"/>
      <c r="AB755" s="40"/>
      <c r="AC755" s="121">
        <f>IF(AB755=G755,1,2)</f>
        <v>2</v>
      </c>
      <c r="AD755" s="121"/>
    </row>
    <row r="756" spans="1:30" customFormat="1" ht="42" hidden="1" x14ac:dyDescent="0.3">
      <c r="A756" s="7" t="s">
        <v>46</v>
      </c>
      <c r="B756" s="6">
        <v>659</v>
      </c>
      <c r="C756" s="7" t="s">
        <v>2800</v>
      </c>
      <c r="D756" s="7" t="s">
        <v>2817</v>
      </c>
      <c r="E756" s="7" t="s">
        <v>2669</v>
      </c>
      <c r="F756" s="4"/>
      <c r="G756" s="7" t="s">
        <v>2818</v>
      </c>
      <c r="H756" s="7" t="s">
        <v>2819</v>
      </c>
      <c r="I756" s="5"/>
      <c r="J756" s="21" t="s">
        <v>2820</v>
      </c>
      <c r="K756" s="7" t="s">
        <v>24</v>
      </c>
      <c r="L756" s="7" t="s">
        <v>2821</v>
      </c>
      <c r="M756" s="114">
        <v>10422381215</v>
      </c>
      <c r="N756" s="114">
        <v>330976800</v>
      </c>
      <c r="O756" s="114">
        <v>7500000</v>
      </c>
      <c r="P756" s="110"/>
      <c r="Q756" s="109">
        <f>M756+N756+O756+P756</f>
        <v>10760858015</v>
      </c>
      <c r="R756" s="14">
        <v>10422381215</v>
      </c>
      <c r="S756" s="14">
        <v>330976800</v>
      </c>
      <c r="T756" s="30">
        <v>7500000</v>
      </c>
      <c r="U756" s="5"/>
      <c r="V756" s="5"/>
      <c r="W756" s="28"/>
      <c r="X756" s="28">
        <f>N756-S756</f>
        <v>0</v>
      </c>
      <c r="Y756" s="28">
        <f>O756-T756</f>
        <v>0</v>
      </c>
      <c r="Z756" s="28">
        <f>P756-U756</f>
        <v>0</v>
      </c>
      <c r="AA756" s="4"/>
      <c r="AB756" s="4"/>
      <c r="AC756">
        <f>IF(AB756=G756,1,2)</f>
        <v>2</v>
      </c>
    </row>
    <row r="757" spans="1:30" customFormat="1" ht="46.8" hidden="1" x14ac:dyDescent="0.3">
      <c r="A757" s="7" t="s">
        <v>18</v>
      </c>
      <c r="B757" s="6">
        <v>661</v>
      </c>
      <c r="C757" s="7" t="s">
        <v>2800</v>
      </c>
      <c r="D757" s="7" t="s">
        <v>2827</v>
      </c>
      <c r="E757" s="5"/>
      <c r="F757" s="4"/>
      <c r="G757" s="7" t="s">
        <v>2828</v>
      </c>
      <c r="H757" s="5"/>
      <c r="I757" s="5"/>
      <c r="J757" s="21" t="s">
        <v>2829</v>
      </c>
      <c r="K757" s="7" t="s">
        <v>24</v>
      </c>
      <c r="L757" s="7" t="s">
        <v>2826</v>
      </c>
      <c r="M757" s="114">
        <v>619998256</v>
      </c>
      <c r="N757" s="111"/>
      <c r="O757" s="114">
        <v>15000000</v>
      </c>
      <c r="P757" s="110"/>
      <c r="Q757" s="109">
        <f>M757+N757+O757+P757</f>
        <v>634998256</v>
      </c>
      <c r="R757" s="36">
        <v>619998256</v>
      </c>
      <c r="S757" s="5"/>
      <c r="T757" s="33">
        <v>15000000</v>
      </c>
      <c r="U757" s="5"/>
      <c r="V757" s="5"/>
      <c r="W757" s="28"/>
      <c r="X757" s="28">
        <f>N757-S757</f>
        <v>0</v>
      </c>
      <c r="Y757" s="28">
        <f>O757-T757</f>
        <v>0</v>
      </c>
      <c r="Z757" s="28">
        <f>P757-U757</f>
        <v>0</v>
      </c>
      <c r="AA757" s="4"/>
      <c r="AB757" s="4"/>
      <c r="AC757">
        <f>IF(AB757=G757,1,2)</f>
        <v>2</v>
      </c>
    </row>
    <row r="758" spans="1:30" customFormat="1" ht="84" hidden="1" x14ac:dyDescent="0.3">
      <c r="A758" s="7" t="s">
        <v>18</v>
      </c>
      <c r="B758" s="6">
        <v>662</v>
      </c>
      <c r="C758" s="7" t="s">
        <v>2800</v>
      </c>
      <c r="D758" s="7" t="s">
        <v>2830</v>
      </c>
      <c r="E758" s="5"/>
      <c r="F758" s="4"/>
      <c r="G758" s="7" t="s">
        <v>2831</v>
      </c>
      <c r="H758" s="5"/>
      <c r="I758" s="5"/>
      <c r="J758" s="21" t="s">
        <v>2832</v>
      </c>
      <c r="K758" s="7" t="s">
        <v>24</v>
      </c>
      <c r="L758" s="7" t="s">
        <v>2833</v>
      </c>
      <c r="M758" s="114">
        <v>3682837780</v>
      </c>
      <c r="N758" s="111"/>
      <c r="O758" s="114">
        <v>15000000</v>
      </c>
      <c r="P758" s="110"/>
      <c r="Q758" s="109">
        <f>M758+N758+O758+P758</f>
        <v>3697837780</v>
      </c>
      <c r="R758" s="14">
        <v>3682837780</v>
      </c>
      <c r="S758" s="5"/>
      <c r="T758" s="30">
        <v>15000000</v>
      </c>
      <c r="U758" s="5"/>
      <c r="V758" s="5"/>
      <c r="W758" s="28"/>
      <c r="X758" s="28">
        <f>N758-S758</f>
        <v>0</v>
      </c>
      <c r="Y758" s="28">
        <f>O758-T758</f>
        <v>0</v>
      </c>
      <c r="Z758" s="28">
        <f>P758-U758</f>
        <v>0</v>
      </c>
      <c r="AA758" s="4"/>
      <c r="AB758" s="4"/>
      <c r="AC758">
        <f>IF(AB758=G758,1,2)</f>
        <v>2</v>
      </c>
    </row>
    <row r="759" spans="1:30" customFormat="1" ht="78" hidden="1" customHeight="1" x14ac:dyDescent="0.3">
      <c r="A759" s="7" t="s">
        <v>18</v>
      </c>
      <c r="B759" s="6">
        <v>663</v>
      </c>
      <c r="C759" s="7" t="s">
        <v>2800</v>
      </c>
      <c r="D759" s="7" t="s">
        <v>2834</v>
      </c>
      <c r="E759" s="5"/>
      <c r="F759" s="4"/>
      <c r="G759" s="7" t="s">
        <v>2835</v>
      </c>
      <c r="H759" s="5"/>
      <c r="I759" s="5"/>
      <c r="J759" s="21" t="s">
        <v>2836</v>
      </c>
      <c r="K759" s="7" t="s">
        <v>24</v>
      </c>
      <c r="L759" s="7" t="s">
        <v>2837</v>
      </c>
      <c r="M759" s="114">
        <v>30531714626</v>
      </c>
      <c r="N759" s="111"/>
      <c r="O759" s="114">
        <v>15000000</v>
      </c>
      <c r="P759" s="110"/>
      <c r="Q759" s="109">
        <f>M759+N759+O759+P759</f>
        <v>30546714626</v>
      </c>
      <c r="R759" s="14">
        <v>30531714626</v>
      </c>
      <c r="S759" s="5"/>
      <c r="T759" s="31">
        <v>15000000</v>
      </c>
      <c r="U759" s="5"/>
      <c r="V759" s="5"/>
      <c r="W759" s="28"/>
      <c r="X759" s="28">
        <f>N759-S759</f>
        <v>0</v>
      </c>
      <c r="Y759" s="28">
        <f>O759-T759</f>
        <v>0</v>
      </c>
      <c r="Z759" s="28">
        <f>P759-U759</f>
        <v>0</v>
      </c>
      <c r="AA759" s="4"/>
      <c r="AB759" s="4"/>
      <c r="AC759">
        <f>IF(AB759=G759,1,2)</f>
        <v>2</v>
      </c>
    </row>
    <row r="760" spans="1:30" customFormat="1" ht="42" hidden="1" x14ac:dyDescent="0.3">
      <c r="A760" s="7" t="s">
        <v>18</v>
      </c>
      <c r="B760" s="6">
        <v>665</v>
      </c>
      <c r="C760" s="7" t="s">
        <v>2838</v>
      </c>
      <c r="D760" s="7" t="s">
        <v>2846</v>
      </c>
      <c r="E760" s="7" t="s">
        <v>1922</v>
      </c>
      <c r="F760" s="4"/>
      <c r="G760" s="7" t="s">
        <v>2847</v>
      </c>
      <c r="H760" s="7" t="s">
        <v>2848</v>
      </c>
      <c r="I760" s="5"/>
      <c r="J760" s="21" t="s">
        <v>2849</v>
      </c>
      <c r="K760" s="7" t="s">
        <v>24</v>
      </c>
      <c r="L760" s="7" t="s">
        <v>2850</v>
      </c>
      <c r="M760" s="114">
        <v>2569591424</v>
      </c>
      <c r="N760" s="114">
        <v>588296218</v>
      </c>
      <c r="O760" s="114">
        <v>15000000</v>
      </c>
      <c r="P760" s="110"/>
      <c r="Q760" s="109">
        <f>M760+N760+O760+P760</f>
        <v>3172887642</v>
      </c>
      <c r="R760" s="14">
        <v>2569591424</v>
      </c>
      <c r="S760" s="14">
        <v>588296218</v>
      </c>
      <c r="T760" s="30">
        <v>15000000</v>
      </c>
      <c r="U760" s="5"/>
      <c r="V760" s="5"/>
      <c r="W760" s="28"/>
      <c r="X760" s="28">
        <f>N760-S760</f>
        <v>0</v>
      </c>
      <c r="Y760" s="28">
        <f>O760-T760</f>
        <v>0</v>
      </c>
      <c r="Z760" s="28">
        <f>P760-U760</f>
        <v>0</v>
      </c>
      <c r="AA760" s="4"/>
      <c r="AB760" s="4"/>
      <c r="AC760">
        <f>IF(AB760=G760,1,2)</f>
        <v>2</v>
      </c>
    </row>
    <row r="761" spans="1:30" customFormat="1" ht="78" hidden="1" x14ac:dyDescent="0.3">
      <c r="A761" s="41" t="s">
        <v>18</v>
      </c>
      <c r="B761" s="6">
        <v>667</v>
      </c>
      <c r="C761" s="41" t="s">
        <v>2838</v>
      </c>
      <c r="D761" s="41" t="s">
        <v>2857</v>
      </c>
      <c r="E761" s="41" t="s">
        <v>2861</v>
      </c>
      <c r="F761" s="4"/>
      <c r="G761" s="41" t="s">
        <v>3908</v>
      </c>
      <c r="H761" s="41" t="s">
        <v>2862</v>
      </c>
      <c r="I761" s="7"/>
      <c r="J761" s="41" t="s">
        <v>2859</v>
      </c>
      <c r="K761" s="41" t="s">
        <v>24</v>
      </c>
      <c r="L761" s="41" t="s">
        <v>2860</v>
      </c>
      <c r="M761" s="117">
        <v>10000000</v>
      </c>
      <c r="N761" s="113">
        <v>965448012</v>
      </c>
      <c r="O761" s="113">
        <f>15000000+15000000</f>
        <v>30000000</v>
      </c>
      <c r="P761" s="110"/>
      <c r="Q761" s="109">
        <f>M761+N761+O761+P761</f>
        <v>1005448012</v>
      </c>
      <c r="R761" s="18">
        <v>10000000</v>
      </c>
      <c r="S761" s="18">
        <v>955448012</v>
      </c>
      <c r="T761" s="32">
        <v>15000000</v>
      </c>
      <c r="U761" s="5"/>
      <c r="V761" s="5"/>
      <c r="W761" s="28"/>
      <c r="X761" s="28">
        <f>N761-S761</f>
        <v>10000000</v>
      </c>
      <c r="Y761" s="36">
        <f>O761-T761</f>
        <v>15000000</v>
      </c>
      <c r="Z761" s="28">
        <f>P761-U761</f>
        <v>0</v>
      </c>
      <c r="AA761" s="4"/>
      <c r="AB761" s="40" t="s">
        <v>3909</v>
      </c>
      <c r="AC761" s="121">
        <f>IF(AB761=G761,1,2)</f>
        <v>2</v>
      </c>
      <c r="AD761" s="121"/>
    </row>
    <row r="762" spans="1:30" customFormat="1" ht="78" hidden="1" x14ac:dyDescent="0.4">
      <c r="A762" s="7" t="s">
        <v>18</v>
      </c>
      <c r="B762" s="6">
        <v>669</v>
      </c>
      <c r="C762" s="7" t="s">
        <v>2838</v>
      </c>
      <c r="D762" s="7" t="s">
        <v>2868</v>
      </c>
      <c r="E762" s="7" t="s">
        <v>2869</v>
      </c>
      <c r="F762" s="4"/>
      <c r="G762" s="7"/>
      <c r="H762" s="7"/>
      <c r="I762" s="7" t="s">
        <v>2870</v>
      </c>
      <c r="J762" s="7" t="s">
        <v>2871</v>
      </c>
      <c r="K762" s="7" t="s">
        <v>24</v>
      </c>
      <c r="L762" s="7" t="s">
        <v>2872</v>
      </c>
      <c r="M762" s="114">
        <v>10000000</v>
      </c>
      <c r="N762" s="111"/>
      <c r="O762" s="109">
        <v>15000000</v>
      </c>
      <c r="P762" s="110"/>
      <c r="Q762" s="109">
        <f>M762+N762+O762+P762</f>
        <v>25000000</v>
      </c>
      <c r="R762" s="5"/>
      <c r="S762" s="5"/>
      <c r="T762" s="72"/>
      <c r="U762" s="5"/>
      <c r="V762" s="5"/>
      <c r="W762" s="28">
        <v>10000000</v>
      </c>
      <c r="X762" s="28">
        <f>N762-S762</f>
        <v>0</v>
      </c>
      <c r="Y762" s="36">
        <f>O762-T762</f>
        <v>15000000</v>
      </c>
      <c r="Z762" s="28">
        <f>P762-U762</f>
        <v>0</v>
      </c>
      <c r="AA762" s="16">
        <v>10000000</v>
      </c>
      <c r="AB762" s="40"/>
      <c r="AC762" s="121">
        <f>IF(AB762=G762,1,2)</f>
        <v>1</v>
      </c>
      <c r="AD762" s="121"/>
    </row>
    <row r="763" spans="1:30" customFormat="1" ht="31.2" hidden="1" x14ac:dyDescent="0.3">
      <c r="A763" s="7" t="s">
        <v>18</v>
      </c>
      <c r="B763" s="6">
        <v>670</v>
      </c>
      <c r="C763" s="7" t="s">
        <v>2838</v>
      </c>
      <c r="D763" s="7" t="s">
        <v>2873</v>
      </c>
      <c r="E763" s="7"/>
      <c r="F763" s="4"/>
      <c r="G763" s="7" t="s">
        <v>2874</v>
      </c>
      <c r="H763" s="7"/>
      <c r="I763" s="7"/>
      <c r="J763" s="7" t="s">
        <v>2875</v>
      </c>
      <c r="K763" s="7" t="s">
        <v>24</v>
      </c>
      <c r="L763" s="7" t="s">
        <v>2876</v>
      </c>
      <c r="M763" s="114">
        <v>6640287381</v>
      </c>
      <c r="N763" s="111"/>
      <c r="O763" s="109">
        <v>15000000</v>
      </c>
      <c r="P763" s="110"/>
      <c r="Q763" s="109">
        <f>M763+N763+O763+P763</f>
        <v>6655287381</v>
      </c>
      <c r="R763" s="14">
        <v>6640287381</v>
      </c>
      <c r="S763" s="5"/>
      <c r="T763" s="72"/>
      <c r="U763" s="5"/>
      <c r="V763" s="5"/>
      <c r="W763" s="28"/>
      <c r="X763" s="28">
        <f>N763-S763</f>
        <v>0</v>
      </c>
      <c r="Y763" s="36">
        <f>O763-T763</f>
        <v>15000000</v>
      </c>
      <c r="Z763" s="28">
        <f>P763-U763</f>
        <v>0</v>
      </c>
      <c r="AA763" s="4"/>
      <c r="AB763" s="40"/>
      <c r="AC763" s="121">
        <f>IF(AB763=G763,1,2)</f>
        <v>2</v>
      </c>
      <c r="AD763" s="121"/>
    </row>
    <row r="764" spans="1:30" customFormat="1" ht="31.2" hidden="1" x14ac:dyDescent="0.3">
      <c r="A764" s="7" t="s">
        <v>62</v>
      </c>
      <c r="B764" s="6">
        <v>671</v>
      </c>
      <c r="C764" s="7" t="s">
        <v>2877</v>
      </c>
      <c r="D764" s="7" t="s">
        <v>2878</v>
      </c>
      <c r="E764" s="7" t="s">
        <v>2879</v>
      </c>
      <c r="F764" s="4"/>
      <c r="G764" s="7" t="s">
        <v>2880</v>
      </c>
      <c r="H764" s="7" t="s">
        <v>2881</v>
      </c>
      <c r="I764" s="5"/>
      <c r="J764" s="7" t="s">
        <v>2882</v>
      </c>
      <c r="K764" s="7" t="s">
        <v>24</v>
      </c>
      <c r="L764" s="7" t="s">
        <v>2883</v>
      </c>
      <c r="M764" s="109">
        <v>21170862212</v>
      </c>
      <c r="N764" s="109">
        <v>250496432</v>
      </c>
      <c r="O764" s="114">
        <v>7500000</v>
      </c>
      <c r="P764" s="110"/>
      <c r="Q764" s="109">
        <f>M764+N764+O764+P764</f>
        <v>21428858644</v>
      </c>
      <c r="R764" s="14">
        <v>21170862212</v>
      </c>
      <c r="S764" s="7"/>
      <c r="T764" s="33">
        <v>7500000</v>
      </c>
      <c r="U764" s="5"/>
      <c r="V764" s="5"/>
      <c r="W764" s="28"/>
      <c r="X764" s="36">
        <f>N764-S764</f>
        <v>250496432</v>
      </c>
      <c r="Y764" s="28">
        <f>O764-T764</f>
        <v>0</v>
      </c>
      <c r="Z764" s="28">
        <f>P764-U764</f>
        <v>0</v>
      </c>
      <c r="AA764" s="40"/>
      <c r="AB764" s="40"/>
      <c r="AC764" s="61">
        <f>IF(AB764=G764,1,2)</f>
        <v>2</v>
      </c>
      <c r="AD764" s="61"/>
    </row>
    <row r="765" spans="1:30" customFormat="1" ht="63" hidden="1" x14ac:dyDescent="0.3">
      <c r="A765" s="7" t="s">
        <v>62</v>
      </c>
      <c r="B765" s="6">
        <v>672</v>
      </c>
      <c r="C765" s="7" t="s">
        <v>2877</v>
      </c>
      <c r="D765" s="7" t="s">
        <v>2884</v>
      </c>
      <c r="E765" s="5"/>
      <c r="F765" s="4"/>
      <c r="G765" s="7" t="s">
        <v>2885</v>
      </c>
      <c r="H765" s="5"/>
      <c r="I765" s="5"/>
      <c r="J765" s="21" t="s">
        <v>2886</v>
      </c>
      <c r="K765" s="7" t="s">
        <v>24</v>
      </c>
      <c r="L765" s="7" t="s">
        <v>2887</v>
      </c>
      <c r="M765" s="114">
        <v>2853972350</v>
      </c>
      <c r="N765" s="111"/>
      <c r="O765" s="114">
        <v>7500000</v>
      </c>
      <c r="P765" s="110"/>
      <c r="Q765" s="109">
        <f>M765+N765+O765+P765</f>
        <v>2861472350</v>
      </c>
      <c r="R765" s="14">
        <v>2853972350</v>
      </c>
      <c r="S765" s="5"/>
      <c r="T765" s="30">
        <v>7500000</v>
      </c>
      <c r="U765" s="5"/>
      <c r="V765" s="5"/>
      <c r="W765" s="28"/>
      <c r="X765" s="28">
        <f>N765-S765</f>
        <v>0</v>
      </c>
      <c r="Y765" s="28">
        <f>O765-T765</f>
        <v>0</v>
      </c>
      <c r="Z765" s="28">
        <f>P765-U765</f>
        <v>0</v>
      </c>
      <c r="AA765" s="4"/>
      <c r="AB765" s="4"/>
      <c r="AC765">
        <f>IF(AB765=G765,1,2)</f>
        <v>2</v>
      </c>
    </row>
    <row r="766" spans="1:30" customFormat="1" ht="31.2" hidden="1" x14ac:dyDescent="0.3">
      <c r="A766" s="7" t="s">
        <v>18</v>
      </c>
      <c r="B766" s="6">
        <v>674</v>
      </c>
      <c r="C766" s="7" t="s">
        <v>2877</v>
      </c>
      <c r="D766" s="7" t="s">
        <v>2893</v>
      </c>
      <c r="E766" s="7" t="s">
        <v>914</v>
      </c>
      <c r="F766" s="4"/>
      <c r="G766" s="7" t="s">
        <v>2894</v>
      </c>
      <c r="H766" s="7"/>
      <c r="I766" s="7"/>
      <c r="J766" s="7" t="s">
        <v>2895</v>
      </c>
      <c r="K766" s="7" t="s">
        <v>24</v>
      </c>
      <c r="L766" s="7" t="s">
        <v>2896</v>
      </c>
      <c r="M766" s="114">
        <v>54817863740</v>
      </c>
      <c r="N766" s="114">
        <v>10109297</v>
      </c>
      <c r="O766" s="109">
        <v>7500000</v>
      </c>
      <c r="P766" s="110"/>
      <c r="Q766" s="109">
        <f>M766+N766+O766+P766</f>
        <v>54835473037</v>
      </c>
      <c r="R766" s="14">
        <v>54817863740</v>
      </c>
      <c r="S766" s="14">
        <v>10109297</v>
      </c>
      <c r="T766" s="72"/>
      <c r="U766" s="5"/>
      <c r="V766" s="5"/>
      <c r="W766" s="28"/>
      <c r="X766" s="28">
        <f>N766-S766</f>
        <v>0</v>
      </c>
      <c r="Y766" s="36">
        <f>O766-T766</f>
        <v>7500000</v>
      </c>
      <c r="Z766" s="28">
        <f>P766-U766</f>
        <v>0</v>
      </c>
      <c r="AA766" s="4"/>
      <c r="AB766" s="40"/>
      <c r="AC766" s="121">
        <f>IF(AB766=G766,1,2)</f>
        <v>2</v>
      </c>
      <c r="AD766" s="121"/>
    </row>
    <row r="767" spans="1:30" customFormat="1" ht="42" hidden="1" x14ac:dyDescent="0.3">
      <c r="A767" s="7" t="s">
        <v>62</v>
      </c>
      <c r="B767" s="6">
        <v>675</v>
      </c>
      <c r="C767" s="7" t="s">
        <v>2877</v>
      </c>
      <c r="D767" s="7" t="s">
        <v>2897</v>
      </c>
      <c r="E767" s="5"/>
      <c r="F767" s="4"/>
      <c r="G767" s="7" t="s">
        <v>2898</v>
      </c>
      <c r="H767" s="5"/>
      <c r="I767" s="5"/>
      <c r="J767" s="21" t="s">
        <v>2899</v>
      </c>
      <c r="K767" s="7" t="s">
        <v>24</v>
      </c>
      <c r="L767" s="7" t="s">
        <v>2900</v>
      </c>
      <c r="M767" s="114">
        <v>3446384400</v>
      </c>
      <c r="N767" s="111"/>
      <c r="O767" s="114">
        <v>7500000</v>
      </c>
      <c r="P767" s="110"/>
      <c r="Q767" s="109">
        <f>M767+N767+O767+P767</f>
        <v>3453884400</v>
      </c>
      <c r="R767" s="14">
        <v>3446384400</v>
      </c>
      <c r="S767" s="5"/>
      <c r="T767" s="30">
        <v>7500000</v>
      </c>
      <c r="U767" s="5"/>
      <c r="V767" s="5"/>
      <c r="W767" s="28"/>
      <c r="X767" s="28">
        <f>N767-S767</f>
        <v>0</v>
      </c>
      <c r="Y767" s="28">
        <f>O767-T767</f>
        <v>0</v>
      </c>
      <c r="Z767" s="28">
        <f>P767-U767</f>
        <v>0</v>
      </c>
      <c r="AA767" s="4"/>
      <c r="AB767" s="4"/>
      <c r="AC767">
        <f>IF(AB767=G767,1,2)</f>
        <v>2</v>
      </c>
    </row>
    <row r="768" spans="1:30" customFormat="1" ht="42" hidden="1" x14ac:dyDescent="0.3">
      <c r="A768" s="7" t="s">
        <v>46</v>
      </c>
      <c r="B768" s="6">
        <v>678</v>
      </c>
      <c r="C768" s="7" t="s">
        <v>2877</v>
      </c>
      <c r="D768" s="7" t="s">
        <v>2908</v>
      </c>
      <c r="E768" s="5"/>
      <c r="F768" s="4"/>
      <c r="G768" s="7" t="s">
        <v>2909</v>
      </c>
      <c r="H768" s="5"/>
      <c r="I768" s="5"/>
      <c r="J768" s="21" t="s">
        <v>2910</v>
      </c>
      <c r="K768" s="7" t="s">
        <v>24</v>
      </c>
      <c r="L768" s="7" t="s">
        <v>2911</v>
      </c>
      <c r="M768" s="114">
        <v>7884922752</v>
      </c>
      <c r="N768" s="111"/>
      <c r="O768" s="114">
        <v>7500000</v>
      </c>
      <c r="P768" s="110"/>
      <c r="Q768" s="109">
        <f>M768+N768+O768+P768</f>
        <v>7892422752</v>
      </c>
      <c r="R768" s="14">
        <v>7884922752</v>
      </c>
      <c r="S768" s="5"/>
      <c r="T768" s="30">
        <v>7500000</v>
      </c>
      <c r="U768" s="5"/>
      <c r="V768" s="5"/>
      <c r="W768" s="28"/>
      <c r="X768" s="28">
        <f>N768-S768</f>
        <v>0</v>
      </c>
      <c r="Y768" s="28">
        <f>O768-T768</f>
        <v>0</v>
      </c>
      <c r="Z768" s="28">
        <f>P768-U768</f>
        <v>0</v>
      </c>
      <c r="AA768" s="4"/>
      <c r="AB768" s="4"/>
      <c r="AC768">
        <f>IF(AB768=G768,1,2)</f>
        <v>2</v>
      </c>
    </row>
    <row r="769" spans="1:30" customFormat="1" ht="46.8" hidden="1" x14ac:dyDescent="0.4">
      <c r="A769" s="7" t="s">
        <v>18</v>
      </c>
      <c r="B769" s="6">
        <v>680</v>
      </c>
      <c r="C769" s="7" t="s">
        <v>2877</v>
      </c>
      <c r="D769" s="7" t="s">
        <v>2916</v>
      </c>
      <c r="E769" s="7"/>
      <c r="F769" s="4"/>
      <c r="G769" s="7" t="s">
        <v>2917</v>
      </c>
      <c r="H769" s="7"/>
      <c r="I769" s="7"/>
      <c r="J769" s="7" t="s">
        <v>2918</v>
      </c>
      <c r="K769" s="7" t="s">
        <v>24</v>
      </c>
      <c r="L769" s="7" t="s">
        <v>2919</v>
      </c>
      <c r="M769" s="114">
        <v>2778910722</v>
      </c>
      <c r="N769" s="111"/>
      <c r="O769" s="109">
        <v>7500000</v>
      </c>
      <c r="P769" s="110"/>
      <c r="Q769" s="109">
        <f>M769+N769+O769+P769</f>
        <v>2786410722</v>
      </c>
      <c r="R769" s="5"/>
      <c r="S769" s="5"/>
      <c r="T769" s="72"/>
      <c r="U769" s="5"/>
      <c r="V769" s="5"/>
      <c r="W769" s="28">
        <v>2778910722</v>
      </c>
      <c r="X769" s="28">
        <f>N769-S769</f>
        <v>0</v>
      </c>
      <c r="Y769" s="36">
        <f>O769-T769</f>
        <v>7500000</v>
      </c>
      <c r="Z769" s="28">
        <f>P769-U769</f>
        <v>0</v>
      </c>
      <c r="AA769" s="16">
        <v>2778910722</v>
      </c>
      <c r="AB769" s="40"/>
      <c r="AC769" s="121">
        <f>IF(AB769=G769,1,2)</f>
        <v>2</v>
      </c>
      <c r="AD769" s="121"/>
    </row>
    <row r="770" spans="1:30" customFormat="1" ht="31.2" hidden="1" x14ac:dyDescent="0.3">
      <c r="A770" s="7" t="s">
        <v>62</v>
      </c>
      <c r="B770" s="6">
        <v>681</v>
      </c>
      <c r="C770" s="7" t="s">
        <v>2877</v>
      </c>
      <c r="D770" s="7" t="s">
        <v>2920</v>
      </c>
      <c r="E770" s="5"/>
      <c r="F770" s="4"/>
      <c r="G770" s="7" t="s">
        <v>2921</v>
      </c>
      <c r="H770" s="5"/>
      <c r="I770" s="5"/>
      <c r="J770" s="21" t="s">
        <v>327</v>
      </c>
      <c r="K770" s="7" t="s">
        <v>24</v>
      </c>
      <c r="L770" s="7" t="s">
        <v>2922</v>
      </c>
      <c r="M770" s="114">
        <v>1260476040</v>
      </c>
      <c r="N770" s="111"/>
      <c r="O770" s="114">
        <v>7500000</v>
      </c>
      <c r="P770" s="110"/>
      <c r="Q770" s="109">
        <f>M770+N770+O770+P770</f>
        <v>1267976040</v>
      </c>
      <c r="R770" s="14">
        <v>1260476040</v>
      </c>
      <c r="S770" s="5"/>
      <c r="T770" s="33">
        <v>7500000</v>
      </c>
      <c r="U770" s="5"/>
      <c r="V770" s="5"/>
      <c r="W770" s="28"/>
      <c r="X770" s="28">
        <f>N770-S770</f>
        <v>0</v>
      </c>
      <c r="Y770" s="28">
        <f>O770-T770</f>
        <v>0</v>
      </c>
      <c r="Z770" s="28">
        <f>P770-U770</f>
        <v>0</v>
      </c>
      <c r="AA770" s="4"/>
      <c r="AB770" s="4"/>
      <c r="AC770">
        <f>IF(AB770=G770,1,2)</f>
        <v>2</v>
      </c>
    </row>
    <row r="771" spans="1:30" customFormat="1" ht="46.8" hidden="1" x14ac:dyDescent="0.3">
      <c r="A771" s="7" t="s">
        <v>18</v>
      </c>
      <c r="B771" s="6">
        <v>682</v>
      </c>
      <c r="C771" s="7" t="s">
        <v>2877</v>
      </c>
      <c r="D771" s="7" t="s">
        <v>2923</v>
      </c>
      <c r="E771" s="5"/>
      <c r="F771" s="4"/>
      <c r="G771" s="7" t="s">
        <v>2924</v>
      </c>
      <c r="H771" s="5"/>
      <c r="I771" s="5"/>
      <c r="J771" s="21" t="s">
        <v>2925</v>
      </c>
      <c r="K771" s="7" t="s">
        <v>24</v>
      </c>
      <c r="L771" s="7" t="s">
        <v>2926</v>
      </c>
      <c r="M771" s="114">
        <v>331459398</v>
      </c>
      <c r="N771" s="111"/>
      <c r="O771" s="114">
        <v>15000000</v>
      </c>
      <c r="P771" s="110"/>
      <c r="Q771" s="109">
        <f>M771+N771+O771+P771</f>
        <v>346459398</v>
      </c>
      <c r="R771" s="14">
        <v>331459398</v>
      </c>
      <c r="S771" s="5"/>
      <c r="T771" s="30">
        <v>15000000</v>
      </c>
      <c r="U771" s="5"/>
      <c r="V771" s="5"/>
      <c r="W771" s="28"/>
      <c r="X771" s="28">
        <f>N771-S771</f>
        <v>0</v>
      </c>
      <c r="Y771" s="28">
        <f>O771-T771</f>
        <v>0</v>
      </c>
      <c r="Z771" s="28">
        <f>P771-U771</f>
        <v>0</v>
      </c>
      <c r="AA771" s="4"/>
      <c r="AB771" s="4"/>
      <c r="AC771">
        <f>IF(AB771=G771,1,2)</f>
        <v>2</v>
      </c>
    </row>
    <row r="772" spans="1:30" customFormat="1" ht="62.4" hidden="1" customHeight="1" x14ac:dyDescent="0.3">
      <c r="A772" s="7" t="s">
        <v>2290</v>
      </c>
      <c r="B772" s="6">
        <v>683</v>
      </c>
      <c r="C772" s="7" t="s">
        <v>2877</v>
      </c>
      <c r="D772" s="7" t="s">
        <v>2927</v>
      </c>
      <c r="E772" s="5"/>
      <c r="F772" s="4"/>
      <c r="G772" s="7" t="s">
        <v>2928</v>
      </c>
      <c r="H772" s="5"/>
      <c r="I772" s="5"/>
      <c r="J772" s="21" t="s">
        <v>2929</v>
      </c>
      <c r="K772" s="7" t="s">
        <v>24</v>
      </c>
      <c r="L772" s="7" t="s">
        <v>2930</v>
      </c>
      <c r="M772" s="114">
        <v>10000000</v>
      </c>
      <c r="N772" s="111"/>
      <c r="O772" s="114">
        <v>15000000</v>
      </c>
      <c r="P772" s="110"/>
      <c r="Q772" s="109">
        <f>M772+N772+O772+P772</f>
        <v>25000000</v>
      </c>
      <c r="R772" s="14">
        <v>10000000</v>
      </c>
      <c r="S772" s="5"/>
      <c r="T772" s="30">
        <v>15000000</v>
      </c>
      <c r="U772" s="5"/>
      <c r="V772" s="5"/>
      <c r="W772" s="28"/>
      <c r="X772" s="28">
        <f>N772-S772</f>
        <v>0</v>
      </c>
      <c r="Y772" s="28">
        <f>O772-T772</f>
        <v>0</v>
      </c>
      <c r="Z772" s="28">
        <f>P772-U772</f>
        <v>0</v>
      </c>
      <c r="AA772" s="4"/>
      <c r="AB772" s="4"/>
      <c r="AC772">
        <f>IF(AB772=G772,1,2)</f>
        <v>2</v>
      </c>
    </row>
    <row r="773" spans="1:30" customFormat="1" ht="62.4" hidden="1" x14ac:dyDescent="0.3">
      <c r="A773" s="7" t="s">
        <v>18</v>
      </c>
      <c r="B773" s="6">
        <v>686</v>
      </c>
      <c r="C773" s="7" t="s">
        <v>2877</v>
      </c>
      <c r="D773" s="7" t="s">
        <v>2939</v>
      </c>
      <c r="E773" s="7" t="s">
        <v>2940</v>
      </c>
      <c r="F773" s="4"/>
      <c r="G773" s="7"/>
      <c r="H773" s="7"/>
      <c r="I773" s="7" t="s">
        <v>2941</v>
      </c>
      <c r="J773" s="7" t="s">
        <v>2942</v>
      </c>
      <c r="K773" s="7" t="s">
        <v>24</v>
      </c>
      <c r="L773" s="7" t="s">
        <v>2943</v>
      </c>
      <c r="M773" s="114">
        <v>0</v>
      </c>
      <c r="N773" s="111"/>
      <c r="O773" s="109">
        <v>7500000</v>
      </c>
      <c r="P773" s="110"/>
      <c r="Q773" s="109">
        <f>M773+N773+O773+P773</f>
        <v>7500000</v>
      </c>
      <c r="R773" s="6">
        <v>0</v>
      </c>
      <c r="S773" s="5"/>
      <c r="T773" s="72"/>
      <c r="U773" s="5"/>
      <c r="V773" s="5"/>
      <c r="W773" s="28"/>
      <c r="X773" s="28">
        <f>N773-S773</f>
        <v>0</v>
      </c>
      <c r="Y773" s="36">
        <f>O773-T773</f>
        <v>7500000</v>
      </c>
      <c r="Z773" s="28">
        <f>P773-U773</f>
        <v>0</v>
      </c>
      <c r="AA773" s="4"/>
      <c r="AB773" s="40"/>
      <c r="AC773" s="121">
        <f>IF(AB773=G773,1,2)</f>
        <v>1</v>
      </c>
      <c r="AD773" s="121"/>
    </row>
    <row r="774" spans="1:30" customFormat="1" ht="78" hidden="1" x14ac:dyDescent="0.3">
      <c r="A774" s="7" t="s">
        <v>18</v>
      </c>
      <c r="B774" s="6">
        <v>687</v>
      </c>
      <c r="C774" s="7" t="s">
        <v>2877</v>
      </c>
      <c r="D774" s="7" t="s">
        <v>2944</v>
      </c>
      <c r="E774" s="7" t="s">
        <v>2940</v>
      </c>
      <c r="F774" s="4"/>
      <c r="G774" s="7"/>
      <c r="H774" s="7"/>
      <c r="I774" s="7" t="s">
        <v>2945</v>
      </c>
      <c r="J774" s="7" t="s">
        <v>346</v>
      </c>
      <c r="K774" s="7" t="s">
        <v>24</v>
      </c>
      <c r="L774" s="7" t="s">
        <v>2943</v>
      </c>
      <c r="M774" s="114">
        <v>10000000</v>
      </c>
      <c r="N774" s="111"/>
      <c r="O774" s="109">
        <v>15000000</v>
      </c>
      <c r="P774" s="110"/>
      <c r="Q774" s="109">
        <f>M774+N774+O774+P774</f>
        <v>25000000</v>
      </c>
      <c r="R774" s="5"/>
      <c r="S774" s="5"/>
      <c r="T774" s="72"/>
      <c r="U774" s="5"/>
      <c r="V774" s="5"/>
      <c r="W774" s="28">
        <v>10000000</v>
      </c>
      <c r="X774" s="28">
        <f>N774-S774</f>
        <v>0</v>
      </c>
      <c r="Y774" s="36">
        <f>O774-T774</f>
        <v>15000000</v>
      </c>
      <c r="Z774" s="28">
        <f>P774-U774</f>
        <v>0</v>
      </c>
      <c r="AA774" s="8">
        <v>10000000</v>
      </c>
      <c r="AB774" s="40"/>
      <c r="AC774" s="121">
        <f>IF(AB774=G774,1,2)</f>
        <v>1</v>
      </c>
      <c r="AD774" s="121"/>
    </row>
    <row r="775" spans="1:30" customFormat="1" ht="42" hidden="1" x14ac:dyDescent="0.3">
      <c r="A775" s="7" t="s">
        <v>2290</v>
      </c>
      <c r="B775" s="6">
        <v>691</v>
      </c>
      <c r="C775" s="7" t="s">
        <v>2877</v>
      </c>
      <c r="D775" s="7" t="s">
        <v>2959</v>
      </c>
      <c r="E775" s="5"/>
      <c r="F775" s="4"/>
      <c r="G775" s="7" t="s">
        <v>2960</v>
      </c>
      <c r="H775" s="5"/>
      <c r="I775" s="5"/>
      <c r="J775" s="21" t="s">
        <v>2961</v>
      </c>
      <c r="K775" s="7" t="s">
        <v>24</v>
      </c>
      <c r="L775" s="7" t="s">
        <v>2962</v>
      </c>
      <c r="M775" s="114">
        <v>1271355500</v>
      </c>
      <c r="N775" s="111"/>
      <c r="O775" s="114">
        <v>7500000</v>
      </c>
      <c r="P775" s="110"/>
      <c r="Q775" s="109">
        <f>M775+N775+O775+P775</f>
        <v>1278855500</v>
      </c>
      <c r="R775" s="14">
        <v>1271355500</v>
      </c>
      <c r="S775" s="5"/>
      <c r="T775" s="33">
        <v>7500000</v>
      </c>
      <c r="U775" s="5"/>
      <c r="V775" s="5"/>
      <c r="W775" s="28"/>
      <c r="X775" s="28">
        <f>N775-S775</f>
        <v>0</v>
      </c>
      <c r="Y775" s="28">
        <f>O775-T775</f>
        <v>0</v>
      </c>
      <c r="Z775" s="28">
        <f>P775-U775</f>
        <v>0</v>
      </c>
      <c r="AA775" s="4"/>
      <c r="AB775" s="4"/>
      <c r="AC775">
        <f>IF(AB775=G775,1,2)</f>
        <v>2</v>
      </c>
    </row>
    <row r="776" spans="1:30" customFormat="1" ht="31.2" hidden="1" x14ac:dyDescent="0.3">
      <c r="A776" s="7" t="s">
        <v>62</v>
      </c>
      <c r="B776" s="6">
        <v>693</v>
      </c>
      <c r="C776" s="7" t="s">
        <v>2877</v>
      </c>
      <c r="D776" s="7" t="s">
        <v>2968</v>
      </c>
      <c r="E776" s="5"/>
      <c r="F776" s="4"/>
      <c r="G776" s="7" t="s">
        <v>2969</v>
      </c>
      <c r="H776" s="5"/>
      <c r="I776" s="5"/>
      <c r="J776" s="21" t="s">
        <v>2970</v>
      </c>
      <c r="K776" s="7" t="s">
        <v>24</v>
      </c>
      <c r="L776" s="7" t="s">
        <v>2971</v>
      </c>
      <c r="M776" s="114">
        <v>3795291327</v>
      </c>
      <c r="N776" s="111"/>
      <c r="O776" s="114">
        <v>7500000</v>
      </c>
      <c r="P776" s="110"/>
      <c r="Q776" s="109">
        <f>M776+N776+O776+P776</f>
        <v>3802791327</v>
      </c>
      <c r="R776" s="14">
        <v>3795291327</v>
      </c>
      <c r="S776" s="5"/>
      <c r="T776" s="30">
        <v>7500000</v>
      </c>
      <c r="U776" s="5"/>
      <c r="V776" s="5"/>
      <c r="W776" s="28"/>
      <c r="X776" s="28">
        <f>N776-S776</f>
        <v>0</v>
      </c>
      <c r="Y776" s="28">
        <f>O776-T776</f>
        <v>0</v>
      </c>
      <c r="Z776" s="28">
        <f>P776-U776</f>
        <v>0</v>
      </c>
      <c r="AA776" s="4"/>
      <c r="AB776" s="4"/>
      <c r="AC776">
        <f>IF(AB776=G776,1,2)</f>
        <v>2</v>
      </c>
    </row>
    <row r="777" spans="1:30" customFormat="1" ht="42" hidden="1" x14ac:dyDescent="0.3">
      <c r="A777" s="7" t="s">
        <v>62</v>
      </c>
      <c r="B777" s="6">
        <v>694</v>
      </c>
      <c r="C777" s="7" t="s">
        <v>2877</v>
      </c>
      <c r="D777" s="7" t="s">
        <v>2972</v>
      </c>
      <c r="E777" s="5"/>
      <c r="F777" s="4"/>
      <c r="G777" s="7" t="s">
        <v>2973</v>
      </c>
      <c r="H777" s="5"/>
      <c r="I777" s="5"/>
      <c r="J777" s="21" t="s">
        <v>2974</v>
      </c>
      <c r="K777" s="7" t="s">
        <v>24</v>
      </c>
      <c r="L777" s="7" t="s">
        <v>2975</v>
      </c>
      <c r="M777" s="114">
        <v>1838697914</v>
      </c>
      <c r="N777" s="111"/>
      <c r="O777" s="114">
        <v>7500000</v>
      </c>
      <c r="P777" s="110"/>
      <c r="Q777" s="109">
        <f>M777+N777+O777+P777</f>
        <v>1846197914</v>
      </c>
      <c r="R777" s="14">
        <v>1838697914</v>
      </c>
      <c r="S777" s="5"/>
      <c r="T777" s="33">
        <v>7500000</v>
      </c>
      <c r="U777" s="5"/>
      <c r="V777" s="5"/>
      <c r="W777" s="28"/>
      <c r="X777" s="28">
        <f>N777-S777</f>
        <v>0</v>
      </c>
      <c r="Y777" s="28">
        <f>O777-T777</f>
        <v>0</v>
      </c>
      <c r="Z777" s="28">
        <f>P777-U777</f>
        <v>0</v>
      </c>
      <c r="AA777" s="4"/>
      <c r="AB777" s="4"/>
      <c r="AC777">
        <f>IF(AB777=G777,1,2)</f>
        <v>2</v>
      </c>
    </row>
    <row r="778" spans="1:30" customFormat="1" ht="42" hidden="1" x14ac:dyDescent="0.3">
      <c r="A778" s="7" t="s">
        <v>46</v>
      </c>
      <c r="B778" s="6">
        <v>695</v>
      </c>
      <c r="C778" s="7" t="s">
        <v>2877</v>
      </c>
      <c r="D778" s="7" t="s">
        <v>2976</v>
      </c>
      <c r="E778" s="5"/>
      <c r="F778" s="4"/>
      <c r="G778" s="7" t="s">
        <v>2977</v>
      </c>
      <c r="H778" s="5"/>
      <c r="I778" s="5"/>
      <c r="J778" s="21" t="s">
        <v>2978</v>
      </c>
      <c r="K778" s="7" t="s">
        <v>24</v>
      </c>
      <c r="L778" s="7" t="s">
        <v>2979</v>
      </c>
      <c r="M778" s="114">
        <v>9228830690</v>
      </c>
      <c r="N778" s="111"/>
      <c r="O778" s="114">
        <v>15000000</v>
      </c>
      <c r="P778" s="110"/>
      <c r="Q778" s="109">
        <f>M778+N778+O778+P778</f>
        <v>9243830690</v>
      </c>
      <c r="R778" s="14">
        <v>9228830690</v>
      </c>
      <c r="S778" s="5"/>
      <c r="T778" s="31">
        <v>15000000</v>
      </c>
      <c r="U778" s="5"/>
      <c r="V778" s="5"/>
      <c r="W778" s="28"/>
      <c r="X778" s="28">
        <f>N778-S778</f>
        <v>0</v>
      </c>
      <c r="Y778" s="28">
        <f>O778-T778</f>
        <v>0</v>
      </c>
      <c r="Z778" s="28">
        <f>P778-U778</f>
        <v>0</v>
      </c>
      <c r="AA778" s="4"/>
      <c r="AB778" s="4"/>
      <c r="AC778">
        <f>IF(AB778=G778,1,2)</f>
        <v>2</v>
      </c>
    </row>
    <row r="779" spans="1:30" customFormat="1" ht="46.8" hidden="1" customHeight="1" x14ac:dyDescent="0.3">
      <c r="A779" s="7" t="s">
        <v>46</v>
      </c>
      <c r="B779" s="6">
        <v>697</v>
      </c>
      <c r="C779" s="7" t="s">
        <v>2877</v>
      </c>
      <c r="D779" s="7" t="s">
        <v>2984</v>
      </c>
      <c r="E779" s="7" t="s">
        <v>2669</v>
      </c>
      <c r="F779" s="4"/>
      <c r="G779" s="7" t="s">
        <v>2985</v>
      </c>
      <c r="H779" s="7" t="s">
        <v>2986</v>
      </c>
      <c r="I779" s="5"/>
      <c r="J779" s="21" t="s">
        <v>2987</v>
      </c>
      <c r="K779" s="7" t="s">
        <v>24</v>
      </c>
      <c r="L779" s="7" t="s">
        <v>2988</v>
      </c>
      <c r="M779" s="114">
        <v>8588500084</v>
      </c>
      <c r="N779" s="114">
        <v>1184688218</v>
      </c>
      <c r="O779" s="114">
        <v>7500000</v>
      </c>
      <c r="P779" s="110"/>
      <c r="Q779" s="109">
        <f>M779+N779+O779+P779</f>
        <v>9780688302</v>
      </c>
      <c r="R779" s="14">
        <v>8588500084</v>
      </c>
      <c r="S779" s="14">
        <v>1184688218</v>
      </c>
      <c r="T779" s="30">
        <v>7500000</v>
      </c>
      <c r="U779" s="5"/>
      <c r="V779" s="5"/>
      <c r="W779" s="28"/>
      <c r="X779" s="28">
        <f>N779-S779</f>
        <v>0</v>
      </c>
      <c r="Y779" s="28">
        <f>O779-T779</f>
        <v>0</v>
      </c>
      <c r="Z779" s="28">
        <f>P779-U779</f>
        <v>0</v>
      </c>
      <c r="AA779" s="4"/>
      <c r="AB779" s="4"/>
      <c r="AC779">
        <f>IF(AB779=G779,1,2)</f>
        <v>2</v>
      </c>
    </row>
    <row r="780" spans="1:30" customFormat="1" ht="31.2" hidden="1" x14ac:dyDescent="0.3">
      <c r="A780" s="7" t="s">
        <v>62</v>
      </c>
      <c r="B780" s="6">
        <v>699</v>
      </c>
      <c r="C780" s="7" t="s">
        <v>2877</v>
      </c>
      <c r="D780" s="7" t="s">
        <v>2995</v>
      </c>
      <c r="E780" s="5"/>
      <c r="F780" s="4"/>
      <c r="G780" s="7" t="s">
        <v>2996</v>
      </c>
      <c r="H780" s="5"/>
      <c r="I780" s="5"/>
      <c r="J780" s="21" t="s">
        <v>2997</v>
      </c>
      <c r="K780" s="7" t="s">
        <v>24</v>
      </c>
      <c r="L780" s="7" t="s">
        <v>2998</v>
      </c>
      <c r="M780" s="114">
        <v>793397916</v>
      </c>
      <c r="N780" s="111"/>
      <c r="O780" s="114">
        <v>15000000</v>
      </c>
      <c r="P780" s="110"/>
      <c r="Q780" s="109">
        <f>M780+N780+O780+P780</f>
        <v>808397916</v>
      </c>
      <c r="R780" s="14">
        <v>793397916</v>
      </c>
      <c r="S780" s="5"/>
      <c r="T780" s="33">
        <v>15000000</v>
      </c>
      <c r="U780" s="5"/>
      <c r="V780" s="5"/>
      <c r="W780" s="28"/>
      <c r="X780" s="28">
        <f>N780-S780</f>
        <v>0</v>
      </c>
      <c r="Y780" s="28">
        <f>O780-T780</f>
        <v>0</v>
      </c>
      <c r="Z780" s="28">
        <f>P780-U780</f>
        <v>0</v>
      </c>
      <c r="AA780" s="4"/>
      <c r="AB780" s="4"/>
      <c r="AC780">
        <f>IF(AB780=G780,1,2)</f>
        <v>2</v>
      </c>
    </row>
    <row r="781" spans="1:30" customFormat="1" ht="42" hidden="1" x14ac:dyDescent="0.3">
      <c r="A781" s="7" t="s">
        <v>46</v>
      </c>
      <c r="B781" s="6">
        <v>704</v>
      </c>
      <c r="C781" s="7" t="s">
        <v>2877</v>
      </c>
      <c r="D781" s="7" t="s">
        <v>3018</v>
      </c>
      <c r="E781" s="5"/>
      <c r="F781" s="4"/>
      <c r="G781" s="7" t="s">
        <v>3019</v>
      </c>
      <c r="H781" s="5"/>
      <c r="I781" s="5"/>
      <c r="J781" s="21" t="s">
        <v>3020</v>
      </c>
      <c r="K781" s="7" t="s">
        <v>24</v>
      </c>
      <c r="L781" s="7" t="s">
        <v>3021</v>
      </c>
      <c r="M781" s="114">
        <v>1040312692</v>
      </c>
      <c r="N781" s="111"/>
      <c r="O781" s="114">
        <v>7500000</v>
      </c>
      <c r="P781" s="110"/>
      <c r="Q781" s="109">
        <f>M781+N781+O781+P781</f>
        <v>1047812692</v>
      </c>
      <c r="R781" s="14">
        <v>1040312692</v>
      </c>
      <c r="S781" s="5"/>
      <c r="T781" s="30">
        <v>7500000</v>
      </c>
      <c r="U781" s="5"/>
      <c r="V781" s="5"/>
      <c r="W781" s="28"/>
      <c r="X781" s="28">
        <f>N781-S781</f>
        <v>0</v>
      </c>
      <c r="Y781" s="28">
        <f>O781-T781</f>
        <v>0</v>
      </c>
      <c r="Z781" s="28">
        <f>P781-U781</f>
        <v>0</v>
      </c>
      <c r="AA781" s="4"/>
      <c r="AB781" s="4"/>
      <c r="AC781">
        <f>IF(AB781=G781,1,2)</f>
        <v>2</v>
      </c>
    </row>
    <row r="782" spans="1:30" customFormat="1" ht="62.4" hidden="1" customHeight="1" x14ac:dyDescent="0.3">
      <c r="A782" s="7" t="s">
        <v>46</v>
      </c>
      <c r="B782" s="6">
        <v>705</v>
      </c>
      <c r="C782" s="7" t="s">
        <v>2877</v>
      </c>
      <c r="D782" s="7" t="s">
        <v>3022</v>
      </c>
      <c r="E782" s="5"/>
      <c r="F782" s="4"/>
      <c r="G782" s="7" t="s">
        <v>3023</v>
      </c>
      <c r="H782" s="7" t="s">
        <v>728</v>
      </c>
      <c r="I782" s="5"/>
      <c r="J782" s="46" t="s">
        <v>3024</v>
      </c>
      <c r="K782" s="7" t="s">
        <v>24</v>
      </c>
      <c r="L782" s="7" t="s">
        <v>3025</v>
      </c>
      <c r="M782" s="114">
        <v>810543033</v>
      </c>
      <c r="N782" s="111"/>
      <c r="O782" s="114">
        <v>15000000</v>
      </c>
      <c r="P782" s="110"/>
      <c r="Q782" s="109">
        <f>M782+N782+O782+P782</f>
        <v>825543033</v>
      </c>
      <c r="R782" s="14">
        <v>810543033</v>
      </c>
      <c r="S782" s="5"/>
      <c r="T782" s="30">
        <v>15000000</v>
      </c>
      <c r="U782" s="5"/>
      <c r="V782" s="5"/>
      <c r="W782" s="28"/>
      <c r="X782" s="28">
        <f>N782-S782</f>
        <v>0</v>
      </c>
      <c r="Y782" s="28">
        <f>O782-T782</f>
        <v>0</v>
      </c>
      <c r="Z782" s="28">
        <f>P782-U782</f>
        <v>0</v>
      </c>
      <c r="AA782" s="4"/>
      <c r="AB782" s="4"/>
      <c r="AC782">
        <f>IF(AB782=G782,1,2)</f>
        <v>2</v>
      </c>
    </row>
    <row r="783" spans="1:30" customFormat="1" ht="42" hidden="1" x14ac:dyDescent="0.3">
      <c r="A783" s="7" t="s">
        <v>46</v>
      </c>
      <c r="B783" s="6">
        <v>706</v>
      </c>
      <c r="C783" s="7" t="s">
        <v>2877</v>
      </c>
      <c r="D783" s="7" t="s">
        <v>3026</v>
      </c>
      <c r="E783" s="5"/>
      <c r="F783" s="4"/>
      <c r="G783" s="7" t="s">
        <v>3027</v>
      </c>
      <c r="H783" s="5"/>
      <c r="I783" s="5"/>
      <c r="J783" s="21" t="s">
        <v>3028</v>
      </c>
      <c r="K783" s="7" t="s">
        <v>24</v>
      </c>
      <c r="L783" s="7" t="s">
        <v>3029</v>
      </c>
      <c r="M783" s="114">
        <v>332579306</v>
      </c>
      <c r="N783" s="111"/>
      <c r="O783" s="114">
        <v>7500000</v>
      </c>
      <c r="P783" s="110"/>
      <c r="Q783" s="109">
        <f>M783+N783+O783+P783</f>
        <v>340079306</v>
      </c>
      <c r="R783" s="14">
        <v>332579306</v>
      </c>
      <c r="S783" s="5"/>
      <c r="T783" s="33">
        <v>7500000</v>
      </c>
      <c r="U783" s="5"/>
      <c r="V783" s="5"/>
      <c r="W783" s="28"/>
      <c r="X783" s="28">
        <f>N783-S783</f>
        <v>0</v>
      </c>
      <c r="Y783" s="28">
        <f>O783-T783</f>
        <v>0</v>
      </c>
      <c r="Z783" s="28">
        <f>P783-U783</f>
        <v>0</v>
      </c>
      <c r="AA783" s="4"/>
      <c r="AB783" s="4"/>
      <c r="AC783">
        <f>IF(AB783=G783,1,2)</f>
        <v>2</v>
      </c>
    </row>
    <row r="784" spans="1:30" customFormat="1" ht="46.8" hidden="1" x14ac:dyDescent="0.3">
      <c r="A784" s="7" t="s">
        <v>46</v>
      </c>
      <c r="B784" s="6">
        <v>707</v>
      </c>
      <c r="C784" s="7" t="s">
        <v>2877</v>
      </c>
      <c r="D784" s="7" t="s">
        <v>3030</v>
      </c>
      <c r="E784" s="5"/>
      <c r="F784" s="4"/>
      <c r="G784" s="7" t="s">
        <v>3031</v>
      </c>
      <c r="H784" s="5"/>
      <c r="I784" s="5"/>
      <c r="J784" s="21" t="s">
        <v>3032</v>
      </c>
      <c r="K784" s="7" t="s">
        <v>24</v>
      </c>
      <c r="L784" s="7" t="s">
        <v>3033</v>
      </c>
      <c r="M784" s="114">
        <v>72618840</v>
      </c>
      <c r="N784" s="111"/>
      <c r="O784" s="114">
        <v>7500000</v>
      </c>
      <c r="P784" s="110"/>
      <c r="Q784" s="109">
        <f>M784+N784+O784+P784</f>
        <v>80118840</v>
      </c>
      <c r="R784" s="14">
        <v>72618840</v>
      </c>
      <c r="S784" s="5"/>
      <c r="T784" s="30">
        <v>7500000</v>
      </c>
      <c r="U784" s="5"/>
      <c r="V784" s="5"/>
      <c r="W784" s="28"/>
      <c r="X784" s="28">
        <f>N784-S784</f>
        <v>0</v>
      </c>
      <c r="Y784" s="28">
        <f>O784-T784</f>
        <v>0</v>
      </c>
      <c r="Z784" s="28">
        <f>P784-U784</f>
        <v>0</v>
      </c>
      <c r="AA784" s="4"/>
      <c r="AB784" s="4"/>
      <c r="AC784">
        <f>IF(AB784=G784,1,2)</f>
        <v>2</v>
      </c>
    </row>
    <row r="785" spans="1:30" customFormat="1" ht="31.2" hidden="1" x14ac:dyDescent="0.3">
      <c r="A785" s="7" t="s">
        <v>46</v>
      </c>
      <c r="B785" s="6">
        <v>709</v>
      </c>
      <c r="C785" s="7" t="s">
        <v>2877</v>
      </c>
      <c r="D785" s="7" t="s">
        <v>3038</v>
      </c>
      <c r="E785" s="5"/>
      <c r="F785" s="4"/>
      <c r="G785" s="7" t="s">
        <v>3039</v>
      </c>
      <c r="H785" s="7" t="s">
        <v>3040</v>
      </c>
      <c r="I785" s="5"/>
      <c r="J785" s="21" t="s">
        <v>3041</v>
      </c>
      <c r="K785" s="7" t="s">
        <v>24</v>
      </c>
      <c r="L785" s="7" t="s">
        <v>2524</v>
      </c>
      <c r="M785" s="114">
        <v>3969631000</v>
      </c>
      <c r="N785" s="111"/>
      <c r="O785" s="114">
        <v>15000000</v>
      </c>
      <c r="P785" s="110"/>
      <c r="Q785" s="109">
        <f>M785+N785+O785+P785</f>
        <v>3984631000</v>
      </c>
      <c r="R785" s="14">
        <v>3969631000</v>
      </c>
      <c r="S785" s="5"/>
      <c r="T785" s="30">
        <v>15000000</v>
      </c>
      <c r="U785" s="5"/>
      <c r="V785" s="5"/>
      <c r="W785" s="28"/>
      <c r="X785" s="28">
        <f>N785-S785</f>
        <v>0</v>
      </c>
      <c r="Y785" s="28">
        <f>O785-T785</f>
        <v>0</v>
      </c>
      <c r="Z785" s="28">
        <f>P785-U785</f>
        <v>0</v>
      </c>
      <c r="AA785" s="4"/>
      <c r="AB785" s="4"/>
      <c r="AC785">
        <f>IF(AB785=G785,1,2)</f>
        <v>2</v>
      </c>
    </row>
    <row r="786" spans="1:30" customFormat="1" ht="63" hidden="1" x14ac:dyDescent="0.3">
      <c r="A786" s="7" t="s">
        <v>62</v>
      </c>
      <c r="B786" s="6">
        <v>712</v>
      </c>
      <c r="C786" s="7" t="s">
        <v>2877</v>
      </c>
      <c r="D786" s="7" t="s">
        <v>3051</v>
      </c>
      <c r="E786" s="7" t="s">
        <v>3052</v>
      </c>
      <c r="F786" s="4"/>
      <c r="G786" s="7" t="s">
        <v>3053</v>
      </c>
      <c r="H786" s="7" t="s">
        <v>3054</v>
      </c>
      <c r="I786" s="5"/>
      <c r="J786" s="21" t="s">
        <v>3055</v>
      </c>
      <c r="K786" s="7" t="s">
        <v>24</v>
      </c>
      <c r="L786" s="7" t="s">
        <v>2856</v>
      </c>
      <c r="M786" s="114">
        <v>560918363</v>
      </c>
      <c r="N786" s="114">
        <v>113902001</v>
      </c>
      <c r="O786" s="114">
        <v>15000000</v>
      </c>
      <c r="P786" s="110"/>
      <c r="Q786" s="109">
        <f>M786+N786+O786+P786</f>
        <v>689820364</v>
      </c>
      <c r="R786" s="14">
        <v>560918363</v>
      </c>
      <c r="S786" s="14">
        <v>113902001</v>
      </c>
      <c r="T786" s="33">
        <v>15000000</v>
      </c>
      <c r="U786" s="5"/>
      <c r="V786" s="5"/>
      <c r="W786" s="28"/>
      <c r="X786" s="28">
        <f>N786-S786</f>
        <v>0</v>
      </c>
      <c r="Y786" s="28">
        <f>O786-T786</f>
        <v>0</v>
      </c>
      <c r="Z786" s="28">
        <f>P786-U786</f>
        <v>0</v>
      </c>
      <c r="AA786" s="4"/>
      <c r="AB786" s="4"/>
      <c r="AC786">
        <f>IF(AB786=G786,1,2)</f>
        <v>2</v>
      </c>
    </row>
    <row r="787" spans="1:30" customFormat="1" ht="93.6" hidden="1" customHeight="1" x14ac:dyDescent="0.3">
      <c r="A787" s="7" t="s">
        <v>62</v>
      </c>
      <c r="B787" s="6">
        <v>713</v>
      </c>
      <c r="C787" s="7" t="s">
        <v>2877</v>
      </c>
      <c r="D787" s="7" t="s">
        <v>3056</v>
      </c>
      <c r="E787" s="7" t="s">
        <v>3057</v>
      </c>
      <c r="F787" s="4"/>
      <c r="G787" s="7" t="s">
        <v>3058</v>
      </c>
      <c r="H787" s="7" t="s">
        <v>3059</v>
      </c>
      <c r="I787" s="5"/>
      <c r="J787" s="21" t="s">
        <v>3060</v>
      </c>
      <c r="K787" s="7" t="s">
        <v>24</v>
      </c>
      <c r="L787" s="7" t="s">
        <v>3061</v>
      </c>
      <c r="M787" s="114">
        <v>905632360</v>
      </c>
      <c r="N787" s="114">
        <v>164705380</v>
      </c>
      <c r="O787" s="114">
        <v>15000000</v>
      </c>
      <c r="P787" s="110"/>
      <c r="Q787" s="109">
        <f>M787+N787+O787+P787</f>
        <v>1085337740</v>
      </c>
      <c r="R787" s="14">
        <v>905632360</v>
      </c>
      <c r="S787" s="14">
        <v>164705380</v>
      </c>
      <c r="T787" s="33">
        <v>15000000</v>
      </c>
      <c r="U787" s="5"/>
      <c r="V787" s="5"/>
      <c r="W787" s="28"/>
      <c r="X787" s="28">
        <f>N787-S787</f>
        <v>0</v>
      </c>
      <c r="Y787" s="28">
        <f>O787-T787</f>
        <v>0</v>
      </c>
      <c r="Z787" s="28">
        <f>P787-U787</f>
        <v>0</v>
      </c>
      <c r="AA787" s="4"/>
      <c r="AB787" s="4"/>
      <c r="AC787">
        <f>IF(AB787=G787,1,2)</f>
        <v>2</v>
      </c>
    </row>
    <row r="788" spans="1:30" customFormat="1" ht="31.2" hidden="1" x14ac:dyDescent="0.3">
      <c r="A788" s="7" t="s">
        <v>46</v>
      </c>
      <c r="B788" s="6">
        <v>714</v>
      </c>
      <c r="C788" s="7" t="s">
        <v>2877</v>
      </c>
      <c r="D788" s="7" t="s">
        <v>3062</v>
      </c>
      <c r="E788" s="7" t="s">
        <v>3063</v>
      </c>
      <c r="F788" s="4"/>
      <c r="G788" s="7" t="s">
        <v>3064</v>
      </c>
      <c r="H788" s="7" t="s">
        <v>3065</v>
      </c>
      <c r="I788" s="5"/>
      <c r="J788" s="7" t="s">
        <v>3066</v>
      </c>
      <c r="K788" s="7" t="s">
        <v>24</v>
      </c>
      <c r="L788" s="7" t="s">
        <v>3067</v>
      </c>
      <c r="M788" s="109">
        <v>366299104</v>
      </c>
      <c r="N788" s="109">
        <v>60646656</v>
      </c>
      <c r="O788" s="114">
        <v>15000000</v>
      </c>
      <c r="P788" s="110"/>
      <c r="Q788" s="109">
        <f>M788+N788+O788+P788</f>
        <v>441945760</v>
      </c>
      <c r="R788" s="14">
        <v>366299104</v>
      </c>
      <c r="S788" s="7"/>
      <c r="T788" s="30">
        <v>15000000</v>
      </c>
      <c r="U788" s="5"/>
      <c r="V788" s="5"/>
      <c r="W788" s="28"/>
      <c r="X788" s="36">
        <f>N788-S788</f>
        <v>60646656</v>
      </c>
      <c r="Y788" s="28">
        <f>O788-T788</f>
        <v>0</v>
      </c>
      <c r="Z788" s="28">
        <f>P788-U788</f>
        <v>0</v>
      </c>
      <c r="AA788" s="40"/>
      <c r="AB788" s="40"/>
      <c r="AC788" s="61">
        <f>IF(AB788=G788,1,2)</f>
        <v>2</v>
      </c>
      <c r="AD788" s="61"/>
    </row>
    <row r="789" spans="1:30" customFormat="1" ht="46.8" hidden="1" x14ac:dyDescent="0.3">
      <c r="A789" s="7" t="s">
        <v>46</v>
      </c>
      <c r="B789" s="6">
        <v>715</v>
      </c>
      <c r="C789" s="7" t="s">
        <v>2877</v>
      </c>
      <c r="D789" s="7" t="s">
        <v>3068</v>
      </c>
      <c r="E789" s="5"/>
      <c r="F789" s="4"/>
      <c r="G789" s="7" t="s">
        <v>3069</v>
      </c>
      <c r="H789" s="5"/>
      <c r="I789" s="5"/>
      <c r="J789" s="21" t="s">
        <v>3070</v>
      </c>
      <c r="K789" s="7" t="s">
        <v>24</v>
      </c>
      <c r="L789" s="7" t="s">
        <v>3071</v>
      </c>
      <c r="M789" s="114">
        <v>4243700000</v>
      </c>
      <c r="N789" s="111"/>
      <c r="O789" s="114">
        <v>15000000</v>
      </c>
      <c r="P789" s="110"/>
      <c r="Q789" s="109">
        <f>M789+N789+O789+P789</f>
        <v>4258700000</v>
      </c>
      <c r="R789" s="14">
        <v>4243700000</v>
      </c>
      <c r="S789" s="5"/>
      <c r="T789" s="30">
        <v>15000000</v>
      </c>
      <c r="U789" s="5"/>
      <c r="V789" s="5"/>
      <c r="W789" s="28"/>
      <c r="X789" s="28">
        <f>N789-S789</f>
        <v>0</v>
      </c>
      <c r="Y789" s="28">
        <f>O789-T789</f>
        <v>0</v>
      </c>
      <c r="Z789" s="28">
        <f>P789-U789</f>
        <v>0</v>
      </c>
      <c r="AA789" s="4"/>
      <c r="AB789" s="4"/>
      <c r="AC789">
        <f>IF(AB789=G789,1,2)</f>
        <v>2</v>
      </c>
    </row>
    <row r="790" spans="1:30" customFormat="1" ht="46.8" hidden="1" x14ac:dyDescent="0.3">
      <c r="A790" s="7" t="s">
        <v>46</v>
      </c>
      <c r="B790" s="6">
        <v>716</v>
      </c>
      <c r="C790" s="7" t="s">
        <v>2877</v>
      </c>
      <c r="D790" s="7" t="s">
        <v>3072</v>
      </c>
      <c r="E790" s="7" t="s">
        <v>3073</v>
      </c>
      <c r="F790" s="4"/>
      <c r="G790" s="7" t="s">
        <v>3074</v>
      </c>
      <c r="H790" s="7" t="s">
        <v>3075</v>
      </c>
      <c r="I790" s="5"/>
      <c r="J790" s="21" t="s">
        <v>3070</v>
      </c>
      <c r="K790" s="7" t="s">
        <v>24</v>
      </c>
      <c r="L790" s="7" t="s">
        <v>3076</v>
      </c>
      <c r="M790" s="114">
        <v>2565803620</v>
      </c>
      <c r="N790" s="109">
        <v>861892128</v>
      </c>
      <c r="O790" s="114">
        <v>15000000</v>
      </c>
      <c r="P790" s="110"/>
      <c r="Q790" s="109">
        <f>M790+N790+O790+P790</f>
        <v>3442695748</v>
      </c>
      <c r="R790" s="14">
        <v>2565803620</v>
      </c>
      <c r="S790" s="14">
        <v>861892128</v>
      </c>
      <c r="T790" s="30">
        <v>15000000</v>
      </c>
      <c r="U790" s="5"/>
      <c r="V790" s="5"/>
      <c r="W790" s="28"/>
      <c r="X790" s="28">
        <f>N790-S790</f>
        <v>0</v>
      </c>
      <c r="Y790" s="28">
        <f>O790-T790</f>
        <v>0</v>
      </c>
      <c r="Z790" s="28">
        <f>P790-U790</f>
        <v>0</v>
      </c>
      <c r="AA790" s="4"/>
      <c r="AB790" s="4"/>
      <c r="AC790">
        <f>IF(AB790=G790,1,2)</f>
        <v>2</v>
      </c>
    </row>
    <row r="791" spans="1:30" customFormat="1" ht="62.4" hidden="1" customHeight="1" x14ac:dyDescent="0.3">
      <c r="A791" s="7" t="s">
        <v>46</v>
      </c>
      <c r="B791" s="6">
        <v>718</v>
      </c>
      <c r="C791" s="7" t="s">
        <v>2877</v>
      </c>
      <c r="D791" s="7" t="s">
        <v>3084</v>
      </c>
      <c r="E791" s="5"/>
      <c r="F791" s="4"/>
      <c r="G791" s="7" t="s">
        <v>3085</v>
      </c>
      <c r="H791" s="5"/>
      <c r="I791" s="5"/>
      <c r="J791" s="21" t="s">
        <v>3086</v>
      </c>
      <c r="K791" s="7" t="s">
        <v>24</v>
      </c>
      <c r="L791" s="7" t="s">
        <v>3087</v>
      </c>
      <c r="M791" s="114">
        <v>6447053210</v>
      </c>
      <c r="N791" s="111"/>
      <c r="O791" s="114">
        <v>7500000</v>
      </c>
      <c r="P791" s="110"/>
      <c r="Q791" s="109">
        <f>M791+N791+O791+P791</f>
        <v>6454553210</v>
      </c>
      <c r="R791" s="14">
        <v>6447053210</v>
      </c>
      <c r="S791" s="5"/>
      <c r="T791" s="33">
        <v>7500000</v>
      </c>
      <c r="U791" s="5"/>
      <c r="V791" s="5"/>
      <c r="W791" s="28"/>
      <c r="X791" s="28">
        <f>N791-S791</f>
        <v>0</v>
      </c>
      <c r="Y791" s="28">
        <f>O791-T791</f>
        <v>0</v>
      </c>
      <c r="Z791" s="28">
        <f>P791-U791</f>
        <v>0</v>
      </c>
      <c r="AA791" s="4"/>
      <c r="AB791" s="4"/>
      <c r="AC791">
        <f>IF(AB791=G791,1,2)</f>
        <v>2</v>
      </c>
    </row>
    <row r="792" spans="1:30" customFormat="1" ht="31.2" hidden="1" x14ac:dyDescent="0.4">
      <c r="A792" s="7" t="s">
        <v>62</v>
      </c>
      <c r="B792" s="6">
        <v>720</v>
      </c>
      <c r="C792" s="7" t="s">
        <v>2877</v>
      </c>
      <c r="D792" s="7" t="s">
        <v>3093</v>
      </c>
      <c r="E792" s="7"/>
      <c r="F792" s="4"/>
      <c r="G792" s="7" t="s">
        <v>3094</v>
      </c>
      <c r="H792" s="7"/>
      <c r="I792" s="7"/>
      <c r="J792" s="7" t="s">
        <v>3095</v>
      </c>
      <c r="K792" s="7" t="s">
        <v>24</v>
      </c>
      <c r="L792" s="7" t="s">
        <v>3096</v>
      </c>
      <c r="M792" s="114">
        <v>1242447888</v>
      </c>
      <c r="N792" s="111"/>
      <c r="O792" s="109">
        <v>7500000</v>
      </c>
      <c r="P792" s="110"/>
      <c r="Q792" s="109">
        <f>M792+N792+O792+P792</f>
        <v>1249947888</v>
      </c>
      <c r="R792" s="5"/>
      <c r="S792" s="5"/>
      <c r="T792" s="72"/>
      <c r="U792" s="5"/>
      <c r="V792" s="5"/>
      <c r="W792" s="28">
        <v>1242447888</v>
      </c>
      <c r="X792" s="28">
        <f>N792-S792</f>
        <v>0</v>
      </c>
      <c r="Y792" s="36">
        <f>O792-T792</f>
        <v>7500000</v>
      </c>
      <c r="Z792" s="28">
        <f>P792-U792</f>
        <v>0</v>
      </c>
      <c r="AA792" s="16">
        <v>1242447888</v>
      </c>
      <c r="AB792" s="40"/>
      <c r="AC792" s="121">
        <f>IF(AB792=G792,1,2)</f>
        <v>2</v>
      </c>
      <c r="AD792" s="121"/>
    </row>
    <row r="793" spans="1:30" customFormat="1" ht="62.4" hidden="1" x14ac:dyDescent="0.3">
      <c r="A793" s="7" t="s">
        <v>46</v>
      </c>
      <c r="B793" s="6">
        <v>721</v>
      </c>
      <c r="C793" s="7" t="s">
        <v>2877</v>
      </c>
      <c r="D793" s="7" t="s">
        <v>3097</v>
      </c>
      <c r="E793" s="7" t="s">
        <v>3098</v>
      </c>
      <c r="F793" s="4"/>
      <c r="G793" s="7" t="s">
        <v>3099</v>
      </c>
      <c r="H793" s="7" t="s">
        <v>3100</v>
      </c>
      <c r="I793" s="5"/>
      <c r="J793" s="21" t="s">
        <v>3101</v>
      </c>
      <c r="K793" s="7" t="s">
        <v>24</v>
      </c>
      <c r="L793" s="7" t="s">
        <v>2856</v>
      </c>
      <c r="M793" s="114">
        <v>505786413</v>
      </c>
      <c r="N793" s="114">
        <v>205440547</v>
      </c>
      <c r="O793" s="114">
        <v>15000000</v>
      </c>
      <c r="P793" s="110"/>
      <c r="Q793" s="109">
        <f>M793+N793+O793+P793</f>
        <v>726226960</v>
      </c>
      <c r="R793" s="14">
        <v>505786413</v>
      </c>
      <c r="S793" s="14">
        <v>205440547</v>
      </c>
      <c r="T793" s="30">
        <v>15000000</v>
      </c>
      <c r="U793" s="5"/>
      <c r="V793" s="5"/>
      <c r="W793" s="28"/>
      <c r="X793" s="28">
        <f>N793-S793</f>
        <v>0</v>
      </c>
      <c r="Y793" s="28">
        <f>O793-T793</f>
        <v>0</v>
      </c>
      <c r="Z793" s="28">
        <f>P793-U793</f>
        <v>0</v>
      </c>
      <c r="AA793" s="4"/>
      <c r="AB793" s="4"/>
      <c r="AC793">
        <f>IF(AB793=G793,1,2)</f>
        <v>2</v>
      </c>
    </row>
    <row r="794" spans="1:30" customFormat="1" ht="42" hidden="1" x14ac:dyDescent="0.3">
      <c r="A794" s="7" t="s">
        <v>62</v>
      </c>
      <c r="B794" s="6">
        <v>722</v>
      </c>
      <c r="C794" s="7" t="s">
        <v>2877</v>
      </c>
      <c r="D794" s="7" t="s">
        <v>3102</v>
      </c>
      <c r="E794" s="5"/>
      <c r="F794" s="4"/>
      <c r="G794" s="7" t="s">
        <v>3103</v>
      </c>
      <c r="H794" s="5"/>
      <c r="I794" s="5"/>
      <c r="J794" s="21" t="s">
        <v>3104</v>
      </c>
      <c r="K794" s="7" t="s">
        <v>24</v>
      </c>
      <c r="L794" s="7" t="s">
        <v>3105</v>
      </c>
      <c r="M794" s="114">
        <v>5071257372</v>
      </c>
      <c r="N794" s="111"/>
      <c r="O794" s="114">
        <v>7500000</v>
      </c>
      <c r="P794" s="110"/>
      <c r="Q794" s="109">
        <f>M794+N794+O794+P794</f>
        <v>5078757372</v>
      </c>
      <c r="R794" s="14">
        <v>5071257372</v>
      </c>
      <c r="S794" s="5"/>
      <c r="T794" s="30">
        <v>7500000</v>
      </c>
      <c r="U794" s="5"/>
      <c r="V794" s="5"/>
      <c r="W794" s="28"/>
      <c r="X794" s="28">
        <f>N794-S794</f>
        <v>0</v>
      </c>
      <c r="Y794" s="28">
        <f>O794-T794</f>
        <v>0</v>
      </c>
      <c r="Z794" s="28">
        <f>P794-U794</f>
        <v>0</v>
      </c>
      <c r="AA794" s="4"/>
      <c r="AB794" s="4"/>
      <c r="AC794">
        <f>IF(AB794=G794,1,2)</f>
        <v>2</v>
      </c>
    </row>
    <row r="795" spans="1:30" customFormat="1" ht="42" hidden="1" x14ac:dyDescent="0.3">
      <c r="A795" s="7" t="s">
        <v>18</v>
      </c>
      <c r="B795" s="6">
        <v>723</v>
      </c>
      <c r="C795" s="7" t="s">
        <v>2877</v>
      </c>
      <c r="D795" s="7" t="s">
        <v>3106</v>
      </c>
      <c r="E795" s="5"/>
      <c r="F795" s="4"/>
      <c r="G795" s="7" t="s">
        <v>3107</v>
      </c>
      <c r="H795" s="5"/>
      <c r="I795" s="5"/>
      <c r="J795" s="21" t="s">
        <v>3108</v>
      </c>
      <c r="K795" s="7" t="s">
        <v>24</v>
      </c>
      <c r="L795" s="7" t="s">
        <v>3109</v>
      </c>
      <c r="M795" s="114">
        <v>835979508</v>
      </c>
      <c r="N795" s="111"/>
      <c r="O795" s="114">
        <v>7500000</v>
      </c>
      <c r="P795" s="110"/>
      <c r="Q795" s="109">
        <f>M795+N795+O795+P795</f>
        <v>843479508</v>
      </c>
      <c r="R795" s="14">
        <v>835979508</v>
      </c>
      <c r="S795" s="5"/>
      <c r="T795" s="30">
        <v>7500000</v>
      </c>
      <c r="U795" s="5"/>
      <c r="V795" s="5"/>
      <c r="W795" s="28"/>
      <c r="X795" s="28">
        <f>N795-S795</f>
        <v>0</v>
      </c>
      <c r="Y795" s="28">
        <f>O795-T795</f>
        <v>0</v>
      </c>
      <c r="Z795" s="28">
        <f>P795-U795</f>
        <v>0</v>
      </c>
      <c r="AA795" s="4"/>
      <c r="AB795" s="4"/>
      <c r="AC795">
        <f>IF(AB795=G795,1,2)</f>
        <v>2</v>
      </c>
    </row>
    <row r="796" spans="1:30" customFormat="1" ht="42" hidden="1" x14ac:dyDescent="0.3">
      <c r="A796" s="7" t="s">
        <v>1601</v>
      </c>
      <c r="B796" s="6">
        <v>724</v>
      </c>
      <c r="C796" s="7" t="s">
        <v>2877</v>
      </c>
      <c r="D796" s="7" t="s">
        <v>3110</v>
      </c>
      <c r="E796" s="5"/>
      <c r="F796" s="4"/>
      <c r="G796" s="7" t="s">
        <v>3111</v>
      </c>
      <c r="H796" s="5"/>
      <c r="I796" s="5"/>
      <c r="J796" s="21" t="s">
        <v>3112</v>
      </c>
      <c r="K796" s="7" t="s">
        <v>24</v>
      </c>
      <c r="L796" s="7" t="s">
        <v>3113</v>
      </c>
      <c r="M796" s="114">
        <v>1687785424</v>
      </c>
      <c r="N796" s="111"/>
      <c r="O796" s="114">
        <v>15000000</v>
      </c>
      <c r="P796" s="110"/>
      <c r="Q796" s="109">
        <f>M796+N796+O796+P796</f>
        <v>1702785424</v>
      </c>
      <c r="R796" s="36">
        <v>1687785424</v>
      </c>
      <c r="S796" s="5"/>
      <c r="T796" s="30">
        <v>15000000</v>
      </c>
      <c r="U796" s="5"/>
      <c r="V796" s="5"/>
      <c r="W796" s="28"/>
      <c r="X796" s="28">
        <f>N796-S796</f>
        <v>0</v>
      </c>
      <c r="Y796" s="28">
        <f>O796-T796</f>
        <v>0</v>
      </c>
      <c r="Z796" s="28">
        <f>P796-U796</f>
        <v>0</v>
      </c>
      <c r="AA796" s="4"/>
      <c r="AB796" s="4"/>
      <c r="AC796">
        <f>IF(AB796=G796,1,2)</f>
        <v>2</v>
      </c>
    </row>
    <row r="797" spans="1:30" customFormat="1" ht="62.4" hidden="1" x14ac:dyDescent="0.4">
      <c r="A797" s="7" t="s">
        <v>18</v>
      </c>
      <c r="B797" s="6">
        <v>727</v>
      </c>
      <c r="C797" s="7" t="s">
        <v>2877</v>
      </c>
      <c r="D797" s="7" t="s">
        <v>3123</v>
      </c>
      <c r="E797" s="7" t="s">
        <v>2940</v>
      </c>
      <c r="F797" s="4"/>
      <c r="G797" s="7"/>
      <c r="H797" s="7"/>
      <c r="I797" s="7" t="s">
        <v>3124</v>
      </c>
      <c r="J797" s="7" t="s">
        <v>3125</v>
      </c>
      <c r="K797" s="7" t="s">
        <v>24</v>
      </c>
      <c r="L797" s="7" t="s">
        <v>2826</v>
      </c>
      <c r="M797" s="114">
        <v>10000000</v>
      </c>
      <c r="N797" s="111"/>
      <c r="O797" s="109">
        <v>15000000</v>
      </c>
      <c r="P797" s="110"/>
      <c r="Q797" s="109">
        <f>M797+N797+O797+P797</f>
        <v>25000000</v>
      </c>
      <c r="R797" s="5"/>
      <c r="S797" s="5"/>
      <c r="T797" s="72"/>
      <c r="U797" s="5"/>
      <c r="V797" s="5"/>
      <c r="W797" s="28">
        <v>10000000</v>
      </c>
      <c r="X797" s="28">
        <f>N797-S797</f>
        <v>0</v>
      </c>
      <c r="Y797" s="36">
        <f>O797-T797</f>
        <v>15000000</v>
      </c>
      <c r="Z797" s="28">
        <f>P797-U797</f>
        <v>0</v>
      </c>
      <c r="AA797" s="16">
        <v>10000000</v>
      </c>
      <c r="AB797" s="40"/>
      <c r="AC797" s="121">
        <f>IF(AB797=G797,1,2)</f>
        <v>1</v>
      </c>
      <c r="AD797" s="121"/>
    </row>
    <row r="798" spans="1:30" customFormat="1" ht="46.8" hidden="1" x14ac:dyDescent="0.3">
      <c r="A798" s="7" t="s">
        <v>18</v>
      </c>
      <c r="B798" s="6">
        <v>729</v>
      </c>
      <c r="C798" s="7" t="s">
        <v>2877</v>
      </c>
      <c r="D798" s="7" t="s">
        <v>3130</v>
      </c>
      <c r="E798" s="5"/>
      <c r="F798" s="4"/>
      <c r="G798" s="7" t="s">
        <v>3131</v>
      </c>
      <c r="H798" s="5"/>
      <c r="I798" s="5"/>
      <c r="J798" s="21" t="s">
        <v>3132</v>
      </c>
      <c r="K798" s="7" t="s">
        <v>24</v>
      </c>
      <c r="L798" s="7" t="s">
        <v>3133</v>
      </c>
      <c r="M798" s="114">
        <v>379903110</v>
      </c>
      <c r="N798" s="111"/>
      <c r="O798" s="114">
        <v>7500000</v>
      </c>
      <c r="P798" s="110"/>
      <c r="Q798" s="109">
        <f>M798+N798+O798+P798</f>
        <v>387403110</v>
      </c>
      <c r="R798" s="14">
        <v>379903110</v>
      </c>
      <c r="S798" s="5"/>
      <c r="T798" s="30">
        <v>7500000</v>
      </c>
      <c r="U798" s="5"/>
      <c r="V798" s="5"/>
      <c r="W798" s="28"/>
      <c r="X798" s="28">
        <f>N798-S798</f>
        <v>0</v>
      </c>
      <c r="Y798" s="28">
        <f>O798-T798</f>
        <v>0</v>
      </c>
      <c r="Z798" s="28">
        <f>P798-U798</f>
        <v>0</v>
      </c>
      <c r="AA798" s="4"/>
      <c r="AB798" s="4"/>
      <c r="AC798">
        <f>IF(AB798=G798,1,2)</f>
        <v>2</v>
      </c>
    </row>
    <row r="799" spans="1:30" customFormat="1" ht="62.4" hidden="1" x14ac:dyDescent="0.3">
      <c r="A799" s="7" t="s">
        <v>62</v>
      </c>
      <c r="B799" s="6">
        <v>731</v>
      </c>
      <c r="C799" s="7" t="s">
        <v>2877</v>
      </c>
      <c r="D799" s="7" t="s">
        <v>3138</v>
      </c>
      <c r="E799" s="7" t="s">
        <v>3139</v>
      </c>
      <c r="F799" s="4"/>
      <c r="G799" s="7" t="s">
        <v>3140</v>
      </c>
      <c r="H799" s="7" t="s">
        <v>3141</v>
      </c>
      <c r="I799" s="5"/>
      <c r="J799" s="21" t="s">
        <v>3142</v>
      </c>
      <c r="K799" s="7" t="s">
        <v>24</v>
      </c>
      <c r="L799" s="7" t="s">
        <v>3143</v>
      </c>
      <c r="M799" s="114">
        <v>4043584200</v>
      </c>
      <c r="N799" s="114">
        <v>161992320</v>
      </c>
      <c r="O799" s="114">
        <v>15000000</v>
      </c>
      <c r="P799" s="110"/>
      <c r="Q799" s="109">
        <f>M799+N799+O799+P799</f>
        <v>4220576520</v>
      </c>
      <c r="R799" s="37">
        <v>4043584200</v>
      </c>
      <c r="S799" s="14">
        <v>161992320</v>
      </c>
      <c r="T799" s="30">
        <v>15000000</v>
      </c>
      <c r="U799" s="5"/>
      <c r="V799" s="5"/>
      <c r="W799" s="28"/>
      <c r="X799" s="28">
        <f>N799-S799</f>
        <v>0</v>
      </c>
      <c r="Y799" s="28">
        <f>O799-T799</f>
        <v>0</v>
      </c>
      <c r="Z799" s="28">
        <f>P799-U799</f>
        <v>0</v>
      </c>
      <c r="AA799" s="4"/>
      <c r="AB799" s="4"/>
      <c r="AC799">
        <f>IF(AB799=G799,1,2)</f>
        <v>2</v>
      </c>
    </row>
    <row r="800" spans="1:30" customFormat="1" ht="62.4" hidden="1" customHeight="1" x14ac:dyDescent="0.3">
      <c r="A800" s="7" t="s">
        <v>46</v>
      </c>
      <c r="B800" s="6">
        <v>734</v>
      </c>
      <c r="C800" s="7" t="s">
        <v>2877</v>
      </c>
      <c r="D800" s="7" t="s">
        <v>3157</v>
      </c>
      <c r="E800" s="5"/>
      <c r="F800" s="4"/>
      <c r="G800" s="7" t="s">
        <v>3158</v>
      </c>
      <c r="H800" s="5"/>
      <c r="I800" s="5"/>
      <c r="J800" s="21" t="s">
        <v>3159</v>
      </c>
      <c r="K800" s="7" t="s">
        <v>24</v>
      </c>
      <c r="L800" s="7" t="s">
        <v>3160</v>
      </c>
      <c r="M800" s="114">
        <v>7225075720</v>
      </c>
      <c r="N800" s="111"/>
      <c r="O800" s="114">
        <v>15000000</v>
      </c>
      <c r="P800" s="110"/>
      <c r="Q800" s="109">
        <f>M800+N800+O800+P800</f>
        <v>7240075720</v>
      </c>
      <c r="R800" s="14">
        <v>7225075720</v>
      </c>
      <c r="S800" s="5"/>
      <c r="T800" s="30">
        <v>15000000</v>
      </c>
      <c r="U800" s="5"/>
      <c r="V800" s="5"/>
      <c r="W800" s="28"/>
      <c r="X800" s="28">
        <f>N800-S800</f>
        <v>0</v>
      </c>
      <c r="Y800" s="28">
        <f>O800-T800</f>
        <v>0</v>
      </c>
      <c r="Z800" s="28">
        <f>P800-U800</f>
        <v>0</v>
      </c>
      <c r="AA800" s="4"/>
      <c r="AB800" s="4"/>
      <c r="AC800">
        <f>IF(AB800=G800,1,2)</f>
        <v>2</v>
      </c>
    </row>
    <row r="801" spans="1:29" customFormat="1" ht="31.2" hidden="1" x14ac:dyDescent="0.3">
      <c r="A801" s="7" t="s">
        <v>62</v>
      </c>
      <c r="B801" s="6">
        <v>736</v>
      </c>
      <c r="C801" s="7" t="s">
        <v>2877</v>
      </c>
      <c r="D801" s="7" t="s">
        <v>3165</v>
      </c>
      <c r="E801" s="5"/>
      <c r="F801" s="4"/>
      <c r="G801" s="7" t="s">
        <v>3166</v>
      </c>
      <c r="H801" s="5"/>
      <c r="I801" s="5"/>
      <c r="J801" s="21" t="s">
        <v>3167</v>
      </c>
      <c r="K801" s="7" t="s">
        <v>24</v>
      </c>
      <c r="L801" s="7" t="s">
        <v>3168</v>
      </c>
      <c r="M801" s="114">
        <v>1376202443</v>
      </c>
      <c r="N801" s="111"/>
      <c r="O801" s="114">
        <v>15000000</v>
      </c>
      <c r="P801" s="110"/>
      <c r="Q801" s="109">
        <f>M801+N801+O801+P801</f>
        <v>1391202443</v>
      </c>
      <c r="R801" s="37">
        <v>1376202443</v>
      </c>
      <c r="S801" s="5"/>
      <c r="T801" s="33">
        <v>15000000</v>
      </c>
      <c r="U801" s="5"/>
      <c r="V801" s="5"/>
      <c r="W801" s="28"/>
      <c r="X801" s="28">
        <f>N801-S801</f>
        <v>0</v>
      </c>
      <c r="Y801" s="28">
        <f>O801-T801</f>
        <v>0</v>
      </c>
      <c r="Z801" s="28">
        <f>P801-U801</f>
        <v>0</v>
      </c>
      <c r="AA801" s="4"/>
      <c r="AB801" s="4"/>
      <c r="AC801">
        <f>IF(AB801=G801,1,2)</f>
        <v>2</v>
      </c>
    </row>
    <row r="802" spans="1:29" customFormat="1" ht="63" hidden="1" x14ac:dyDescent="0.3">
      <c r="A802" s="7" t="s">
        <v>62</v>
      </c>
      <c r="B802" s="6">
        <v>737</v>
      </c>
      <c r="C802" s="7" t="s">
        <v>2877</v>
      </c>
      <c r="D802" s="7" t="s">
        <v>3169</v>
      </c>
      <c r="E802" s="5"/>
      <c r="F802" s="4"/>
      <c r="G802" s="7" t="s">
        <v>3170</v>
      </c>
      <c r="H802" s="5"/>
      <c r="I802" s="5"/>
      <c r="J802" s="21" t="s">
        <v>3171</v>
      </c>
      <c r="K802" s="7" t="s">
        <v>24</v>
      </c>
      <c r="L802" s="7" t="s">
        <v>3172</v>
      </c>
      <c r="M802" s="114">
        <v>299923956</v>
      </c>
      <c r="N802" s="111"/>
      <c r="O802" s="114">
        <v>15000000</v>
      </c>
      <c r="P802" s="110"/>
      <c r="Q802" s="109">
        <f>M802+N802+O802+P802</f>
        <v>314923956</v>
      </c>
      <c r="R802" s="37">
        <v>299923956</v>
      </c>
      <c r="S802" s="5"/>
      <c r="T802" s="33">
        <v>15000000</v>
      </c>
      <c r="U802" s="5"/>
      <c r="V802" s="5"/>
      <c r="W802" s="28"/>
      <c r="X802" s="28">
        <f>N802-S802</f>
        <v>0</v>
      </c>
      <c r="Y802" s="28">
        <f>O802-T802</f>
        <v>0</v>
      </c>
      <c r="Z802" s="28">
        <f>P802-U802</f>
        <v>0</v>
      </c>
      <c r="AA802" s="4"/>
      <c r="AB802" s="4"/>
      <c r="AC802">
        <f>IF(AB802=G802,1,2)</f>
        <v>2</v>
      </c>
    </row>
    <row r="803" spans="1:29" customFormat="1" ht="42" hidden="1" x14ac:dyDescent="0.3">
      <c r="A803" s="7" t="s">
        <v>62</v>
      </c>
      <c r="B803" s="6">
        <v>738</v>
      </c>
      <c r="C803" s="7" t="s">
        <v>2877</v>
      </c>
      <c r="D803" s="7" t="s">
        <v>3173</v>
      </c>
      <c r="E803" s="5"/>
      <c r="F803" s="4"/>
      <c r="G803" s="7" t="s">
        <v>3174</v>
      </c>
      <c r="H803" s="5"/>
      <c r="I803" s="5"/>
      <c r="J803" s="21" t="s">
        <v>3175</v>
      </c>
      <c r="K803" s="7" t="s">
        <v>24</v>
      </c>
      <c r="L803" s="7" t="s">
        <v>3176</v>
      </c>
      <c r="M803" s="114">
        <v>5079928644</v>
      </c>
      <c r="N803" s="111"/>
      <c r="O803" s="114">
        <v>7500000</v>
      </c>
      <c r="P803" s="110"/>
      <c r="Q803" s="109">
        <f>M803+N803+O803+P803</f>
        <v>5087428644</v>
      </c>
      <c r="R803" s="14">
        <v>5079928644</v>
      </c>
      <c r="S803" s="5"/>
      <c r="T803" s="33">
        <v>7500000</v>
      </c>
      <c r="U803" s="5"/>
      <c r="V803" s="5"/>
      <c r="W803" s="28"/>
      <c r="X803" s="28">
        <f>N803-S803</f>
        <v>0</v>
      </c>
      <c r="Y803" s="28">
        <f>O803-T803</f>
        <v>0</v>
      </c>
      <c r="Z803" s="28">
        <f>P803-U803</f>
        <v>0</v>
      </c>
      <c r="AA803" s="4"/>
      <c r="AB803" s="4"/>
      <c r="AC803">
        <f>IF(AB803=G803,1,2)</f>
        <v>2</v>
      </c>
    </row>
    <row r="804" spans="1:29" customFormat="1" ht="42" hidden="1" x14ac:dyDescent="0.3">
      <c r="A804" s="7" t="s">
        <v>18</v>
      </c>
      <c r="B804" s="6">
        <v>739</v>
      </c>
      <c r="C804" s="7" t="s">
        <v>2877</v>
      </c>
      <c r="D804" s="7" t="s">
        <v>3177</v>
      </c>
      <c r="E804" s="5"/>
      <c r="F804" s="4"/>
      <c r="G804" s="7" t="s">
        <v>3178</v>
      </c>
      <c r="H804" s="7" t="s">
        <v>1791</v>
      </c>
      <c r="I804" s="5"/>
      <c r="J804" s="21" t="s">
        <v>3179</v>
      </c>
      <c r="K804" s="7" t="s">
        <v>24</v>
      </c>
      <c r="L804" s="7" t="s">
        <v>3180</v>
      </c>
      <c r="M804" s="114">
        <v>2887146088</v>
      </c>
      <c r="N804" s="111"/>
      <c r="O804" s="114">
        <v>15000000</v>
      </c>
      <c r="P804" s="110"/>
      <c r="Q804" s="109">
        <f>M804+N804+O804+P804</f>
        <v>2902146088</v>
      </c>
      <c r="R804" s="37">
        <v>2887146088</v>
      </c>
      <c r="S804" s="5"/>
      <c r="T804" s="33">
        <v>15000000</v>
      </c>
      <c r="U804" s="5"/>
      <c r="V804" s="5"/>
      <c r="W804" s="28"/>
      <c r="X804" s="28">
        <f>N804-S804</f>
        <v>0</v>
      </c>
      <c r="Y804" s="28">
        <f>O804-T804</f>
        <v>0</v>
      </c>
      <c r="Z804" s="28">
        <f>P804-U804</f>
        <v>0</v>
      </c>
      <c r="AA804" s="4"/>
      <c r="AB804" s="4"/>
      <c r="AC804">
        <f>IF(AB804=G804,1,2)</f>
        <v>2</v>
      </c>
    </row>
    <row r="805" spans="1:29" customFormat="1" ht="63" hidden="1" x14ac:dyDescent="0.3">
      <c r="A805" s="7" t="s">
        <v>62</v>
      </c>
      <c r="B805" s="6">
        <v>740</v>
      </c>
      <c r="C805" s="7" t="s">
        <v>2877</v>
      </c>
      <c r="D805" s="7" t="s">
        <v>3181</v>
      </c>
      <c r="E805" s="5"/>
      <c r="F805" s="4"/>
      <c r="G805" s="7" t="s">
        <v>3182</v>
      </c>
      <c r="H805" s="7" t="s">
        <v>3183</v>
      </c>
      <c r="I805" s="5"/>
      <c r="J805" s="21" t="s">
        <v>3184</v>
      </c>
      <c r="K805" s="7" t="s">
        <v>24</v>
      </c>
      <c r="L805" s="7" t="s">
        <v>3185</v>
      </c>
      <c r="M805" s="114">
        <v>1459373626</v>
      </c>
      <c r="N805" s="111"/>
      <c r="O805" s="114">
        <v>15000000</v>
      </c>
      <c r="P805" s="110"/>
      <c r="Q805" s="109">
        <f>M805+N805+O805+P805</f>
        <v>1474373626</v>
      </c>
      <c r="R805" s="14">
        <v>1459373626</v>
      </c>
      <c r="S805" s="5"/>
      <c r="T805" s="33">
        <v>15000000</v>
      </c>
      <c r="U805" s="5"/>
      <c r="V805" s="5"/>
      <c r="W805" s="28"/>
      <c r="X805" s="28">
        <f>N805-S805</f>
        <v>0</v>
      </c>
      <c r="Y805" s="28">
        <f>O805-T805</f>
        <v>0</v>
      </c>
      <c r="Z805" s="28">
        <f>P805-U805</f>
        <v>0</v>
      </c>
      <c r="AA805" s="4"/>
      <c r="AB805" s="4"/>
      <c r="AC805">
        <f>IF(AB805=G805,1,2)</f>
        <v>2</v>
      </c>
    </row>
    <row r="806" spans="1:29" customFormat="1" ht="62.4" hidden="1" customHeight="1" x14ac:dyDescent="0.3">
      <c r="A806" s="7" t="s">
        <v>2290</v>
      </c>
      <c r="B806" s="6">
        <v>741</v>
      </c>
      <c r="C806" s="7" t="s">
        <v>2877</v>
      </c>
      <c r="D806" s="7" t="s">
        <v>3186</v>
      </c>
      <c r="E806" s="5"/>
      <c r="F806" s="4"/>
      <c r="G806" s="7" t="s">
        <v>3187</v>
      </c>
      <c r="H806" s="5"/>
      <c r="I806" s="5"/>
      <c r="J806" s="21" t="s">
        <v>3188</v>
      </c>
      <c r="K806" s="7" t="s">
        <v>24</v>
      </c>
      <c r="L806" s="7" t="s">
        <v>3189</v>
      </c>
      <c r="M806" s="114">
        <v>82301352</v>
      </c>
      <c r="N806" s="111"/>
      <c r="O806" s="114">
        <v>7500000</v>
      </c>
      <c r="P806" s="110"/>
      <c r="Q806" s="109">
        <f>M806+N806+O806+P806</f>
        <v>89801352</v>
      </c>
      <c r="R806" s="14">
        <v>82301352</v>
      </c>
      <c r="S806" s="5"/>
      <c r="T806" s="33">
        <v>7500000</v>
      </c>
      <c r="U806" s="5"/>
      <c r="V806" s="5"/>
      <c r="W806" s="28"/>
      <c r="X806" s="28">
        <f>N806-S806</f>
        <v>0</v>
      </c>
      <c r="Y806" s="28">
        <f>O806-T806</f>
        <v>0</v>
      </c>
      <c r="Z806" s="28">
        <f>P806-U806</f>
        <v>0</v>
      </c>
      <c r="AA806" s="4"/>
      <c r="AB806" s="4"/>
      <c r="AC806">
        <f>IF(AB806=G806,1,2)</f>
        <v>2</v>
      </c>
    </row>
    <row r="807" spans="1:29" customFormat="1" ht="63" hidden="1" x14ac:dyDescent="0.3">
      <c r="A807" s="7" t="s">
        <v>62</v>
      </c>
      <c r="B807" s="6">
        <v>742</v>
      </c>
      <c r="C807" s="7" t="s">
        <v>2877</v>
      </c>
      <c r="D807" s="7" t="s">
        <v>3190</v>
      </c>
      <c r="E807" s="5"/>
      <c r="F807" s="4"/>
      <c r="G807" s="7" t="s">
        <v>3191</v>
      </c>
      <c r="H807" s="5"/>
      <c r="I807" s="5"/>
      <c r="J807" s="21" t="s">
        <v>3192</v>
      </c>
      <c r="K807" s="7" t="s">
        <v>24</v>
      </c>
      <c r="L807" s="7" t="s">
        <v>3193</v>
      </c>
      <c r="M807" s="114">
        <v>1439532080</v>
      </c>
      <c r="N807" s="111"/>
      <c r="O807" s="114">
        <v>15000000</v>
      </c>
      <c r="P807" s="110"/>
      <c r="Q807" s="109">
        <f>M807+N807+O807+P807</f>
        <v>1454532080</v>
      </c>
      <c r="R807" s="37">
        <v>1439532080</v>
      </c>
      <c r="S807" s="5"/>
      <c r="T807" s="30">
        <v>15000000</v>
      </c>
      <c r="U807" s="5"/>
      <c r="V807" s="5"/>
      <c r="W807" s="28"/>
      <c r="X807" s="28">
        <f>N807-S807</f>
        <v>0</v>
      </c>
      <c r="Y807" s="28">
        <f>O807-T807</f>
        <v>0</v>
      </c>
      <c r="Z807" s="28">
        <f>P807-U807</f>
        <v>0</v>
      </c>
      <c r="AA807" s="4"/>
      <c r="AB807" s="4"/>
      <c r="AC807">
        <f>IF(AB807=G807,1,2)</f>
        <v>2</v>
      </c>
    </row>
    <row r="808" spans="1:29" customFormat="1" ht="42" hidden="1" x14ac:dyDescent="0.3">
      <c r="A808" s="7" t="s">
        <v>1601</v>
      </c>
      <c r="B808" s="6">
        <v>748</v>
      </c>
      <c r="C808" s="7" t="s">
        <v>2877</v>
      </c>
      <c r="D808" s="7" t="s">
        <v>3217</v>
      </c>
      <c r="E808" s="5"/>
      <c r="F808" s="4"/>
      <c r="G808" s="7" t="s">
        <v>3218</v>
      </c>
      <c r="H808" s="5"/>
      <c r="I808" s="5"/>
      <c r="J808" s="21" t="s">
        <v>3219</v>
      </c>
      <c r="K808" s="7" t="s">
        <v>24</v>
      </c>
      <c r="L808" s="7" t="s">
        <v>2632</v>
      </c>
      <c r="M808" s="114">
        <v>1272966611</v>
      </c>
      <c r="N808" s="111"/>
      <c r="O808" s="114">
        <v>15000000</v>
      </c>
      <c r="P808" s="110"/>
      <c r="Q808" s="109">
        <f>M808+N808+O808+P808</f>
        <v>1287966611</v>
      </c>
      <c r="R808" s="36">
        <v>1272966611</v>
      </c>
      <c r="S808" s="5"/>
      <c r="T808" s="30">
        <v>15000000</v>
      </c>
      <c r="U808" s="5"/>
      <c r="V808" s="5"/>
      <c r="W808" s="28"/>
      <c r="X808" s="28">
        <f>N808-S808</f>
        <v>0</v>
      </c>
      <c r="Y808" s="28">
        <f>O808-T808</f>
        <v>0</v>
      </c>
      <c r="Z808" s="28">
        <f>P808-U808</f>
        <v>0</v>
      </c>
      <c r="AA808" s="4"/>
      <c r="AB808" s="4"/>
      <c r="AC808">
        <f>IF(AB808=G808,1,2)</f>
        <v>2</v>
      </c>
    </row>
    <row r="809" spans="1:29" customFormat="1" ht="63" hidden="1" x14ac:dyDescent="0.3">
      <c r="A809" s="7" t="s">
        <v>18</v>
      </c>
      <c r="B809" s="6">
        <v>751</v>
      </c>
      <c r="C809" s="7" t="s">
        <v>2877</v>
      </c>
      <c r="D809" s="7" t="s">
        <v>3231</v>
      </c>
      <c r="E809" s="5"/>
      <c r="F809" s="4"/>
      <c r="G809" s="7" t="s">
        <v>3232</v>
      </c>
      <c r="H809" s="7" t="s">
        <v>3233</v>
      </c>
      <c r="I809" s="5"/>
      <c r="J809" s="21" t="s">
        <v>3234</v>
      </c>
      <c r="K809" s="7" t="s">
        <v>24</v>
      </c>
      <c r="L809" s="7" t="s">
        <v>3235</v>
      </c>
      <c r="M809" s="114">
        <v>10997534236</v>
      </c>
      <c r="N809" s="111"/>
      <c r="O809" s="114">
        <v>15000000</v>
      </c>
      <c r="P809" s="110"/>
      <c r="Q809" s="109">
        <f>M809+N809+O809+P809</f>
        <v>11012534236</v>
      </c>
      <c r="R809" s="14">
        <v>10997534236</v>
      </c>
      <c r="S809" s="5"/>
      <c r="T809" s="31">
        <v>15000000</v>
      </c>
      <c r="U809" s="5"/>
      <c r="V809" s="5"/>
      <c r="W809" s="28"/>
      <c r="X809" s="28">
        <f>N809-S809</f>
        <v>0</v>
      </c>
      <c r="Y809" s="28">
        <f>O809-T809</f>
        <v>0</v>
      </c>
      <c r="Z809" s="28">
        <f>P809-U809</f>
        <v>0</v>
      </c>
      <c r="AA809" s="4"/>
      <c r="AB809" s="4"/>
      <c r="AC809">
        <f>IF(AB809=G809,1,2)</f>
        <v>2</v>
      </c>
    </row>
    <row r="810" spans="1:29" customFormat="1" ht="78" hidden="1" customHeight="1" x14ac:dyDescent="0.3">
      <c r="A810" s="7" t="s">
        <v>1601</v>
      </c>
      <c r="B810" s="6">
        <v>753</v>
      </c>
      <c r="C810" s="7" t="s">
        <v>2877</v>
      </c>
      <c r="D810" s="7" t="s">
        <v>3240</v>
      </c>
      <c r="E810" s="5"/>
      <c r="F810" s="4"/>
      <c r="G810" s="7" t="s">
        <v>3241</v>
      </c>
      <c r="H810" s="7" t="s">
        <v>3242</v>
      </c>
      <c r="I810" s="5"/>
      <c r="J810" s="21" t="s">
        <v>3243</v>
      </c>
      <c r="K810" s="7" t="s">
        <v>24</v>
      </c>
      <c r="L810" s="7" t="s">
        <v>3244</v>
      </c>
      <c r="M810" s="114">
        <v>2463725120</v>
      </c>
      <c r="N810" s="111"/>
      <c r="O810" s="114">
        <v>15000000</v>
      </c>
      <c r="P810" s="110"/>
      <c r="Q810" s="109">
        <f>M810+N810+O810+P810</f>
        <v>2478725120</v>
      </c>
      <c r="R810" s="3">
        <v>2463725120</v>
      </c>
      <c r="S810" s="5"/>
      <c r="T810" s="30">
        <v>15000000</v>
      </c>
      <c r="U810" s="5"/>
      <c r="V810" s="5"/>
      <c r="W810" s="28"/>
      <c r="X810" s="28">
        <f>N810-S810</f>
        <v>0</v>
      </c>
      <c r="Y810" s="28">
        <f>O810-T810</f>
        <v>0</v>
      </c>
      <c r="Z810" s="28">
        <f>P810-U810</f>
        <v>0</v>
      </c>
      <c r="AA810" s="4"/>
      <c r="AB810" s="4"/>
      <c r="AC810">
        <f>IF(AB810=G810,1,2)</f>
        <v>2</v>
      </c>
    </row>
    <row r="811" spans="1:29" customFormat="1" ht="62.4" hidden="1" customHeight="1" x14ac:dyDescent="0.3">
      <c r="A811" s="7" t="s">
        <v>46</v>
      </c>
      <c r="B811" s="6">
        <v>754</v>
      </c>
      <c r="C811" s="7" t="s">
        <v>2877</v>
      </c>
      <c r="D811" s="7" t="s">
        <v>3245</v>
      </c>
      <c r="E811" s="5"/>
      <c r="F811" s="4"/>
      <c r="G811" s="7" t="s">
        <v>3246</v>
      </c>
      <c r="H811" s="5"/>
      <c r="I811" s="5"/>
      <c r="J811" s="21" t="s">
        <v>3247</v>
      </c>
      <c r="K811" s="7" t="s">
        <v>24</v>
      </c>
      <c r="L811" s="7" t="s">
        <v>2779</v>
      </c>
      <c r="M811" s="114">
        <v>1935531328</v>
      </c>
      <c r="N811" s="111"/>
      <c r="O811" s="114">
        <v>15000000</v>
      </c>
      <c r="P811" s="110"/>
      <c r="Q811" s="109">
        <f>M811+N811+O811+P811</f>
        <v>1950531328</v>
      </c>
      <c r="R811" s="36">
        <v>1935531328</v>
      </c>
      <c r="S811" s="5"/>
      <c r="T811" s="30">
        <v>15000000</v>
      </c>
      <c r="U811" s="5"/>
      <c r="V811" s="5"/>
      <c r="W811" s="28"/>
      <c r="X811" s="28">
        <f>N811-S811</f>
        <v>0</v>
      </c>
      <c r="Y811" s="28">
        <f>O811-T811</f>
        <v>0</v>
      </c>
      <c r="Z811" s="28">
        <f>P811-U811</f>
        <v>0</v>
      </c>
      <c r="AA811" s="4"/>
      <c r="AB811" s="4"/>
      <c r="AC811">
        <f>IF(AB811=G811,1,2)</f>
        <v>2</v>
      </c>
    </row>
    <row r="812" spans="1:29" customFormat="1" ht="42" hidden="1" x14ac:dyDescent="0.3">
      <c r="A812" s="7" t="s">
        <v>18</v>
      </c>
      <c r="B812" s="6">
        <v>757</v>
      </c>
      <c r="C812" s="7" t="s">
        <v>2877</v>
      </c>
      <c r="D812" s="7" t="s">
        <v>3260</v>
      </c>
      <c r="E812" s="5"/>
      <c r="F812" s="4"/>
      <c r="G812" s="7" t="s">
        <v>3261</v>
      </c>
      <c r="H812" s="7" t="s">
        <v>877</v>
      </c>
      <c r="I812" s="5"/>
      <c r="J812" s="21" t="s">
        <v>3262</v>
      </c>
      <c r="K812" s="7" t="s">
        <v>24</v>
      </c>
      <c r="L812" s="7" t="s">
        <v>3263</v>
      </c>
      <c r="M812" s="114">
        <v>5689097581</v>
      </c>
      <c r="N812" s="111"/>
      <c r="O812" s="114">
        <v>15000000</v>
      </c>
      <c r="P812" s="110"/>
      <c r="Q812" s="109">
        <f>M812+N812+O812+P812</f>
        <v>5704097581</v>
      </c>
      <c r="R812" s="14">
        <v>5689097581</v>
      </c>
      <c r="S812" s="5"/>
      <c r="T812" s="30">
        <v>15000000</v>
      </c>
      <c r="U812" s="5"/>
      <c r="V812" s="5"/>
      <c r="W812" s="28"/>
      <c r="X812" s="28">
        <f>N812-S812</f>
        <v>0</v>
      </c>
      <c r="Y812" s="28">
        <f>O812-T812</f>
        <v>0</v>
      </c>
      <c r="Z812" s="28">
        <f>P812-U812</f>
        <v>0</v>
      </c>
      <c r="AA812" s="4"/>
      <c r="AB812" s="4"/>
      <c r="AC812">
        <f>IF(AB812=G812,1,2)</f>
        <v>2</v>
      </c>
    </row>
    <row r="813" spans="1:29" customFormat="1" ht="63" hidden="1" x14ac:dyDescent="0.3">
      <c r="A813" s="7" t="s">
        <v>62</v>
      </c>
      <c r="B813" s="6">
        <v>758</v>
      </c>
      <c r="C813" s="7" t="s">
        <v>2877</v>
      </c>
      <c r="D813" s="7" t="s">
        <v>3264</v>
      </c>
      <c r="E813" s="5"/>
      <c r="F813" s="4"/>
      <c r="G813" s="7" t="s">
        <v>3265</v>
      </c>
      <c r="H813" s="5"/>
      <c r="I813" s="5"/>
      <c r="J813" s="21" t="s">
        <v>3266</v>
      </c>
      <c r="K813" s="7" t="s">
        <v>24</v>
      </c>
      <c r="L813" s="7" t="s">
        <v>3267</v>
      </c>
      <c r="M813" s="114">
        <v>2504835588</v>
      </c>
      <c r="N813" s="111"/>
      <c r="O813" s="114">
        <v>15000000</v>
      </c>
      <c r="P813" s="110"/>
      <c r="Q813" s="109">
        <f>M813+N813+O813+P813</f>
        <v>2519835588</v>
      </c>
      <c r="R813" s="14">
        <v>2504835588</v>
      </c>
      <c r="S813" s="5"/>
      <c r="T813" s="33">
        <v>15000000</v>
      </c>
      <c r="U813" s="5"/>
      <c r="V813" s="5"/>
      <c r="W813" s="28"/>
      <c r="X813" s="28">
        <f>N813-S813</f>
        <v>0</v>
      </c>
      <c r="Y813" s="28">
        <f>O813-T813</f>
        <v>0</v>
      </c>
      <c r="Z813" s="28">
        <f>P813-U813</f>
        <v>0</v>
      </c>
      <c r="AA813" s="4"/>
      <c r="AB813" s="4"/>
      <c r="AC813">
        <f>IF(AB813=G813,1,2)</f>
        <v>2</v>
      </c>
    </row>
    <row r="814" spans="1:29" customFormat="1" ht="42" hidden="1" x14ac:dyDescent="0.3">
      <c r="A814" s="7" t="s">
        <v>46</v>
      </c>
      <c r="B814" s="6">
        <v>759</v>
      </c>
      <c r="C814" s="7" t="s">
        <v>2877</v>
      </c>
      <c r="D814" s="7" t="s">
        <v>3268</v>
      </c>
      <c r="E814" s="5"/>
      <c r="F814" s="4"/>
      <c r="G814" s="7" t="s">
        <v>3269</v>
      </c>
      <c r="H814" s="5"/>
      <c r="I814" s="5"/>
      <c r="J814" s="21" t="s">
        <v>197</v>
      </c>
      <c r="K814" s="7" t="s">
        <v>24</v>
      </c>
      <c r="L814" s="7" t="s">
        <v>2856</v>
      </c>
      <c r="M814" s="114">
        <v>851472352</v>
      </c>
      <c r="N814" s="111"/>
      <c r="O814" s="114">
        <v>15000000</v>
      </c>
      <c r="P814" s="110"/>
      <c r="Q814" s="109">
        <f>M814+N814+O814+P814</f>
        <v>866472352</v>
      </c>
      <c r="R814" s="14">
        <v>851472352</v>
      </c>
      <c r="S814" s="5"/>
      <c r="T814" s="33">
        <v>15000000</v>
      </c>
      <c r="U814" s="5"/>
      <c r="V814" s="5"/>
      <c r="W814" s="28"/>
      <c r="X814" s="28">
        <f>N814-S814</f>
        <v>0</v>
      </c>
      <c r="Y814" s="28">
        <f>O814-T814</f>
        <v>0</v>
      </c>
      <c r="Z814" s="28">
        <f>P814-U814</f>
        <v>0</v>
      </c>
      <c r="AA814" s="4"/>
      <c r="AB814" s="4"/>
      <c r="AC814">
        <f>IF(AB814=G814,1,2)</f>
        <v>2</v>
      </c>
    </row>
    <row r="815" spans="1:29" customFormat="1" ht="63" hidden="1" x14ac:dyDescent="0.3">
      <c r="A815" s="7" t="s">
        <v>62</v>
      </c>
      <c r="B815" s="6">
        <v>761</v>
      </c>
      <c r="C815" s="7" t="s">
        <v>2877</v>
      </c>
      <c r="D815" s="7" t="s">
        <v>3274</v>
      </c>
      <c r="E815" s="7" t="s">
        <v>3275</v>
      </c>
      <c r="F815" s="4"/>
      <c r="G815" s="7" t="s">
        <v>3276</v>
      </c>
      <c r="H815" s="5"/>
      <c r="I815" s="5"/>
      <c r="J815" s="21" t="s">
        <v>3277</v>
      </c>
      <c r="K815" s="7" t="s">
        <v>24</v>
      </c>
      <c r="L815" s="7" t="s">
        <v>2856</v>
      </c>
      <c r="M815" s="114">
        <v>10000000</v>
      </c>
      <c r="N815" s="114">
        <v>570457608</v>
      </c>
      <c r="O815" s="114">
        <v>15000000</v>
      </c>
      <c r="P815" s="110"/>
      <c r="Q815" s="109">
        <f>M815+N815+O815+P815</f>
        <v>595457608</v>
      </c>
      <c r="R815" s="20">
        <v>10000000</v>
      </c>
      <c r="S815" s="20">
        <v>570457608</v>
      </c>
      <c r="T815" s="30">
        <v>15000000</v>
      </c>
      <c r="U815" s="5"/>
      <c r="V815" s="5"/>
      <c r="W815" s="28"/>
      <c r="X815" s="28">
        <f>N815-S815</f>
        <v>0</v>
      </c>
      <c r="Y815" s="28">
        <f>O815-T815</f>
        <v>0</v>
      </c>
      <c r="Z815" s="28">
        <f>P815-U815</f>
        <v>0</v>
      </c>
      <c r="AA815" s="4"/>
      <c r="AB815" s="4"/>
      <c r="AC815">
        <f>IF(AB815=G815,1,2)</f>
        <v>2</v>
      </c>
    </row>
    <row r="816" spans="1:29" customFormat="1" ht="46.8" hidden="1" x14ac:dyDescent="0.3">
      <c r="A816" s="7" t="s">
        <v>18</v>
      </c>
      <c r="B816" s="6">
        <v>765</v>
      </c>
      <c r="C816" s="7" t="s">
        <v>2877</v>
      </c>
      <c r="D816" s="7" t="s">
        <v>3290</v>
      </c>
      <c r="E816" s="5"/>
      <c r="F816" s="4"/>
      <c r="G816" s="7" t="s">
        <v>3291</v>
      </c>
      <c r="H816" s="5"/>
      <c r="I816" s="5"/>
      <c r="J816" s="21" t="s">
        <v>3292</v>
      </c>
      <c r="K816" s="7" t="s">
        <v>24</v>
      </c>
      <c r="L816" s="7" t="s">
        <v>2826</v>
      </c>
      <c r="M816" s="114">
        <v>10000000</v>
      </c>
      <c r="N816" s="111"/>
      <c r="O816" s="114">
        <v>15000000</v>
      </c>
      <c r="P816" s="110"/>
      <c r="Q816" s="109">
        <f>M816+N816+O816+P816</f>
        <v>25000000</v>
      </c>
      <c r="R816" s="20">
        <v>10000000</v>
      </c>
      <c r="S816" s="5"/>
      <c r="T816" s="30">
        <v>15000000</v>
      </c>
      <c r="U816" s="5"/>
      <c r="V816" s="5"/>
      <c r="W816" s="28"/>
      <c r="X816" s="28">
        <f>N816-S816</f>
        <v>0</v>
      </c>
      <c r="Y816" s="28">
        <f>O816-T816</f>
        <v>0</v>
      </c>
      <c r="Z816" s="28">
        <f>P816-U816</f>
        <v>0</v>
      </c>
      <c r="AA816" s="4"/>
      <c r="AB816" s="4"/>
      <c r="AC816">
        <f>IF(AB816=G816,1,2)</f>
        <v>2</v>
      </c>
    </row>
    <row r="817" spans="1:30" customFormat="1" ht="46.8" hidden="1" x14ac:dyDescent="0.3">
      <c r="A817" s="7" t="s">
        <v>18</v>
      </c>
      <c r="B817" s="6">
        <v>766</v>
      </c>
      <c r="C817" s="7" t="s">
        <v>2877</v>
      </c>
      <c r="D817" s="7" t="s">
        <v>3293</v>
      </c>
      <c r="E817" s="7"/>
      <c r="F817" s="4"/>
      <c r="G817" s="7" t="s">
        <v>3294</v>
      </c>
      <c r="H817" s="7"/>
      <c r="I817" s="7"/>
      <c r="J817" s="7" t="s">
        <v>3295</v>
      </c>
      <c r="K817" s="7" t="s">
        <v>24</v>
      </c>
      <c r="L817" s="7" t="s">
        <v>3296</v>
      </c>
      <c r="M817" s="114">
        <v>14658797865</v>
      </c>
      <c r="N817" s="111"/>
      <c r="O817" s="109">
        <v>15000000</v>
      </c>
      <c r="P817" s="110"/>
      <c r="Q817" s="109">
        <f>M817+N817+O817+P817</f>
        <v>14673797865</v>
      </c>
      <c r="R817" s="5"/>
      <c r="S817" s="5"/>
      <c r="T817" s="72"/>
      <c r="U817" s="5"/>
      <c r="V817" s="5"/>
      <c r="W817" s="28">
        <v>14658797865</v>
      </c>
      <c r="X817" s="28">
        <f>N817-S817</f>
        <v>0</v>
      </c>
      <c r="Y817" s="36">
        <f>O817-T817</f>
        <v>15000000</v>
      </c>
      <c r="Z817" s="28">
        <f>P817-U817</f>
        <v>0</v>
      </c>
      <c r="AA817" s="10">
        <v>14658797865</v>
      </c>
      <c r="AB817" s="40"/>
      <c r="AC817" s="121">
        <f>IF(AB817=G817,1,2)</f>
        <v>2</v>
      </c>
      <c r="AD817" s="121"/>
    </row>
    <row r="818" spans="1:30" customFormat="1" ht="31.2" hidden="1" x14ac:dyDescent="0.3">
      <c r="A818" s="7" t="s">
        <v>1601</v>
      </c>
      <c r="B818" s="6">
        <v>769</v>
      </c>
      <c r="C818" s="7" t="s">
        <v>2877</v>
      </c>
      <c r="D818" s="7" t="s">
        <v>3307</v>
      </c>
      <c r="E818" s="7" t="s">
        <v>3308</v>
      </c>
      <c r="F818" s="4"/>
      <c r="G818" s="7" t="s">
        <v>3309</v>
      </c>
      <c r="H818" s="7" t="s">
        <v>3310</v>
      </c>
      <c r="I818" s="5"/>
      <c r="J818" s="21" t="s">
        <v>3311</v>
      </c>
      <c r="K818" s="7" t="s">
        <v>24</v>
      </c>
      <c r="L818" s="7" t="s">
        <v>3312</v>
      </c>
      <c r="M818" s="114">
        <v>3490863064</v>
      </c>
      <c r="N818" s="109">
        <v>10000000</v>
      </c>
      <c r="O818" s="114">
        <v>15000000</v>
      </c>
      <c r="P818" s="110"/>
      <c r="Q818" s="109">
        <f>M818+N818+O818+P818</f>
        <v>3515863064</v>
      </c>
      <c r="R818" s="37">
        <v>3490863064</v>
      </c>
      <c r="S818" s="28">
        <v>10000000</v>
      </c>
      <c r="T818" s="31">
        <v>15000000</v>
      </c>
      <c r="U818" s="5"/>
      <c r="V818" s="5"/>
      <c r="W818" s="28"/>
      <c r="X818" s="28">
        <f>N818-S818</f>
        <v>0</v>
      </c>
      <c r="Y818" s="28">
        <f>O818-T818</f>
        <v>0</v>
      </c>
      <c r="Z818" s="28">
        <f>P818-U818</f>
        <v>0</v>
      </c>
      <c r="AA818" s="4"/>
      <c r="AB818" s="4"/>
      <c r="AC818">
        <f>IF(AB818=G818,1,2)</f>
        <v>2</v>
      </c>
    </row>
    <row r="819" spans="1:30" customFormat="1" ht="63" hidden="1" x14ac:dyDescent="0.3">
      <c r="A819" s="7" t="s">
        <v>62</v>
      </c>
      <c r="B819" s="6">
        <v>770</v>
      </c>
      <c r="C819" s="7" t="s">
        <v>3313</v>
      </c>
      <c r="D819" s="7" t="s">
        <v>3314</v>
      </c>
      <c r="E819" s="5"/>
      <c r="F819" s="4"/>
      <c r="G819" s="7" t="s">
        <v>3315</v>
      </c>
      <c r="H819" s="5"/>
      <c r="I819" s="5"/>
      <c r="J819" s="21" t="s">
        <v>3316</v>
      </c>
      <c r="K819" s="7" t="s">
        <v>24</v>
      </c>
      <c r="L819" s="7" t="s">
        <v>3317</v>
      </c>
      <c r="M819" s="114">
        <v>2618310690</v>
      </c>
      <c r="N819" s="111"/>
      <c r="O819" s="114">
        <v>15000000</v>
      </c>
      <c r="P819" s="110"/>
      <c r="Q819" s="109">
        <f>M819+N819+O819+P819</f>
        <v>2633310690</v>
      </c>
      <c r="R819" s="14">
        <v>2618310690</v>
      </c>
      <c r="S819" s="5"/>
      <c r="T819" s="30">
        <v>15000000</v>
      </c>
      <c r="U819" s="5"/>
      <c r="V819" s="5"/>
      <c r="W819" s="28"/>
      <c r="X819" s="28">
        <f>N819-S819</f>
        <v>0</v>
      </c>
      <c r="Y819" s="28">
        <f>O819-T819</f>
        <v>0</v>
      </c>
      <c r="Z819" s="28">
        <f>P819-U819</f>
        <v>0</v>
      </c>
      <c r="AA819" s="4"/>
      <c r="AB819" s="4"/>
      <c r="AC819">
        <f>IF(AB819=G819,1,2)</f>
        <v>2</v>
      </c>
    </row>
    <row r="820" spans="1:30" customFormat="1" ht="42" hidden="1" x14ac:dyDescent="0.3">
      <c r="A820" s="7" t="s">
        <v>46</v>
      </c>
      <c r="B820" s="6">
        <v>771</v>
      </c>
      <c r="C820" s="7" t="s">
        <v>3313</v>
      </c>
      <c r="D820" s="7" t="s">
        <v>3318</v>
      </c>
      <c r="E820" s="7" t="s">
        <v>3319</v>
      </c>
      <c r="F820" s="4"/>
      <c r="G820" s="7" t="s">
        <v>491</v>
      </c>
      <c r="H820" s="7" t="s">
        <v>3320</v>
      </c>
      <c r="I820" s="5"/>
      <c r="J820" s="21" t="s">
        <v>197</v>
      </c>
      <c r="K820" s="7" t="s">
        <v>24</v>
      </c>
      <c r="L820" s="7" t="s">
        <v>3321</v>
      </c>
      <c r="M820" s="114">
        <v>1712844388</v>
      </c>
      <c r="N820" s="114">
        <v>448994826</v>
      </c>
      <c r="O820" s="114">
        <v>15000000</v>
      </c>
      <c r="P820" s="110"/>
      <c r="Q820" s="109">
        <f>M820+N820+O820+P820</f>
        <v>2176839214</v>
      </c>
      <c r="R820" s="14">
        <v>1712844388</v>
      </c>
      <c r="S820" s="3">
        <v>448994826</v>
      </c>
      <c r="T820" s="30">
        <v>15000000</v>
      </c>
      <c r="U820" s="5"/>
      <c r="V820" s="5"/>
      <c r="W820" s="28"/>
      <c r="X820" s="28">
        <f>N820-S820</f>
        <v>0</v>
      </c>
      <c r="Y820" s="28">
        <f>O820-T820</f>
        <v>0</v>
      </c>
      <c r="Z820" s="28">
        <f>P820-U820</f>
        <v>0</v>
      </c>
      <c r="AA820" s="4"/>
      <c r="AB820" s="4"/>
      <c r="AC820">
        <f>IF(AB820=G820,1,2)</f>
        <v>2</v>
      </c>
    </row>
    <row r="821" spans="1:30" customFormat="1" ht="31.2" hidden="1" x14ac:dyDescent="0.3">
      <c r="A821" s="7" t="s">
        <v>62</v>
      </c>
      <c r="B821" s="6">
        <v>772</v>
      </c>
      <c r="C821" s="7" t="s">
        <v>3313</v>
      </c>
      <c r="D821" s="7" t="s">
        <v>3322</v>
      </c>
      <c r="E821" s="5"/>
      <c r="F821" s="4"/>
      <c r="G821" s="7" t="s">
        <v>3323</v>
      </c>
      <c r="H821" s="5"/>
      <c r="I821" s="7" t="s">
        <v>3324</v>
      </c>
      <c r="J821" s="21" t="s">
        <v>3325</v>
      </c>
      <c r="K821" s="7" t="s">
        <v>24</v>
      </c>
      <c r="L821" s="7" t="s">
        <v>3239</v>
      </c>
      <c r="M821" s="114">
        <v>621204580</v>
      </c>
      <c r="N821" s="111"/>
      <c r="O821" s="114">
        <v>15000000</v>
      </c>
      <c r="P821" s="110"/>
      <c r="Q821" s="109">
        <f>M821+N821+O821+P821</f>
        <v>636204580</v>
      </c>
      <c r="R821" s="14">
        <v>621204580</v>
      </c>
      <c r="S821" s="5"/>
      <c r="T821" s="30">
        <v>15000000</v>
      </c>
      <c r="U821" s="5"/>
      <c r="V821" s="5"/>
      <c r="W821" s="28"/>
      <c r="X821" s="28">
        <f>N821-S821</f>
        <v>0</v>
      </c>
      <c r="Y821" s="28">
        <f>O821-T821</f>
        <v>0</v>
      </c>
      <c r="Z821" s="28">
        <f>P821-U821</f>
        <v>0</v>
      </c>
      <c r="AA821" s="4"/>
      <c r="AB821" s="4"/>
      <c r="AC821">
        <f>IF(AB821=G821,1,2)</f>
        <v>2</v>
      </c>
    </row>
    <row r="822" spans="1:30" customFormat="1" ht="31.2" hidden="1" x14ac:dyDescent="0.3">
      <c r="A822" s="7" t="s">
        <v>62</v>
      </c>
      <c r="B822" s="6">
        <v>773</v>
      </c>
      <c r="C822" s="7" t="s">
        <v>3313</v>
      </c>
      <c r="D822" s="7" t="s">
        <v>3326</v>
      </c>
      <c r="E822" s="7" t="s">
        <v>3327</v>
      </c>
      <c r="F822" s="4"/>
      <c r="G822" s="7" t="s">
        <v>3328</v>
      </c>
      <c r="H822" s="7" t="s">
        <v>3329</v>
      </c>
      <c r="I822" s="5"/>
      <c r="J822" s="21" t="s">
        <v>3330</v>
      </c>
      <c r="K822" s="7" t="s">
        <v>24</v>
      </c>
      <c r="L822" s="7" t="s">
        <v>2856</v>
      </c>
      <c r="M822" s="114">
        <v>628099720</v>
      </c>
      <c r="N822" s="114">
        <v>86421485</v>
      </c>
      <c r="O822" s="114">
        <v>15000000</v>
      </c>
      <c r="P822" s="110"/>
      <c r="Q822" s="109">
        <f>M822+N822+O822+P822</f>
        <v>729521205</v>
      </c>
      <c r="R822" s="14">
        <v>628099720</v>
      </c>
      <c r="S822" s="14">
        <v>86421485</v>
      </c>
      <c r="T822" s="33">
        <v>15000000</v>
      </c>
      <c r="U822" s="5"/>
      <c r="V822" s="5"/>
      <c r="W822" s="28"/>
      <c r="X822" s="28">
        <f>N822-S822</f>
        <v>0</v>
      </c>
      <c r="Y822" s="28">
        <f>O822-T822</f>
        <v>0</v>
      </c>
      <c r="Z822" s="28">
        <f>P822-U822</f>
        <v>0</v>
      </c>
      <c r="AA822" s="4"/>
      <c r="AB822" s="4"/>
      <c r="AC822">
        <f>IF(AB822=G822,1,2)</f>
        <v>2</v>
      </c>
    </row>
    <row r="823" spans="1:30" customFormat="1" ht="42" hidden="1" x14ac:dyDescent="0.3">
      <c r="A823" s="7" t="s">
        <v>62</v>
      </c>
      <c r="B823" s="6">
        <v>774</v>
      </c>
      <c r="C823" s="7" t="s">
        <v>3313</v>
      </c>
      <c r="D823" s="7" t="s">
        <v>3331</v>
      </c>
      <c r="E823" s="5"/>
      <c r="F823" s="4"/>
      <c r="G823" s="7" t="s">
        <v>3332</v>
      </c>
      <c r="H823" s="5"/>
      <c r="I823" s="7" t="s">
        <v>3324</v>
      </c>
      <c r="J823" s="21" t="s">
        <v>3333</v>
      </c>
      <c r="K823" s="7" t="s">
        <v>24</v>
      </c>
      <c r="L823" s="7" t="s">
        <v>3334</v>
      </c>
      <c r="M823" s="114">
        <v>8111488</v>
      </c>
      <c r="N823" s="111"/>
      <c r="O823" s="114">
        <v>7500000</v>
      </c>
      <c r="P823" s="110"/>
      <c r="Q823" s="109">
        <f>M823+N823+O823+P823</f>
        <v>15611488</v>
      </c>
      <c r="R823" s="14">
        <v>8111488</v>
      </c>
      <c r="S823" s="5"/>
      <c r="T823" s="33">
        <v>7500000</v>
      </c>
      <c r="U823" s="5"/>
      <c r="V823" s="5"/>
      <c r="W823" s="28"/>
      <c r="X823" s="28">
        <f>N823-S823</f>
        <v>0</v>
      </c>
      <c r="Y823" s="28">
        <f>O823-T823</f>
        <v>0</v>
      </c>
      <c r="Z823" s="28">
        <f>P823-U823</f>
        <v>0</v>
      </c>
      <c r="AA823" s="4"/>
      <c r="AB823" s="4"/>
      <c r="AC823">
        <f>IF(AB823=G823,1,2)</f>
        <v>2</v>
      </c>
    </row>
    <row r="824" spans="1:30" customFormat="1" ht="31.2" hidden="1" x14ac:dyDescent="0.3">
      <c r="A824" s="7" t="s">
        <v>18</v>
      </c>
      <c r="B824" s="6">
        <v>776</v>
      </c>
      <c r="C824" s="7" t="s">
        <v>3313</v>
      </c>
      <c r="D824" s="7" t="s">
        <v>3340</v>
      </c>
      <c r="E824" s="7" t="s">
        <v>3341</v>
      </c>
      <c r="F824" s="4"/>
      <c r="G824" s="7" t="s">
        <v>3342</v>
      </c>
      <c r="H824" s="7" t="s">
        <v>3343</v>
      </c>
      <c r="I824" s="7" t="s">
        <v>3324</v>
      </c>
      <c r="J824" s="7" t="s">
        <v>3344</v>
      </c>
      <c r="K824" s="7" t="s">
        <v>24</v>
      </c>
      <c r="L824" s="7" t="s">
        <v>2856</v>
      </c>
      <c r="M824" s="109">
        <v>449682880</v>
      </c>
      <c r="N824" s="109">
        <v>66332280</v>
      </c>
      <c r="O824" s="114">
        <v>15000000</v>
      </c>
      <c r="P824" s="110"/>
      <c r="Q824" s="109">
        <f>M824+N824+O824+P824</f>
        <v>531015160</v>
      </c>
      <c r="R824" s="14">
        <v>449682880</v>
      </c>
      <c r="S824" s="36">
        <v>66332280</v>
      </c>
      <c r="T824" s="31">
        <v>15000000</v>
      </c>
      <c r="U824" s="5"/>
      <c r="V824" s="5"/>
      <c r="W824" s="28"/>
      <c r="X824" s="36">
        <f>N824-S824</f>
        <v>0</v>
      </c>
      <c r="Y824" s="28">
        <f>O824-T824</f>
        <v>0</v>
      </c>
      <c r="Z824" s="28">
        <f>P824-U824</f>
        <v>0</v>
      </c>
      <c r="AA824" s="40"/>
      <c r="AB824" s="40"/>
      <c r="AC824" s="61">
        <f>IF(AB824=G824,1,2)</f>
        <v>2</v>
      </c>
      <c r="AD824" s="61"/>
    </row>
    <row r="825" spans="1:30" customFormat="1" ht="46.8" hidden="1" x14ac:dyDescent="0.3">
      <c r="A825" s="7" t="s">
        <v>62</v>
      </c>
      <c r="B825" s="6">
        <v>779</v>
      </c>
      <c r="C825" s="7" t="s">
        <v>3313</v>
      </c>
      <c r="D825" s="7" t="s">
        <v>3353</v>
      </c>
      <c r="E825" s="5"/>
      <c r="F825" s="4"/>
      <c r="G825" s="7" t="s">
        <v>3354</v>
      </c>
      <c r="H825" s="5"/>
      <c r="I825" s="7" t="s">
        <v>3324</v>
      </c>
      <c r="J825" s="21" t="s">
        <v>3355</v>
      </c>
      <c r="K825" s="7" t="s">
        <v>24</v>
      </c>
      <c r="L825" s="7" t="s">
        <v>3356</v>
      </c>
      <c r="M825" s="114">
        <v>10000000</v>
      </c>
      <c r="N825" s="111"/>
      <c r="O825" s="114">
        <v>15000000</v>
      </c>
      <c r="P825" s="110"/>
      <c r="Q825" s="109">
        <f>M825+N825+O825+P825</f>
        <v>25000000</v>
      </c>
      <c r="R825" s="14">
        <v>10000000</v>
      </c>
      <c r="S825" s="5"/>
      <c r="T825" s="30">
        <v>15000000</v>
      </c>
      <c r="U825" s="5"/>
      <c r="V825" s="5"/>
      <c r="W825" s="28"/>
      <c r="X825" s="28">
        <f>N825-S825</f>
        <v>0</v>
      </c>
      <c r="Y825" s="28">
        <f>O825-T825</f>
        <v>0</v>
      </c>
      <c r="Z825" s="28">
        <f>P825-U825</f>
        <v>0</v>
      </c>
      <c r="AA825" s="4"/>
      <c r="AB825" s="4"/>
      <c r="AC825">
        <f>IF(AB825=G825,1,2)</f>
        <v>2</v>
      </c>
    </row>
    <row r="826" spans="1:30" customFormat="1" ht="42" hidden="1" x14ac:dyDescent="0.3">
      <c r="A826" s="7" t="s">
        <v>62</v>
      </c>
      <c r="B826" s="6">
        <v>782</v>
      </c>
      <c r="C826" s="7" t="s">
        <v>3313</v>
      </c>
      <c r="D826" s="7" t="s">
        <v>3368</v>
      </c>
      <c r="E826" s="5"/>
      <c r="F826" s="4"/>
      <c r="G826" s="7" t="s">
        <v>3369</v>
      </c>
      <c r="H826" s="5"/>
      <c r="I826" s="5"/>
      <c r="J826" s="21" t="s">
        <v>3370</v>
      </c>
      <c r="K826" s="7" t="s">
        <v>24</v>
      </c>
      <c r="L826" s="7" t="s">
        <v>3371</v>
      </c>
      <c r="M826" s="114">
        <v>1564043176</v>
      </c>
      <c r="N826" s="111"/>
      <c r="O826" s="114">
        <v>15000000</v>
      </c>
      <c r="P826" s="110"/>
      <c r="Q826" s="109">
        <f>M826+N826+O826+P826</f>
        <v>1579043176</v>
      </c>
      <c r="R826" s="14">
        <v>1564043176</v>
      </c>
      <c r="S826" s="5"/>
      <c r="T826" s="30">
        <v>15000000</v>
      </c>
      <c r="U826" s="5"/>
      <c r="V826" s="5"/>
      <c r="W826" s="28"/>
      <c r="X826" s="28">
        <f>N826-S826</f>
        <v>0</v>
      </c>
      <c r="Y826" s="28">
        <f>O826-T826</f>
        <v>0</v>
      </c>
      <c r="Z826" s="28">
        <f>P826-U826</f>
        <v>0</v>
      </c>
      <c r="AA826" s="4"/>
      <c r="AB826" s="4"/>
      <c r="AC826">
        <f>IF(AB826=G826,1,2)</f>
        <v>2</v>
      </c>
    </row>
    <row r="827" spans="1:30" customFormat="1" ht="46.8" hidden="1" x14ac:dyDescent="0.3">
      <c r="A827" s="7" t="s">
        <v>62</v>
      </c>
      <c r="B827" s="6">
        <v>784</v>
      </c>
      <c r="C827" s="7" t="s">
        <v>3313</v>
      </c>
      <c r="D827" s="7" t="s">
        <v>3377</v>
      </c>
      <c r="E827" s="5"/>
      <c r="F827" s="4"/>
      <c r="G827" s="7" t="s">
        <v>3378</v>
      </c>
      <c r="H827" s="5"/>
      <c r="I827" s="5"/>
      <c r="J827" s="21" t="s">
        <v>3379</v>
      </c>
      <c r="K827" s="7" t="s">
        <v>24</v>
      </c>
      <c r="L827" s="7" t="s">
        <v>3380</v>
      </c>
      <c r="M827" s="114">
        <v>253344640</v>
      </c>
      <c r="N827" s="111"/>
      <c r="O827" s="114">
        <v>15000000</v>
      </c>
      <c r="P827" s="110"/>
      <c r="Q827" s="109">
        <f>M827+N827+O827+P827</f>
        <v>268344640</v>
      </c>
      <c r="R827" s="14">
        <v>253344640</v>
      </c>
      <c r="S827" s="5"/>
      <c r="T827" s="33">
        <v>15000000</v>
      </c>
      <c r="U827" s="5"/>
      <c r="V827" s="5"/>
      <c r="W827" s="28"/>
      <c r="X827" s="28">
        <f>N827-S827</f>
        <v>0</v>
      </c>
      <c r="Y827" s="28">
        <f>O827-T827</f>
        <v>0</v>
      </c>
      <c r="Z827" s="28">
        <f>P827-U827</f>
        <v>0</v>
      </c>
      <c r="AA827" s="4"/>
      <c r="AB827" s="4"/>
      <c r="AC827">
        <f>IF(AB827=G827,1,2)</f>
        <v>2</v>
      </c>
    </row>
    <row r="828" spans="1:30" customFormat="1" ht="42" hidden="1" x14ac:dyDescent="0.3">
      <c r="A828" s="7" t="s">
        <v>62</v>
      </c>
      <c r="B828" s="6">
        <v>785</v>
      </c>
      <c r="C828" s="7" t="s">
        <v>3313</v>
      </c>
      <c r="D828" s="7" t="s">
        <v>3381</v>
      </c>
      <c r="E828" s="7" t="s">
        <v>3382</v>
      </c>
      <c r="F828" s="4"/>
      <c r="G828" s="7" t="s">
        <v>3383</v>
      </c>
      <c r="H828" s="7" t="s">
        <v>3384</v>
      </c>
      <c r="I828" s="5"/>
      <c r="J828" s="21" t="s">
        <v>1536</v>
      </c>
      <c r="K828" s="7" t="s">
        <v>24</v>
      </c>
      <c r="L828" s="7" t="s">
        <v>2856</v>
      </c>
      <c r="M828" s="114">
        <v>1955817254</v>
      </c>
      <c r="N828" s="114">
        <v>42737240</v>
      </c>
      <c r="O828" s="114">
        <v>15000000</v>
      </c>
      <c r="P828" s="110"/>
      <c r="Q828" s="109">
        <f>M828+N828+O828+P828</f>
        <v>2013554494</v>
      </c>
      <c r="R828" s="14">
        <v>1955817254</v>
      </c>
      <c r="S828" s="14">
        <v>42737240</v>
      </c>
      <c r="T828" s="30">
        <v>15000000</v>
      </c>
      <c r="U828" s="5"/>
      <c r="V828" s="5"/>
      <c r="W828" s="28"/>
      <c r="X828" s="28">
        <f>N828-S828</f>
        <v>0</v>
      </c>
      <c r="Y828" s="28">
        <f>O828-T828</f>
        <v>0</v>
      </c>
      <c r="Z828" s="28">
        <f>P828-U828</f>
        <v>0</v>
      </c>
      <c r="AA828" s="4"/>
      <c r="AB828" s="4"/>
      <c r="AC828">
        <f>IF(AB828=G828,1,2)</f>
        <v>2</v>
      </c>
    </row>
    <row r="829" spans="1:30" customFormat="1" ht="42" hidden="1" x14ac:dyDescent="0.3">
      <c r="A829" s="7" t="s">
        <v>62</v>
      </c>
      <c r="B829" s="6">
        <v>788</v>
      </c>
      <c r="C829" s="7" t="s">
        <v>3313</v>
      </c>
      <c r="D829" s="7" t="s">
        <v>3397</v>
      </c>
      <c r="E829" s="5"/>
      <c r="F829" s="4"/>
      <c r="G829" s="7" t="s">
        <v>3398</v>
      </c>
      <c r="H829" s="7" t="s">
        <v>3399</v>
      </c>
      <c r="I829" s="5"/>
      <c r="J829" s="21" t="s">
        <v>3400</v>
      </c>
      <c r="K829" s="7" t="s">
        <v>24</v>
      </c>
      <c r="L829" s="7" t="s">
        <v>3401</v>
      </c>
      <c r="M829" s="114">
        <v>1471524200</v>
      </c>
      <c r="N829" s="111"/>
      <c r="O829" s="114">
        <v>15000000</v>
      </c>
      <c r="P829" s="110"/>
      <c r="Q829" s="109">
        <f>M829+N829+O829+P829</f>
        <v>1486524200</v>
      </c>
      <c r="R829" s="14">
        <v>1471524200</v>
      </c>
      <c r="S829" s="5"/>
      <c r="T829" s="33">
        <v>15000000</v>
      </c>
      <c r="U829" s="5"/>
      <c r="V829" s="5"/>
      <c r="W829" s="28"/>
      <c r="X829" s="28">
        <f>N829-S829</f>
        <v>0</v>
      </c>
      <c r="Y829" s="28">
        <f>O829-T829</f>
        <v>0</v>
      </c>
      <c r="Z829" s="28">
        <f>P829-U829</f>
        <v>0</v>
      </c>
      <c r="AA829" s="4"/>
      <c r="AB829" s="4"/>
      <c r="AC829">
        <f>IF(AB829=G829,1,2)</f>
        <v>2</v>
      </c>
    </row>
    <row r="830" spans="1:30" customFormat="1" ht="42" hidden="1" x14ac:dyDescent="0.3">
      <c r="A830" s="7" t="s">
        <v>62</v>
      </c>
      <c r="B830" s="6">
        <v>789</v>
      </c>
      <c r="C830" s="7" t="s">
        <v>3313</v>
      </c>
      <c r="D830" s="7" t="s">
        <v>3402</v>
      </c>
      <c r="E830" s="7" t="s">
        <v>3403</v>
      </c>
      <c r="F830" s="4"/>
      <c r="G830" s="7" t="s">
        <v>3404</v>
      </c>
      <c r="H830" s="7" t="s">
        <v>3405</v>
      </c>
      <c r="I830" s="5"/>
      <c r="J830" s="21" t="s">
        <v>1536</v>
      </c>
      <c r="K830" s="7" t="s">
        <v>24</v>
      </c>
      <c r="L830" s="7" t="s">
        <v>3067</v>
      </c>
      <c r="M830" s="114">
        <v>10000000</v>
      </c>
      <c r="N830" s="114">
        <v>210398720</v>
      </c>
      <c r="O830" s="114">
        <v>15000000</v>
      </c>
      <c r="P830" s="110"/>
      <c r="Q830" s="109">
        <f>M830+N830+O830+P830</f>
        <v>235398720</v>
      </c>
      <c r="R830" s="14">
        <v>10000000</v>
      </c>
      <c r="S830" s="14">
        <v>210398720</v>
      </c>
      <c r="T830" s="30">
        <v>15000000</v>
      </c>
      <c r="U830" s="5"/>
      <c r="V830" s="5"/>
      <c r="W830" s="28"/>
      <c r="X830" s="28">
        <f>N830-S830</f>
        <v>0</v>
      </c>
      <c r="Y830" s="28">
        <f>O830-T830</f>
        <v>0</v>
      </c>
      <c r="Z830" s="28">
        <f>P830-U830</f>
        <v>0</v>
      </c>
      <c r="AA830" s="4"/>
      <c r="AB830" s="4"/>
      <c r="AC830">
        <f>IF(AB830=G830,1,2)</f>
        <v>2</v>
      </c>
    </row>
    <row r="831" spans="1:30" customFormat="1" ht="46.8" hidden="1" x14ac:dyDescent="0.3">
      <c r="A831" s="7" t="s">
        <v>1601</v>
      </c>
      <c r="B831" s="6">
        <v>791</v>
      </c>
      <c r="C831" s="7" t="s">
        <v>3313</v>
      </c>
      <c r="D831" s="7" t="s">
        <v>3410</v>
      </c>
      <c r="E831" s="5"/>
      <c r="F831" s="4"/>
      <c r="G831" s="7" t="s">
        <v>3411</v>
      </c>
      <c r="H831" s="5"/>
      <c r="I831" s="5"/>
      <c r="J831" s="21" t="s">
        <v>3412</v>
      </c>
      <c r="K831" s="7" t="s">
        <v>24</v>
      </c>
      <c r="L831" s="7" t="s">
        <v>3413</v>
      </c>
      <c r="M831" s="114">
        <v>590950720</v>
      </c>
      <c r="N831" s="111"/>
      <c r="O831" s="114">
        <v>15000000</v>
      </c>
      <c r="P831" s="110"/>
      <c r="Q831" s="109">
        <f>M831+N831+O831+P831</f>
        <v>605950720</v>
      </c>
      <c r="R831" s="14">
        <v>590950720</v>
      </c>
      <c r="S831" s="5"/>
      <c r="T831" s="30">
        <v>15000000</v>
      </c>
      <c r="U831" s="5"/>
      <c r="V831" s="5"/>
      <c r="W831" s="28"/>
      <c r="X831" s="28">
        <f>N831-S831</f>
        <v>0</v>
      </c>
      <c r="Y831" s="28">
        <f>O831-T831</f>
        <v>0</v>
      </c>
      <c r="Z831" s="28">
        <f>P831-U831</f>
        <v>0</v>
      </c>
      <c r="AA831" s="4"/>
      <c r="AB831" s="4"/>
      <c r="AC831">
        <f>IF(AB831=G831,1,2)</f>
        <v>2</v>
      </c>
    </row>
    <row r="832" spans="1:30" customFormat="1" ht="63" hidden="1" x14ac:dyDescent="0.3">
      <c r="A832" s="7" t="s">
        <v>62</v>
      </c>
      <c r="B832" s="6">
        <v>792</v>
      </c>
      <c r="C832" s="7" t="s">
        <v>3313</v>
      </c>
      <c r="D832" s="7" t="s">
        <v>3414</v>
      </c>
      <c r="E832" s="5"/>
      <c r="F832" s="4"/>
      <c r="G832" s="7" t="s">
        <v>3415</v>
      </c>
      <c r="H832" s="5"/>
      <c r="I832" s="5"/>
      <c r="J832" s="21" t="s">
        <v>3416</v>
      </c>
      <c r="K832" s="7" t="s">
        <v>24</v>
      </c>
      <c r="L832" s="7" t="s">
        <v>3396</v>
      </c>
      <c r="M832" s="114">
        <v>692152100</v>
      </c>
      <c r="N832" s="111"/>
      <c r="O832" s="114">
        <v>15000000</v>
      </c>
      <c r="P832" s="110"/>
      <c r="Q832" s="109">
        <f>M832+N832+O832+P832</f>
        <v>707152100</v>
      </c>
      <c r="R832" s="14">
        <v>692152100</v>
      </c>
      <c r="S832" s="5"/>
      <c r="T832" s="30">
        <v>15000000</v>
      </c>
      <c r="U832" s="5"/>
      <c r="V832" s="5"/>
      <c r="W832" s="28"/>
      <c r="X832" s="28">
        <f>N832-S832</f>
        <v>0</v>
      </c>
      <c r="Y832" s="28">
        <f>O832-T832</f>
        <v>0</v>
      </c>
      <c r="Z832" s="28">
        <f>P832-U832</f>
        <v>0</v>
      </c>
      <c r="AA832" s="4"/>
      <c r="AB832" s="4"/>
      <c r="AC832">
        <f>IF(AB832=G832,1,2)</f>
        <v>2</v>
      </c>
    </row>
    <row r="833" spans="1:30" customFormat="1" ht="42" hidden="1" x14ac:dyDescent="0.3">
      <c r="A833" s="7" t="s">
        <v>62</v>
      </c>
      <c r="B833" s="6">
        <v>793</v>
      </c>
      <c r="C833" s="7" t="s">
        <v>3313</v>
      </c>
      <c r="D833" s="7" t="s">
        <v>3417</v>
      </c>
      <c r="E833" s="5"/>
      <c r="F833" s="4"/>
      <c r="G833" s="7" t="s">
        <v>3418</v>
      </c>
      <c r="H833" s="5"/>
      <c r="I833" s="5"/>
      <c r="J833" s="21" t="s">
        <v>3419</v>
      </c>
      <c r="K833" s="7" t="s">
        <v>24</v>
      </c>
      <c r="L833" s="7" t="s">
        <v>2779</v>
      </c>
      <c r="M833" s="114">
        <v>1833190096</v>
      </c>
      <c r="N833" s="111"/>
      <c r="O833" s="114">
        <v>15000000</v>
      </c>
      <c r="P833" s="110"/>
      <c r="Q833" s="109">
        <f>M833+N833+O833+P833</f>
        <v>1848190096</v>
      </c>
      <c r="R833" s="14">
        <v>1833190096</v>
      </c>
      <c r="S833" s="5"/>
      <c r="T833" s="33">
        <v>15000000</v>
      </c>
      <c r="U833" s="5"/>
      <c r="V833" s="5"/>
      <c r="W833" s="28"/>
      <c r="X833" s="28">
        <f>N833-S833</f>
        <v>0</v>
      </c>
      <c r="Y833" s="28">
        <f>O833-T833</f>
        <v>0</v>
      </c>
      <c r="Z833" s="28">
        <f>P833-U833</f>
        <v>0</v>
      </c>
      <c r="AA833" s="4"/>
      <c r="AB833" s="4"/>
      <c r="AC833">
        <f>IF(AB833=G833,1,2)</f>
        <v>2</v>
      </c>
    </row>
    <row r="834" spans="1:30" customFormat="1" ht="31.2" hidden="1" x14ac:dyDescent="0.3">
      <c r="A834" s="7" t="s">
        <v>62</v>
      </c>
      <c r="B834" s="6">
        <v>794</v>
      </c>
      <c r="C834" s="7" t="s">
        <v>3313</v>
      </c>
      <c r="D834" s="7" t="s">
        <v>3420</v>
      </c>
      <c r="E834" s="7" t="s">
        <v>3421</v>
      </c>
      <c r="F834" s="4"/>
      <c r="G834" s="7" t="s">
        <v>3422</v>
      </c>
      <c r="H834" s="7" t="s">
        <v>3423</v>
      </c>
      <c r="I834" s="7" t="s">
        <v>3324</v>
      </c>
      <c r="J834" s="21" t="s">
        <v>3424</v>
      </c>
      <c r="K834" s="7" t="s">
        <v>24</v>
      </c>
      <c r="L834" s="7" t="s">
        <v>3425</v>
      </c>
      <c r="M834" s="114">
        <v>339766192</v>
      </c>
      <c r="N834" s="114">
        <v>82441548</v>
      </c>
      <c r="O834" s="114">
        <v>15000000</v>
      </c>
      <c r="P834" s="110"/>
      <c r="Q834" s="109">
        <f>M834+N834+O834+P834</f>
        <v>437207740</v>
      </c>
      <c r="R834" s="14">
        <v>339766192</v>
      </c>
      <c r="S834" s="14">
        <v>82441548</v>
      </c>
      <c r="T834" s="30">
        <v>15000000</v>
      </c>
      <c r="U834" s="5"/>
      <c r="V834" s="5"/>
      <c r="W834" s="28"/>
      <c r="X834" s="28">
        <f>N834-S834</f>
        <v>0</v>
      </c>
      <c r="Y834" s="28">
        <f>O834-T834</f>
        <v>0</v>
      </c>
      <c r="Z834" s="28">
        <f>P834-U834</f>
        <v>0</v>
      </c>
      <c r="AA834" s="4"/>
      <c r="AB834" s="4"/>
      <c r="AC834">
        <f>IF(AB834=G834,1,2)</f>
        <v>2</v>
      </c>
    </row>
    <row r="835" spans="1:30" customFormat="1" ht="46.8" hidden="1" x14ac:dyDescent="0.3">
      <c r="A835" s="7" t="s">
        <v>18</v>
      </c>
      <c r="B835" s="6">
        <v>797</v>
      </c>
      <c r="C835" s="7" t="s">
        <v>3313</v>
      </c>
      <c r="D835" s="7" t="s">
        <v>3436</v>
      </c>
      <c r="E835" s="5"/>
      <c r="F835" s="4"/>
      <c r="G835" s="7" t="s">
        <v>3437</v>
      </c>
      <c r="H835" s="5"/>
      <c r="I835" s="5"/>
      <c r="J835" s="21" t="s">
        <v>3438</v>
      </c>
      <c r="K835" s="7" t="s">
        <v>24</v>
      </c>
      <c r="L835" s="7" t="s">
        <v>3439</v>
      </c>
      <c r="M835" s="114">
        <v>869322940</v>
      </c>
      <c r="N835" s="111"/>
      <c r="O835" s="114">
        <v>15000000</v>
      </c>
      <c r="P835" s="110"/>
      <c r="Q835" s="109">
        <f>M835+N835+O835+P835</f>
        <v>884322940</v>
      </c>
      <c r="R835" s="36">
        <v>869322940</v>
      </c>
      <c r="S835" s="5"/>
      <c r="T835" s="30">
        <v>15000000</v>
      </c>
      <c r="U835" s="5"/>
      <c r="V835" s="5"/>
      <c r="W835" s="28"/>
      <c r="X835" s="28">
        <f>N835-S835</f>
        <v>0</v>
      </c>
      <c r="Y835" s="28">
        <f>O835-T835</f>
        <v>0</v>
      </c>
      <c r="Z835" s="28">
        <f>P835-U835</f>
        <v>0</v>
      </c>
      <c r="AA835" s="4"/>
      <c r="AB835" s="4"/>
      <c r="AC835">
        <f>IF(AB835=G835,1,2)</f>
        <v>2</v>
      </c>
    </row>
    <row r="836" spans="1:30" customFormat="1" ht="46.8" hidden="1" x14ac:dyDescent="0.3">
      <c r="A836" s="7" t="s">
        <v>18</v>
      </c>
      <c r="B836" s="6">
        <v>798</v>
      </c>
      <c r="C836" s="7" t="s">
        <v>3313</v>
      </c>
      <c r="D836" s="7" t="s">
        <v>3440</v>
      </c>
      <c r="E836" s="5"/>
      <c r="F836" s="4"/>
      <c r="G836" s="7" t="s">
        <v>3441</v>
      </c>
      <c r="H836" s="5"/>
      <c r="I836" s="5"/>
      <c r="J836" s="21" t="s">
        <v>1536</v>
      </c>
      <c r="K836" s="7" t="s">
        <v>24</v>
      </c>
      <c r="L836" s="7" t="s">
        <v>3442</v>
      </c>
      <c r="M836" s="114">
        <v>323702710</v>
      </c>
      <c r="N836" s="111"/>
      <c r="O836" s="114">
        <v>15000000</v>
      </c>
      <c r="P836" s="110"/>
      <c r="Q836" s="109">
        <f>M836+N836+O836+P836</f>
        <v>338702710</v>
      </c>
      <c r="R836" s="36">
        <v>323702710</v>
      </c>
      <c r="S836" s="5"/>
      <c r="T836" s="30">
        <v>15000000</v>
      </c>
      <c r="U836" s="5"/>
      <c r="V836" s="5"/>
      <c r="W836" s="28"/>
      <c r="X836" s="28">
        <f>N836-S836</f>
        <v>0</v>
      </c>
      <c r="Y836" s="28">
        <f>O836-T836</f>
        <v>0</v>
      </c>
      <c r="Z836" s="28">
        <f>P836-U836</f>
        <v>0</v>
      </c>
      <c r="AA836" s="4"/>
      <c r="AB836" s="4"/>
      <c r="AC836">
        <f>IF(AB836=G836,1,2)</f>
        <v>2</v>
      </c>
    </row>
    <row r="837" spans="1:30" customFormat="1" ht="31.2" hidden="1" x14ac:dyDescent="0.3">
      <c r="A837" s="7" t="s">
        <v>18</v>
      </c>
      <c r="B837" s="6">
        <v>799</v>
      </c>
      <c r="C837" s="7" t="s">
        <v>3313</v>
      </c>
      <c r="D837" s="7" t="s">
        <v>3443</v>
      </c>
      <c r="E837" s="5"/>
      <c r="F837" s="4"/>
      <c r="G837" s="7" t="s">
        <v>3444</v>
      </c>
      <c r="H837" s="5"/>
      <c r="I837" s="5"/>
      <c r="J837" s="21" t="s">
        <v>3445</v>
      </c>
      <c r="K837" s="7" t="s">
        <v>24</v>
      </c>
      <c r="L837" s="7" t="s">
        <v>3446</v>
      </c>
      <c r="M837" s="114">
        <v>1566913848</v>
      </c>
      <c r="N837" s="111"/>
      <c r="O837" s="114">
        <v>15000000</v>
      </c>
      <c r="P837" s="110"/>
      <c r="Q837" s="109">
        <f>M837+N837+O837+P837</f>
        <v>1581913848</v>
      </c>
      <c r="R837" s="14">
        <v>1566913848</v>
      </c>
      <c r="S837" s="5"/>
      <c r="T837" s="30">
        <v>15000000</v>
      </c>
      <c r="U837" s="5"/>
      <c r="V837" s="5"/>
      <c r="W837" s="28"/>
      <c r="X837" s="28">
        <f>N837-S837</f>
        <v>0</v>
      </c>
      <c r="Y837" s="28">
        <f>O837-T837</f>
        <v>0</v>
      </c>
      <c r="Z837" s="28">
        <f>P837-U837</f>
        <v>0</v>
      </c>
      <c r="AA837" s="4"/>
      <c r="AB837" s="4"/>
      <c r="AC837">
        <f>IF(AB837=G837,1,2)</f>
        <v>2</v>
      </c>
    </row>
    <row r="838" spans="1:30" customFormat="1" ht="46.8" hidden="1" x14ac:dyDescent="0.3">
      <c r="A838" s="7" t="s">
        <v>18</v>
      </c>
      <c r="B838" s="6">
        <v>801</v>
      </c>
      <c r="C838" s="7" t="s">
        <v>3313</v>
      </c>
      <c r="D838" s="7" t="s">
        <v>3453</v>
      </c>
      <c r="E838" s="7" t="s">
        <v>3454</v>
      </c>
      <c r="F838" s="4"/>
      <c r="G838" s="7" t="s">
        <v>3455</v>
      </c>
      <c r="H838" s="7"/>
      <c r="I838" s="7"/>
      <c r="J838" s="7" t="s">
        <v>3456</v>
      </c>
      <c r="K838" s="7" t="s">
        <v>24</v>
      </c>
      <c r="L838" s="7" t="s">
        <v>3452</v>
      </c>
      <c r="M838" s="114">
        <v>10000000</v>
      </c>
      <c r="N838" s="114">
        <v>2092077756</v>
      </c>
      <c r="O838" s="109">
        <v>15000000</v>
      </c>
      <c r="P838" s="110"/>
      <c r="Q838" s="109">
        <f>M838+N838+O838+P838</f>
        <v>2117077756</v>
      </c>
      <c r="R838" s="36">
        <v>10000000</v>
      </c>
      <c r="S838" s="3">
        <v>2092077756</v>
      </c>
      <c r="T838" s="72"/>
      <c r="U838" s="5"/>
      <c r="V838" s="5"/>
      <c r="W838" s="28"/>
      <c r="X838" s="28">
        <f>N838-S838</f>
        <v>0</v>
      </c>
      <c r="Y838" s="36">
        <f>O838-T838</f>
        <v>15000000</v>
      </c>
      <c r="Z838" s="28">
        <f>P838-U838</f>
        <v>0</v>
      </c>
      <c r="AA838" s="4"/>
      <c r="AB838" s="40"/>
      <c r="AC838" s="121">
        <f>IF(AB838=G838,1,2)</f>
        <v>2</v>
      </c>
      <c r="AD838" s="121"/>
    </row>
    <row r="839" spans="1:30" customFormat="1" ht="46.8" hidden="1" x14ac:dyDescent="0.3">
      <c r="A839" s="7" t="s">
        <v>18</v>
      </c>
      <c r="B839" s="6">
        <v>803</v>
      </c>
      <c r="C839" s="7" t="s">
        <v>3313</v>
      </c>
      <c r="D839" s="7" t="s">
        <v>3461</v>
      </c>
      <c r="E839" s="7"/>
      <c r="F839" s="4"/>
      <c r="G839" s="7" t="s">
        <v>3462</v>
      </c>
      <c r="H839" s="7" t="s">
        <v>3463</v>
      </c>
      <c r="I839" s="7"/>
      <c r="J839" s="7" t="s">
        <v>3464</v>
      </c>
      <c r="K839" s="7" t="s">
        <v>24</v>
      </c>
      <c r="L839" s="7" t="s">
        <v>3465</v>
      </c>
      <c r="M839" s="114">
        <v>5236394180</v>
      </c>
      <c r="N839" s="111"/>
      <c r="O839" s="109">
        <v>15000000</v>
      </c>
      <c r="P839" s="110"/>
      <c r="Q839" s="109">
        <f>M839+N839+O839+P839</f>
        <v>5251394180</v>
      </c>
      <c r="R839" s="14">
        <v>5236394180</v>
      </c>
      <c r="S839" s="5"/>
      <c r="T839" s="72"/>
      <c r="U839" s="5"/>
      <c r="V839" s="5"/>
      <c r="W839" s="28"/>
      <c r="X839" s="28">
        <f>N839-S839</f>
        <v>0</v>
      </c>
      <c r="Y839" s="36">
        <f>O839-T839</f>
        <v>15000000</v>
      </c>
      <c r="Z839" s="28">
        <f>P839-U839</f>
        <v>0</v>
      </c>
      <c r="AA839" s="4"/>
      <c r="AB839" s="40"/>
      <c r="AC839" s="121">
        <f>IF(AB839=G839,1,2)</f>
        <v>2</v>
      </c>
      <c r="AD839" s="121"/>
    </row>
    <row r="840" spans="1:30" customFormat="1" ht="63" hidden="1" x14ac:dyDescent="0.3">
      <c r="A840" s="7" t="s">
        <v>46</v>
      </c>
      <c r="B840" s="6">
        <v>805</v>
      </c>
      <c r="C840" s="7" t="s">
        <v>3313</v>
      </c>
      <c r="D840" s="7" t="s">
        <v>3472</v>
      </c>
      <c r="E840" s="7" t="s">
        <v>3473</v>
      </c>
      <c r="F840" s="4"/>
      <c r="G840" s="7" t="s">
        <v>3474</v>
      </c>
      <c r="H840" s="5"/>
      <c r="I840" s="5"/>
      <c r="J840" s="21" t="s">
        <v>3475</v>
      </c>
      <c r="K840" s="7" t="s">
        <v>24</v>
      </c>
      <c r="L840" s="7" t="s">
        <v>3396</v>
      </c>
      <c r="M840" s="114">
        <v>10000000</v>
      </c>
      <c r="N840" s="114">
        <v>5132223264</v>
      </c>
      <c r="O840" s="114">
        <v>15000000</v>
      </c>
      <c r="P840" s="110"/>
      <c r="Q840" s="109">
        <f>M840+N840+O840+P840</f>
        <v>5157223264</v>
      </c>
      <c r="R840" s="14">
        <v>10000000</v>
      </c>
      <c r="S840" s="3">
        <v>5132223264</v>
      </c>
      <c r="T840" s="30">
        <v>15000000</v>
      </c>
      <c r="U840" s="5"/>
      <c r="V840" s="5"/>
      <c r="W840" s="28"/>
      <c r="X840" s="28">
        <f>N840-S840</f>
        <v>0</v>
      </c>
      <c r="Y840" s="28">
        <f>O840-T840</f>
        <v>0</v>
      </c>
      <c r="Z840" s="28">
        <f>P840-U840</f>
        <v>0</v>
      </c>
      <c r="AA840" s="4"/>
      <c r="AB840" s="4"/>
      <c r="AC840">
        <f>IF(AB840=G840,1,2)</f>
        <v>2</v>
      </c>
    </row>
    <row r="841" spans="1:30" customFormat="1" ht="46.8" hidden="1" x14ac:dyDescent="0.3">
      <c r="A841" s="7" t="s">
        <v>18</v>
      </c>
      <c r="B841" s="6">
        <v>809</v>
      </c>
      <c r="C841" s="7" t="s">
        <v>3313</v>
      </c>
      <c r="D841" s="7" t="s">
        <v>3492</v>
      </c>
      <c r="E841" s="5"/>
      <c r="F841" s="4"/>
      <c r="G841" s="7" t="s">
        <v>3493</v>
      </c>
      <c r="H841" s="5"/>
      <c r="I841" s="5"/>
      <c r="J841" s="21" t="s">
        <v>3494</v>
      </c>
      <c r="K841" s="7" t="s">
        <v>24</v>
      </c>
      <c r="L841" s="7" t="s">
        <v>3495</v>
      </c>
      <c r="M841" s="114">
        <v>3051594287</v>
      </c>
      <c r="N841" s="111"/>
      <c r="O841" s="114">
        <v>15000000</v>
      </c>
      <c r="P841" s="110"/>
      <c r="Q841" s="109">
        <f>M841+N841+O841+P841</f>
        <v>3066594287</v>
      </c>
      <c r="R841" s="36">
        <v>3051594287</v>
      </c>
      <c r="S841" s="5"/>
      <c r="T841" s="30">
        <v>15000000</v>
      </c>
      <c r="U841" s="5"/>
      <c r="V841" s="5"/>
      <c r="W841" s="28"/>
      <c r="X841" s="28">
        <f>N841-S841</f>
        <v>0</v>
      </c>
      <c r="Y841" s="28">
        <f>O841-T841</f>
        <v>0</v>
      </c>
      <c r="Z841" s="28">
        <f>P841-U841</f>
        <v>0</v>
      </c>
      <c r="AA841" s="4"/>
      <c r="AB841" s="4"/>
      <c r="AC841">
        <f>IF(AB841=G841,1,2)</f>
        <v>2</v>
      </c>
    </row>
    <row r="842" spans="1:30" customFormat="1" ht="31.2" hidden="1" x14ac:dyDescent="0.3">
      <c r="A842" s="7" t="s">
        <v>18</v>
      </c>
      <c r="B842" s="6">
        <v>810</v>
      </c>
      <c r="C842" s="7" t="s">
        <v>3313</v>
      </c>
      <c r="D842" s="7" t="s">
        <v>3496</v>
      </c>
      <c r="E842" s="5"/>
      <c r="F842" s="4"/>
      <c r="G842" s="7" t="s">
        <v>3497</v>
      </c>
      <c r="H842" s="7" t="s">
        <v>3498</v>
      </c>
      <c r="I842" s="5"/>
      <c r="J842" s="21" t="s">
        <v>3499</v>
      </c>
      <c r="K842" s="7" t="s">
        <v>24</v>
      </c>
      <c r="L842" s="7" t="s">
        <v>3500</v>
      </c>
      <c r="M842" s="114">
        <v>22476062320</v>
      </c>
      <c r="N842" s="111"/>
      <c r="O842" s="114">
        <v>15000000</v>
      </c>
      <c r="P842" s="110"/>
      <c r="Q842" s="109">
        <f>M842+N842+O842+P842</f>
        <v>22491062320</v>
      </c>
      <c r="R842" s="14">
        <v>22476062320</v>
      </c>
      <c r="S842" s="5"/>
      <c r="T842" s="30">
        <v>15000000</v>
      </c>
      <c r="U842" s="5"/>
      <c r="V842" s="5"/>
      <c r="W842" s="28"/>
      <c r="X842" s="28">
        <f>N842-S842</f>
        <v>0</v>
      </c>
      <c r="Y842" s="28">
        <f>O842-T842</f>
        <v>0</v>
      </c>
      <c r="Z842" s="28">
        <f>P842-U842</f>
        <v>0</v>
      </c>
      <c r="AA842" s="4"/>
      <c r="AB842" s="4"/>
      <c r="AC842">
        <f>IF(AB842=G842,1,2)</f>
        <v>2</v>
      </c>
    </row>
    <row r="843" spans="1:30" customFormat="1" ht="31.2" hidden="1" x14ac:dyDescent="0.4">
      <c r="A843" s="7" t="s">
        <v>18</v>
      </c>
      <c r="B843" s="6">
        <v>811</v>
      </c>
      <c r="C843" s="7" t="s">
        <v>3313</v>
      </c>
      <c r="D843" s="7" t="s">
        <v>3501</v>
      </c>
      <c r="E843" s="7" t="s">
        <v>3502</v>
      </c>
      <c r="F843" s="4"/>
      <c r="G843" s="7" t="s">
        <v>3503</v>
      </c>
      <c r="H843" s="7" t="s">
        <v>3504</v>
      </c>
      <c r="I843" s="5"/>
      <c r="J843" s="21" t="s">
        <v>3505</v>
      </c>
      <c r="K843" s="7" t="s">
        <v>24</v>
      </c>
      <c r="L843" s="7" t="s">
        <v>3239</v>
      </c>
      <c r="M843" s="114">
        <v>1218195100</v>
      </c>
      <c r="N843" s="109">
        <v>178916160</v>
      </c>
      <c r="O843" s="114">
        <v>15000000</v>
      </c>
      <c r="P843" s="110"/>
      <c r="Q843" s="109">
        <f>M843+N843+O843+P843</f>
        <v>1412111260</v>
      </c>
      <c r="R843" s="28">
        <v>1218195100</v>
      </c>
      <c r="S843" s="28">
        <v>178916160</v>
      </c>
      <c r="T843" s="30">
        <v>15000000</v>
      </c>
      <c r="U843" s="5"/>
      <c r="V843" s="5"/>
      <c r="W843" s="28"/>
      <c r="X843" s="28">
        <f>N843-S843</f>
        <v>0</v>
      </c>
      <c r="Y843" s="28">
        <f>O843-T843</f>
        <v>0</v>
      </c>
      <c r="Z843" s="28">
        <f>P843-U843</f>
        <v>0</v>
      </c>
      <c r="AA843" s="16"/>
      <c r="AB843" s="4"/>
      <c r="AC843">
        <f>IF(AB843=G843,1,2)</f>
        <v>2</v>
      </c>
    </row>
    <row r="844" spans="1:30" customFormat="1" ht="31.2" hidden="1" x14ac:dyDescent="0.3">
      <c r="A844" s="7" t="s">
        <v>1601</v>
      </c>
      <c r="B844" s="6">
        <v>813</v>
      </c>
      <c r="C844" s="7" t="s">
        <v>3506</v>
      </c>
      <c r="D844" s="7" t="s">
        <v>3513</v>
      </c>
      <c r="E844" s="7"/>
      <c r="F844" s="4"/>
      <c r="G844" s="7" t="s">
        <v>3514</v>
      </c>
      <c r="H844" s="7"/>
      <c r="I844" s="7"/>
      <c r="J844" s="7" t="s">
        <v>3515</v>
      </c>
      <c r="K844" s="7" t="s">
        <v>24</v>
      </c>
      <c r="L844" s="7" t="s">
        <v>3516</v>
      </c>
      <c r="M844" s="114">
        <v>285679923760</v>
      </c>
      <c r="N844" s="111"/>
      <c r="O844" s="109">
        <v>7500000</v>
      </c>
      <c r="P844" s="110"/>
      <c r="Q844" s="109">
        <f>M844+N844+O844+P844</f>
        <v>285687423760</v>
      </c>
      <c r="R844" s="3">
        <v>285679923760</v>
      </c>
      <c r="S844" s="5"/>
      <c r="T844" s="72"/>
      <c r="U844" s="5"/>
      <c r="V844" s="5"/>
      <c r="W844" s="28"/>
      <c r="X844" s="28">
        <f>N844-S844</f>
        <v>0</v>
      </c>
      <c r="Y844" s="36">
        <f>O844-T844</f>
        <v>7500000</v>
      </c>
      <c r="Z844" s="28">
        <f>P844-U844</f>
        <v>0</v>
      </c>
      <c r="AA844" s="4"/>
      <c r="AB844" s="40"/>
      <c r="AC844" s="121">
        <f>IF(AB844=G844,1,2)</f>
        <v>2</v>
      </c>
      <c r="AD844" s="121"/>
    </row>
    <row r="845" spans="1:30" customFormat="1" ht="42" hidden="1" x14ac:dyDescent="0.3">
      <c r="A845" s="7" t="s">
        <v>1601</v>
      </c>
      <c r="B845" s="6">
        <v>814</v>
      </c>
      <c r="C845" s="7" t="s">
        <v>3506</v>
      </c>
      <c r="D845" s="7" t="s">
        <v>3517</v>
      </c>
      <c r="E845" s="5"/>
      <c r="F845" s="4"/>
      <c r="G845" s="7" t="s">
        <v>3518</v>
      </c>
      <c r="H845" s="5"/>
      <c r="I845" s="5"/>
      <c r="J845" s="21" t="s">
        <v>3519</v>
      </c>
      <c r="K845" s="7" t="s">
        <v>24</v>
      </c>
      <c r="L845" s="7" t="s">
        <v>3520</v>
      </c>
      <c r="M845" s="114">
        <v>886470700</v>
      </c>
      <c r="N845" s="111"/>
      <c r="O845" s="114">
        <v>15000000</v>
      </c>
      <c r="P845" s="110"/>
      <c r="Q845" s="109">
        <f>M845+N845+O845+P845</f>
        <v>901470700</v>
      </c>
      <c r="R845" s="14">
        <v>886470700</v>
      </c>
      <c r="S845" s="5"/>
      <c r="T845" s="30">
        <v>15000000</v>
      </c>
      <c r="U845" s="5"/>
      <c r="V845" s="5"/>
      <c r="W845" s="28"/>
      <c r="X845" s="28">
        <f>N845-S845</f>
        <v>0</v>
      </c>
      <c r="Y845" s="28">
        <f>O845-T845</f>
        <v>0</v>
      </c>
      <c r="Z845" s="28">
        <f>P845-U845</f>
        <v>0</v>
      </c>
      <c r="AA845" s="4"/>
      <c r="AB845" s="4"/>
      <c r="AC845">
        <f>IF(AB845=G845,1,2)</f>
        <v>2</v>
      </c>
    </row>
    <row r="846" spans="1:30" customFormat="1" ht="42" hidden="1" x14ac:dyDescent="0.3">
      <c r="A846" s="7" t="s">
        <v>46</v>
      </c>
      <c r="B846" s="6">
        <v>815</v>
      </c>
      <c r="C846" s="7" t="s">
        <v>3506</v>
      </c>
      <c r="D846" s="7" t="s">
        <v>3521</v>
      </c>
      <c r="E846" s="5"/>
      <c r="F846" s="4"/>
      <c r="G846" s="7" t="s">
        <v>3522</v>
      </c>
      <c r="H846" s="5"/>
      <c r="I846" s="5"/>
      <c r="J846" s="21" t="s">
        <v>3070</v>
      </c>
      <c r="K846" s="7" t="s">
        <v>24</v>
      </c>
      <c r="L846" s="7" t="s">
        <v>3523</v>
      </c>
      <c r="M846" s="114">
        <v>1059226080</v>
      </c>
      <c r="N846" s="111"/>
      <c r="O846" s="114">
        <v>15000000</v>
      </c>
      <c r="P846" s="110"/>
      <c r="Q846" s="109">
        <f>M846+N846+O846+P846</f>
        <v>1074226080</v>
      </c>
      <c r="R846" s="14">
        <v>1059226080</v>
      </c>
      <c r="S846" s="5"/>
      <c r="T846" s="30">
        <v>15000000</v>
      </c>
      <c r="U846" s="5"/>
      <c r="V846" s="5"/>
      <c r="W846" s="28"/>
      <c r="X846" s="28">
        <f>N846-S846</f>
        <v>0</v>
      </c>
      <c r="Y846" s="28">
        <f>O846-T846</f>
        <v>0</v>
      </c>
      <c r="Z846" s="28">
        <f>P846-U846</f>
        <v>0</v>
      </c>
      <c r="AA846" s="4"/>
      <c r="AB846" s="4"/>
      <c r="AC846">
        <f>IF(AB846=G846,1,2)</f>
        <v>2</v>
      </c>
    </row>
    <row r="847" spans="1:30" customFormat="1" ht="46.8" hidden="1" x14ac:dyDescent="0.3">
      <c r="A847" s="7" t="s">
        <v>1601</v>
      </c>
      <c r="B847" s="6">
        <v>817</v>
      </c>
      <c r="C847" s="7" t="s">
        <v>3506</v>
      </c>
      <c r="D847" s="7" t="s">
        <v>3528</v>
      </c>
      <c r="E847" s="5"/>
      <c r="F847" s="4"/>
      <c r="G847" s="7" t="s">
        <v>3529</v>
      </c>
      <c r="H847" s="5"/>
      <c r="I847" s="5"/>
      <c r="J847" s="21" t="s">
        <v>3530</v>
      </c>
      <c r="K847" s="7" t="s">
        <v>24</v>
      </c>
      <c r="L847" s="7" t="s">
        <v>3531</v>
      </c>
      <c r="M847" s="114">
        <v>3385207540</v>
      </c>
      <c r="N847" s="111"/>
      <c r="O847" s="114">
        <v>15000000</v>
      </c>
      <c r="P847" s="110"/>
      <c r="Q847" s="109">
        <f>M847+N847+O847+P847</f>
        <v>3400207540</v>
      </c>
      <c r="R847" s="14">
        <v>3385207540</v>
      </c>
      <c r="S847" s="5"/>
      <c r="T847" s="30">
        <v>15000000</v>
      </c>
      <c r="U847" s="5"/>
      <c r="V847" s="5"/>
      <c r="W847" s="28"/>
      <c r="X847" s="28">
        <f>N847-S847</f>
        <v>0</v>
      </c>
      <c r="Y847" s="28">
        <f>O847-T847</f>
        <v>0</v>
      </c>
      <c r="Z847" s="28">
        <f>P847-U847</f>
        <v>0</v>
      </c>
      <c r="AA847" s="4"/>
      <c r="AB847" s="4"/>
      <c r="AC847">
        <f>IF(AB847=G847,1,2)</f>
        <v>2</v>
      </c>
    </row>
    <row r="848" spans="1:30" customFormat="1" ht="46.8" hidden="1" x14ac:dyDescent="0.3">
      <c r="A848" s="7" t="s">
        <v>1601</v>
      </c>
      <c r="B848" s="6">
        <v>818</v>
      </c>
      <c r="C848" s="7" t="s">
        <v>3506</v>
      </c>
      <c r="D848" s="7" t="s">
        <v>3532</v>
      </c>
      <c r="E848" s="5"/>
      <c r="F848" s="4"/>
      <c r="G848" s="7" t="s">
        <v>3533</v>
      </c>
      <c r="H848" s="5"/>
      <c r="I848" s="5"/>
      <c r="J848" s="21" t="s">
        <v>3534</v>
      </c>
      <c r="K848" s="7" t="s">
        <v>24</v>
      </c>
      <c r="L848" s="7" t="s">
        <v>3535</v>
      </c>
      <c r="M848" s="114">
        <v>1230685480</v>
      </c>
      <c r="N848" s="111"/>
      <c r="O848" s="114">
        <v>15000000</v>
      </c>
      <c r="P848" s="110"/>
      <c r="Q848" s="109">
        <f>M848+N848+O848+P848</f>
        <v>1245685480</v>
      </c>
      <c r="R848" s="14">
        <v>1230685480</v>
      </c>
      <c r="S848" s="5"/>
      <c r="T848" s="30">
        <v>15000000</v>
      </c>
      <c r="U848" s="5"/>
      <c r="V848" s="5"/>
      <c r="W848" s="28"/>
      <c r="X848" s="28">
        <f>N848-S848</f>
        <v>0</v>
      </c>
      <c r="Y848" s="28">
        <f>O848-T848</f>
        <v>0</v>
      </c>
      <c r="Z848" s="28">
        <f>P848-U848</f>
        <v>0</v>
      </c>
      <c r="AA848" s="4"/>
      <c r="AB848" s="4"/>
      <c r="AC848">
        <f>IF(AB848=G848,1,2)</f>
        <v>2</v>
      </c>
    </row>
    <row r="849" spans="1:30" customFormat="1" ht="42" hidden="1" x14ac:dyDescent="0.3">
      <c r="A849" s="7" t="s">
        <v>1601</v>
      </c>
      <c r="B849" s="6">
        <v>820</v>
      </c>
      <c r="C849" s="7" t="s">
        <v>3506</v>
      </c>
      <c r="D849" s="7" t="s">
        <v>3540</v>
      </c>
      <c r="E849" s="7" t="s">
        <v>3541</v>
      </c>
      <c r="F849" s="4"/>
      <c r="G849" s="7" t="s">
        <v>3542</v>
      </c>
      <c r="H849" s="5"/>
      <c r="I849" s="5"/>
      <c r="J849" s="21" t="s">
        <v>3543</v>
      </c>
      <c r="K849" s="7" t="s">
        <v>24</v>
      </c>
      <c r="L849" s="7" t="s">
        <v>3544</v>
      </c>
      <c r="M849" s="114">
        <v>66562996457</v>
      </c>
      <c r="N849" s="114">
        <v>1413212834</v>
      </c>
      <c r="O849" s="114">
        <v>7500000</v>
      </c>
      <c r="P849" s="110"/>
      <c r="Q849" s="109">
        <f>M849+N849+O849+P849</f>
        <v>67983709291</v>
      </c>
      <c r="R849" s="14">
        <v>66562996457</v>
      </c>
      <c r="S849" s="14">
        <v>1413212834</v>
      </c>
      <c r="T849" s="30">
        <v>7500000</v>
      </c>
      <c r="U849" s="5"/>
      <c r="V849" s="5"/>
      <c r="W849" s="28"/>
      <c r="X849" s="28">
        <f>N849-S849</f>
        <v>0</v>
      </c>
      <c r="Y849" s="28">
        <f>O849-T849</f>
        <v>0</v>
      </c>
      <c r="Z849" s="28">
        <f>P849-U849</f>
        <v>0</v>
      </c>
      <c r="AA849" s="4"/>
      <c r="AB849" s="4"/>
      <c r="AC849">
        <f>IF(AB849=G849,1,2)</f>
        <v>2</v>
      </c>
    </row>
    <row r="850" spans="1:30" customFormat="1" ht="42" hidden="1" x14ac:dyDescent="0.3">
      <c r="A850" s="7" t="s">
        <v>1601</v>
      </c>
      <c r="B850" s="6">
        <v>821</v>
      </c>
      <c r="C850" s="7" t="s">
        <v>3506</v>
      </c>
      <c r="D850" s="7" t="s">
        <v>3545</v>
      </c>
      <c r="E850" s="5"/>
      <c r="F850" s="4"/>
      <c r="G850" s="7" t="s">
        <v>3546</v>
      </c>
      <c r="H850" s="5"/>
      <c r="I850" s="7" t="s">
        <v>28</v>
      </c>
      <c r="J850" s="21" t="s">
        <v>3547</v>
      </c>
      <c r="K850" s="7" t="s">
        <v>24</v>
      </c>
      <c r="L850" s="7" t="s">
        <v>2524</v>
      </c>
      <c r="M850" s="114">
        <v>0</v>
      </c>
      <c r="N850" s="111"/>
      <c r="O850" s="119"/>
      <c r="P850" s="110"/>
      <c r="Q850" s="109">
        <f>M850+N850+O850+P850</f>
        <v>0</v>
      </c>
      <c r="R850" s="6">
        <v>0</v>
      </c>
      <c r="S850" s="5"/>
      <c r="T850" s="31"/>
      <c r="U850" s="5"/>
      <c r="V850" s="5"/>
      <c r="W850" s="28"/>
      <c r="X850" s="28">
        <f>N850-S850</f>
        <v>0</v>
      </c>
      <c r="Y850" s="28">
        <f>O850-T850</f>
        <v>0</v>
      </c>
      <c r="Z850" s="28">
        <f>P850-U850</f>
        <v>0</v>
      </c>
      <c r="AA850" s="4"/>
      <c r="AB850" s="4"/>
      <c r="AC850">
        <f>IF(AB850=G850,1,2)</f>
        <v>2</v>
      </c>
    </row>
    <row r="851" spans="1:30" customFormat="1" ht="31.2" hidden="1" x14ac:dyDescent="0.3">
      <c r="A851" s="7" t="s">
        <v>46</v>
      </c>
      <c r="B851" s="6">
        <v>825</v>
      </c>
      <c r="C851" s="7" t="s">
        <v>3506</v>
      </c>
      <c r="D851" s="7" t="s">
        <v>3481</v>
      </c>
      <c r="E851" s="7" t="s">
        <v>644</v>
      </c>
      <c r="F851" s="4"/>
      <c r="G851" s="7" t="s">
        <v>3564</v>
      </c>
      <c r="H851" s="7" t="s">
        <v>3565</v>
      </c>
      <c r="I851" s="5"/>
      <c r="J851" s="21" t="s">
        <v>3566</v>
      </c>
      <c r="K851" s="7" t="s">
        <v>24</v>
      </c>
      <c r="L851" s="7" t="s">
        <v>3567</v>
      </c>
      <c r="M851" s="114">
        <v>1083708020</v>
      </c>
      <c r="N851" s="114">
        <v>1129749824</v>
      </c>
      <c r="O851" s="114">
        <v>15000000</v>
      </c>
      <c r="P851" s="110"/>
      <c r="Q851" s="109">
        <f>M851+N851+O851+P851</f>
        <v>2228457844</v>
      </c>
      <c r="R851" s="14">
        <v>1083708020</v>
      </c>
      <c r="S851" s="3">
        <v>1129749824</v>
      </c>
      <c r="T851" s="30">
        <v>15000000</v>
      </c>
      <c r="U851" s="5"/>
      <c r="V851" s="5"/>
      <c r="W851" s="28"/>
      <c r="X851" s="28">
        <f>N851-S851</f>
        <v>0</v>
      </c>
      <c r="Y851" s="28">
        <f>O851-T851</f>
        <v>0</v>
      </c>
      <c r="Z851" s="28">
        <f>P851-U851</f>
        <v>0</v>
      </c>
      <c r="AA851" s="4"/>
      <c r="AB851" s="4"/>
      <c r="AC851">
        <f>IF(AB851=G851,1,2)</f>
        <v>2</v>
      </c>
    </row>
    <row r="852" spans="1:30" customFormat="1" ht="46.8" hidden="1" x14ac:dyDescent="0.3">
      <c r="A852" s="7" t="s">
        <v>1601</v>
      </c>
      <c r="B852" s="6">
        <v>827</v>
      </c>
      <c r="C852" s="7" t="s">
        <v>3506</v>
      </c>
      <c r="D852" s="7" t="s">
        <v>3574</v>
      </c>
      <c r="E852" s="5"/>
      <c r="F852" s="4"/>
      <c r="G852" s="7" t="s">
        <v>3575</v>
      </c>
      <c r="H852" s="5"/>
      <c r="I852" s="5"/>
      <c r="J852" s="21" t="s">
        <v>3576</v>
      </c>
      <c r="K852" s="7" t="s">
        <v>24</v>
      </c>
      <c r="L852" s="7" t="s">
        <v>3577</v>
      </c>
      <c r="M852" s="114">
        <v>6071608000</v>
      </c>
      <c r="N852" s="111"/>
      <c r="O852" s="114">
        <v>15000000</v>
      </c>
      <c r="P852" s="110"/>
      <c r="Q852" s="109">
        <f>M852+N852+O852+P852</f>
        <v>6086608000</v>
      </c>
      <c r="R852" s="14">
        <v>6071608000</v>
      </c>
      <c r="S852" s="5"/>
      <c r="T852" s="30">
        <v>15000000</v>
      </c>
      <c r="U852" s="5"/>
      <c r="V852" s="5"/>
      <c r="W852" s="28"/>
      <c r="X852" s="28">
        <f>N852-S852</f>
        <v>0</v>
      </c>
      <c r="Y852" s="28">
        <f>O852-T852</f>
        <v>0</v>
      </c>
      <c r="Z852" s="28">
        <f>P852-U852</f>
        <v>0</v>
      </c>
      <c r="AA852" s="4"/>
      <c r="AB852" s="4"/>
      <c r="AC852">
        <f>IF(AB852=G852,1,2)</f>
        <v>2</v>
      </c>
    </row>
    <row r="853" spans="1:30" customFormat="1" ht="78" hidden="1" customHeight="1" x14ac:dyDescent="0.3">
      <c r="A853" s="7" t="s">
        <v>1601</v>
      </c>
      <c r="B853" s="6">
        <v>829</v>
      </c>
      <c r="C853" s="7" t="s">
        <v>3506</v>
      </c>
      <c r="D853" s="7" t="s">
        <v>3582</v>
      </c>
      <c r="E853" s="5"/>
      <c r="F853" s="4"/>
      <c r="G853" s="7" t="s">
        <v>3583</v>
      </c>
      <c r="H853" s="5"/>
      <c r="I853" s="5"/>
      <c r="J853" s="21" t="s">
        <v>3584</v>
      </c>
      <c r="K853" s="7" t="s">
        <v>24</v>
      </c>
      <c r="L853" s="7" t="s">
        <v>3376</v>
      </c>
      <c r="M853" s="114">
        <v>1108965112</v>
      </c>
      <c r="N853" s="111"/>
      <c r="O853" s="114">
        <v>15000000</v>
      </c>
      <c r="P853" s="110"/>
      <c r="Q853" s="109">
        <f>M853+N853+O853+P853</f>
        <v>1123965112</v>
      </c>
      <c r="R853" s="14">
        <v>1108965112</v>
      </c>
      <c r="S853" s="5"/>
      <c r="T853" s="30">
        <v>15000000</v>
      </c>
      <c r="U853" s="5"/>
      <c r="V853" s="5"/>
      <c r="W853" s="28"/>
      <c r="X853" s="28">
        <f>N853-S853</f>
        <v>0</v>
      </c>
      <c r="Y853" s="28">
        <f>O853-T853</f>
        <v>0</v>
      </c>
      <c r="Z853" s="28">
        <f>P853-U853</f>
        <v>0</v>
      </c>
      <c r="AA853" s="4"/>
      <c r="AB853" s="4"/>
      <c r="AC853">
        <f>IF(AB853=G853,1,2)</f>
        <v>2</v>
      </c>
    </row>
    <row r="854" spans="1:30" customFormat="1" ht="42" hidden="1" x14ac:dyDescent="0.3">
      <c r="A854" s="7" t="s">
        <v>1601</v>
      </c>
      <c r="B854" s="6">
        <v>830</v>
      </c>
      <c r="C854" s="7" t="s">
        <v>3506</v>
      </c>
      <c r="D854" s="7" t="s">
        <v>3585</v>
      </c>
      <c r="E854" s="5"/>
      <c r="F854" s="4"/>
      <c r="G854" s="7" t="s">
        <v>3586</v>
      </c>
      <c r="H854" s="5"/>
      <c r="I854" s="5"/>
      <c r="J854" s="21" t="s">
        <v>2115</v>
      </c>
      <c r="K854" s="7" t="s">
        <v>24</v>
      </c>
      <c r="L854" s="7" t="s">
        <v>3587</v>
      </c>
      <c r="M854" s="114">
        <v>2946358656</v>
      </c>
      <c r="N854" s="111"/>
      <c r="O854" s="114">
        <v>15000000</v>
      </c>
      <c r="P854" s="110"/>
      <c r="Q854" s="109">
        <f>M854+N854+O854+P854</f>
        <v>2961358656</v>
      </c>
      <c r="R854" s="14">
        <v>2946358656</v>
      </c>
      <c r="S854" s="5"/>
      <c r="T854" s="30">
        <v>15000000</v>
      </c>
      <c r="U854" s="5"/>
      <c r="V854" s="5"/>
      <c r="W854" s="28"/>
      <c r="X854" s="28">
        <f>N854-S854</f>
        <v>0</v>
      </c>
      <c r="Y854" s="28">
        <f>O854-T854</f>
        <v>0</v>
      </c>
      <c r="Z854" s="28">
        <f>P854-U854</f>
        <v>0</v>
      </c>
      <c r="AA854" s="4"/>
      <c r="AB854" s="4"/>
      <c r="AC854">
        <f>IF(AB854=G854,1,2)</f>
        <v>2</v>
      </c>
    </row>
    <row r="855" spans="1:30" customFormat="1" ht="46.8" hidden="1" x14ac:dyDescent="0.3">
      <c r="A855" s="7" t="s">
        <v>2290</v>
      </c>
      <c r="B855" s="6">
        <v>832</v>
      </c>
      <c r="C855" s="7" t="s">
        <v>3506</v>
      </c>
      <c r="D855" s="7" t="s">
        <v>3593</v>
      </c>
      <c r="E855" s="7" t="s">
        <v>2864</v>
      </c>
      <c r="F855" s="4"/>
      <c r="G855" s="7" t="s">
        <v>3594</v>
      </c>
      <c r="H855" s="5"/>
      <c r="I855" s="5"/>
      <c r="J855" s="21" t="s">
        <v>3595</v>
      </c>
      <c r="K855" s="7" t="s">
        <v>24</v>
      </c>
      <c r="L855" s="7" t="s">
        <v>2867</v>
      </c>
      <c r="M855" s="114">
        <v>10000000</v>
      </c>
      <c r="N855" s="114">
        <v>624471036</v>
      </c>
      <c r="O855" s="114">
        <v>15000000</v>
      </c>
      <c r="P855" s="110"/>
      <c r="Q855" s="109">
        <f>M855+N855+O855+P855</f>
        <v>649471036</v>
      </c>
      <c r="R855" s="14">
        <v>10000000</v>
      </c>
      <c r="S855" s="14">
        <v>624471036</v>
      </c>
      <c r="T855" s="31">
        <v>15000000</v>
      </c>
      <c r="U855" s="5"/>
      <c r="V855" s="5"/>
      <c r="W855" s="28"/>
      <c r="X855" s="28">
        <f>N855-S855</f>
        <v>0</v>
      </c>
      <c r="Y855" s="28">
        <f>O855-T855</f>
        <v>0</v>
      </c>
      <c r="Z855" s="28">
        <f>P855-U855</f>
        <v>0</v>
      </c>
      <c r="AA855" s="4"/>
      <c r="AB855" s="4"/>
      <c r="AC855">
        <f>IF(AB855=G855,1,2)</f>
        <v>2</v>
      </c>
    </row>
    <row r="856" spans="1:30" customFormat="1" ht="31.2" hidden="1" x14ac:dyDescent="0.3">
      <c r="A856" s="7" t="s">
        <v>2290</v>
      </c>
      <c r="B856" s="6">
        <v>833</v>
      </c>
      <c r="C856" s="7" t="s">
        <v>3506</v>
      </c>
      <c r="D856" s="7" t="s">
        <v>3596</v>
      </c>
      <c r="E856" s="7" t="s">
        <v>3597</v>
      </c>
      <c r="F856" s="4"/>
      <c r="G856" s="7" t="s">
        <v>3598</v>
      </c>
      <c r="H856" s="7" t="s">
        <v>3599</v>
      </c>
      <c r="I856" s="7"/>
      <c r="J856" s="7" t="s">
        <v>3600</v>
      </c>
      <c r="K856" s="7" t="s">
        <v>24</v>
      </c>
      <c r="L856" s="7" t="s">
        <v>3567</v>
      </c>
      <c r="M856" s="109">
        <v>10000000</v>
      </c>
      <c r="N856" s="109">
        <v>325771956</v>
      </c>
      <c r="O856" s="109">
        <v>15000000</v>
      </c>
      <c r="P856" s="110"/>
      <c r="Q856" s="109">
        <f>M856+N856+O856+P856</f>
        <v>350771956</v>
      </c>
      <c r="R856" s="5"/>
      <c r="S856" s="7"/>
      <c r="T856" s="72"/>
      <c r="U856" s="5"/>
      <c r="V856" s="5"/>
      <c r="W856" s="28">
        <v>10000000</v>
      </c>
      <c r="X856" s="36">
        <f>N856-S856</f>
        <v>325771956</v>
      </c>
      <c r="Y856" s="36">
        <f>O856-T856</f>
        <v>15000000</v>
      </c>
      <c r="Z856" s="28">
        <f>P856-U856</f>
        <v>0</v>
      </c>
      <c r="AA856" s="10">
        <v>10000000</v>
      </c>
      <c r="AB856" s="40"/>
      <c r="AC856" s="121">
        <f>IF(AB856=G856,1,2)</f>
        <v>2</v>
      </c>
      <c r="AD856" s="121"/>
    </row>
    <row r="857" spans="1:30" customFormat="1" ht="62.4" hidden="1" customHeight="1" x14ac:dyDescent="0.3">
      <c r="A857" s="7" t="s">
        <v>2290</v>
      </c>
      <c r="B857" s="6">
        <v>834</v>
      </c>
      <c r="C857" s="7" t="s">
        <v>3506</v>
      </c>
      <c r="D857" s="7" t="s">
        <v>3601</v>
      </c>
      <c r="E857" s="5"/>
      <c r="F857" s="4"/>
      <c r="G857" s="7" t="s">
        <v>3602</v>
      </c>
      <c r="H857" s="5"/>
      <c r="I857" s="5"/>
      <c r="J857" s="21" t="s">
        <v>3603</v>
      </c>
      <c r="K857" s="7" t="s">
        <v>24</v>
      </c>
      <c r="L857" s="7" t="s">
        <v>3604</v>
      </c>
      <c r="M857" s="114">
        <v>2547765012</v>
      </c>
      <c r="N857" s="111"/>
      <c r="O857" s="114">
        <v>15000000</v>
      </c>
      <c r="P857" s="110"/>
      <c r="Q857" s="109">
        <f>M857+N857+O857+P857</f>
        <v>2562765012</v>
      </c>
      <c r="R857" s="14">
        <v>2547765012</v>
      </c>
      <c r="S857" s="5"/>
      <c r="T857" s="30">
        <v>15000000</v>
      </c>
      <c r="U857" s="5"/>
      <c r="V857" s="5"/>
      <c r="W857" s="28"/>
      <c r="X857" s="28">
        <f>N857-S857</f>
        <v>0</v>
      </c>
      <c r="Y857" s="28">
        <f>O857-T857</f>
        <v>0</v>
      </c>
      <c r="Z857" s="28">
        <f>P857-U857</f>
        <v>0</v>
      </c>
      <c r="AA857" s="4"/>
      <c r="AB857" s="4"/>
      <c r="AC857">
        <f>IF(AB857=G857,1,2)</f>
        <v>2</v>
      </c>
    </row>
    <row r="858" spans="1:30" customFormat="1" ht="62.4" hidden="1" customHeight="1" x14ac:dyDescent="0.3">
      <c r="A858" s="7" t="s">
        <v>2290</v>
      </c>
      <c r="B858" s="6">
        <v>835</v>
      </c>
      <c r="C858" s="7" t="s">
        <v>3506</v>
      </c>
      <c r="D858" s="7" t="s">
        <v>3605</v>
      </c>
      <c r="E858" s="5"/>
      <c r="F858" s="4"/>
      <c r="G858" s="7" t="s">
        <v>3606</v>
      </c>
      <c r="H858" s="5"/>
      <c r="I858" s="5"/>
      <c r="J858" s="21" t="s">
        <v>3607</v>
      </c>
      <c r="K858" s="7" t="s">
        <v>24</v>
      </c>
      <c r="L858" s="7" t="s">
        <v>3396</v>
      </c>
      <c r="M858" s="114">
        <v>2743648019</v>
      </c>
      <c r="N858" s="111"/>
      <c r="O858" s="114">
        <v>15000000</v>
      </c>
      <c r="P858" s="110"/>
      <c r="Q858" s="109">
        <f>M858+N858+O858+P858</f>
        <v>2758648019</v>
      </c>
      <c r="R858" s="14">
        <v>2743648019</v>
      </c>
      <c r="S858" s="5"/>
      <c r="T858" s="30">
        <v>15000000</v>
      </c>
      <c r="U858" s="5"/>
      <c r="V858" s="5"/>
      <c r="W858" s="28"/>
      <c r="X858" s="28">
        <f>N858-S858</f>
        <v>0</v>
      </c>
      <c r="Y858" s="28">
        <f>O858-T858</f>
        <v>0</v>
      </c>
      <c r="Z858" s="28">
        <f>P858-U858</f>
        <v>0</v>
      </c>
      <c r="AA858" s="4"/>
      <c r="AB858" s="4"/>
      <c r="AC858">
        <f>IF(AB858=G858,1,2)</f>
        <v>2</v>
      </c>
    </row>
    <row r="859" spans="1:30" customFormat="1" ht="46.8" hidden="1" x14ac:dyDescent="0.3">
      <c r="A859" s="7" t="s">
        <v>2290</v>
      </c>
      <c r="B859" s="6">
        <v>836</v>
      </c>
      <c r="C859" s="7" t="s">
        <v>3506</v>
      </c>
      <c r="D859" s="7" t="s">
        <v>3608</v>
      </c>
      <c r="E859" s="5"/>
      <c r="F859" s="4"/>
      <c r="G859" s="7" t="s">
        <v>3609</v>
      </c>
      <c r="H859" s="5"/>
      <c r="I859" s="5"/>
      <c r="J859" s="21" t="s">
        <v>3610</v>
      </c>
      <c r="K859" s="7" t="s">
        <v>24</v>
      </c>
      <c r="L859" s="7" t="s">
        <v>3611</v>
      </c>
      <c r="M859" s="114">
        <v>1011264694</v>
      </c>
      <c r="N859" s="111"/>
      <c r="O859" s="114">
        <v>7500000</v>
      </c>
      <c r="P859" s="110"/>
      <c r="Q859" s="109">
        <f>M859+N859+O859+P859</f>
        <v>1018764694</v>
      </c>
      <c r="R859" s="14">
        <v>1011264694</v>
      </c>
      <c r="S859" s="5"/>
      <c r="T859" s="33">
        <v>7500000</v>
      </c>
      <c r="U859" s="5"/>
      <c r="V859" s="5"/>
      <c r="W859" s="28"/>
      <c r="X859" s="28">
        <f>N859-S859</f>
        <v>0</v>
      </c>
      <c r="Y859" s="28">
        <f>O859-T859</f>
        <v>0</v>
      </c>
      <c r="Z859" s="28">
        <f>P859-U859</f>
        <v>0</v>
      </c>
      <c r="AA859" s="4"/>
      <c r="AB859" s="4"/>
      <c r="AC859">
        <f>IF(AB859=G859,1,2)</f>
        <v>2</v>
      </c>
    </row>
    <row r="860" spans="1:30" customFormat="1" ht="46.8" hidden="1" x14ac:dyDescent="0.3">
      <c r="A860" s="7" t="s">
        <v>2290</v>
      </c>
      <c r="B860" s="6">
        <v>837</v>
      </c>
      <c r="C860" s="7" t="s">
        <v>3506</v>
      </c>
      <c r="D860" s="7" t="s">
        <v>3612</v>
      </c>
      <c r="E860" s="7" t="s">
        <v>3421</v>
      </c>
      <c r="F860" s="4"/>
      <c r="G860" s="7" t="s">
        <v>3613</v>
      </c>
      <c r="H860" s="7" t="s">
        <v>3614</v>
      </c>
      <c r="I860" s="5"/>
      <c r="J860" s="21" t="s">
        <v>3615</v>
      </c>
      <c r="K860" s="7" t="s">
        <v>24</v>
      </c>
      <c r="L860" s="7" t="s">
        <v>3616</v>
      </c>
      <c r="M860" s="114">
        <v>584627066</v>
      </c>
      <c r="N860" s="114">
        <v>143656766</v>
      </c>
      <c r="O860" s="114">
        <v>15000000</v>
      </c>
      <c r="P860" s="110"/>
      <c r="Q860" s="109">
        <f>M860+N860+O860+P860</f>
        <v>743283832</v>
      </c>
      <c r="R860" s="14">
        <v>584627066</v>
      </c>
      <c r="S860" s="14">
        <v>143656766</v>
      </c>
      <c r="T860" s="33">
        <v>15000000</v>
      </c>
      <c r="U860" s="5"/>
      <c r="V860" s="5"/>
      <c r="W860" s="28"/>
      <c r="X860" s="28">
        <f>N860-S860</f>
        <v>0</v>
      </c>
      <c r="Y860" s="28">
        <f>O860-T860</f>
        <v>0</v>
      </c>
      <c r="Z860" s="28">
        <f>P860-U860</f>
        <v>0</v>
      </c>
      <c r="AA860" s="4"/>
      <c r="AB860" s="4"/>
      <c r="AC860">
        <f>IF(AB860=G860,1,2)</f>
        <v>2</v>
      </c>
    </row>
    <row r="861" spans="1:30" customFormat="1" ht="62.4" hidden="1" customHeight="1" x14ac:dyDescent="0.4">
      <c r="A861" s="7" t="s">
        <v>2290</v>
      </c>
      <c r="B861" s="6">
        <v>839</v>
      </c>
      <c r="C861" s="7" t="s">
        <v>3506</v>
      </c>
      <c r="D861" s="7" t="s">
        <v>3623</v>
      </c>
      <c r="E861" s="7" t="s">
        <v>2869</v>
      </c>
      <c r="F861" s="4"/>
      <c r="G861" s="7"/>
      <c r="H861" s="7"/>
      <c r="I861" s="7" t="s">
        <v>3624</v>
      </c>
      <c r="J861" s="7" t="s">
        <v>3625</v>
      </c>
      <c r="K861" s="7" t="s">
        <v>24</v>
      </c>
      <c r="L861" s="7" t="s">
        <v>3396</v>
      </c>
      <c r="M861" s="114">
        <v>10000000</v>
      </c>
      <c r="N861" s="111"/>
      <c r="O861" s="109">
        <v>15000000</v>
      </c>
      <c r="P861" s="110"/>
      <c r="Q861" s="109">
        <f>M861+N861+O861+P861</f>
        <v>25000000</v>
      </c>
      <c r="R861" s="5"/>
      <c r="S861" s="5"/>
      <c r="T861" s="72"/>
      <c r="U861" s="5"/>
      <c r="V861" s="5"/>
      <c r="W861" s="28">
        <v>10000000</v>
      </c>
      <c r="X861" s="28">
        <f>N861-S861</f>
        <v>0</v>
      </c>
      <c r="Y861" s="36">
        <f>O861-T861</f>
        <v>15000000</v>
      </c>
      <c r="Z861" s="28">
        <f>P861-U861</f>
        <v>0</v>
      </c>
      <c r="AA861" s="16">
        <v>10000000</v>
      </c>
      <c r="AB861" s="40"/>
      <c r="AC861" s="121">
        <f>IF(AB861=G861,1,2)</f>
        <v>1</v>
      </c>
      <c r="AD861" s="121"/>
    </row>
    <row r="862" spans="1:30" customFormat="1" ht="73.8" hidden="1" customHeight="1" x14ac:dyDescent="0.3">
      <c r="A862" s="7" t="s">
        <v>2290</v>
      </c>
      <c r="B862" s="6">
        <v>840</v>
      </c>
      <c r="C862" s="7" t="s">
        <v>3506</v>
      </c>
      <c r="D862" s="7" t="s">
        <v>3626</v>
      </c>
      <c r="E862" s="5"/>
      <c r="F862" s="4"/>
      <c r="G862" s="7" t="s">
        <v>3627</v>
      </c>
      <c r="H862" s="5"/>
      <c r="I862" s="5"/>
      <c r="J862" s="21" t="s">
        <v>3628</v>
      </c>
      <c r="K862" s="7" t="s">
        <v>24</v>
      </c>
      <c r="L862" s="7" t="s">
        <v>3629</v>
      </c>
      <c r="M862" s="114">
        <v>2056824640</v>
      </c>
      <c r="N862" s="111"/>
      <c r="O862" s="114">
        <v>15000000</v>
      </c>
      <c r="P862" s="110"/>
      <c r="Q862" s="109">
        <f>M862+N862+O862+P862</f>
        <v>2071824640</v>
      </c>
      <c r="R862" s="14">
        <v>2056824640</v>
      </c>
      <c r="S862" s="5"/>
      <c r="T862" s="33">
        <v>15000000</v>
      </c>
      <c r="U862" s="5"/>
      <c r="V862" s="5"/>
      <c r="W862" s="28"/>
      <c r="X862" s="28">
        <f>N862-S862</f>
        <v>0</v>
      </c>
      <c r="Y862" s="28">
        <f>O862-T862</f>
        <v>0</v>
      </c>
      <c r="Z862" s="28">
        <f>P862-U862</f>
        <v>0</v>
      </c>
      <c r="AA862" s="4"/>
      <c r="AB862" s="4"/>
      <c r="AC862">
        <f>IF(AB862=G862,1,2)</f>
        <v>2</v>
      </c>
    </row>
    <row r="863" spans="1:30" customFormat="1" ht="69" hidden="1" customHeight="1" x14ac:dyDescent="0.4">
      <c r="A863" s="7" t="s">
        <v>2290</v>
      </c>
      <c r="B863" s="6">
        <v>841</v>
      </c>
      <c r="C863" s="7" t="s">
        <v>3506</v>
      </c>
      <c r="D863" s="7" t="s">
        <v>3630</v>
      </c>
      <c r="E863" s="7"/>
      <c r="F863" s="4"/>
      <c r="G863" s="7" t="s">
        <v>3631</v>
      </c>
      <c r="H863" s="7"/>
      <c r="I863" s="7"/>
      <c r="J863" s="7" t="s">
        <v>3632</v>
      </c>
      <c r="K863" s="7" t="s">
        <v>24</v>
      </c>
      <c r="L863" s="7" t="s">
        <v>2517</v>
      </c>
      <c r="M863" s="114">
        <v>4969395064</v>
      </c>
      <c r="N863" s="111"/>
      <c r="O863" s="109">
        <v>15000000</v>
      </c>
      <c r="P863" s="110"/>
      <c r="Q863" s="109">
        <f>M863+N863+O863+P863</f>
        <v>4984395064</v>
      </c>
      <c r="R863" s="5"/>
      <c r="S863" s="5"/>
      <c r="T863" s="72"/>
      <c r="U863" s="5"/>
      <c r="V863" s="5"/>
      <c r="W863" s="28">
        <v>4969395064</v>
      </c>
      <c r="X863" s="28">
        <f>N863-S863</f>
        <v>0</v>
      </c>
      <c r="Y863" s="36">
        <f>O863-T863</f>
        <v>15000000</v>
      </c>
      <c r="Z863" s="28">
        <f>P863-U863</f>
        <v>0</v>
      </c>
      <c r="AA863" s="16">
        <v>4969395064</v>
      </c>
      <c r="AB863" s="40"/>
      <c r="AC863" s="121">
        <f>IF(AB863=G863,1,2)</f>
        <v>2</v>
      </c>
      <c r="AD863" s="121"/>
    </row>
    <row r="864" spans="1:30" customFormat="1" ht="46.8" hidden="1" x14ac:dyDescent="0.3">
      <c r="A864" s="7" t="s">
        <v>2290</v>
      </c>
      <c r="B864" s="6">
        <v>842</v>
      </c>
      <c r="C864" s="7" t="s">
        <v>3506</v>
      </c>
      <c r="D864" s="7" t="s">
        <v>3633</v>
      </c>
      <c r="E864" s="5"/>
      <c r="F864" s="4"/>
      <c r="G864" s="7" t="s">
        <v>3634</v>
      </c>
      <c r="H864" s="5"/>
      <c r="I864" s="5"/>
      <c r="J864" s="21" t="s">
        <v>3635</v>
      </c>
      <c r="K864" s="7" t="s">
        <v>24</v>
      </c>
      <c r="L864" s="7" t="s">
        <v>3636</v>
      </c>
      <c r="M864" s="114">
        <v>899231594</v>
      </c>
      <c r="N864" s="111"/>
      <c r="O864" s="114">
        <v>15000000</v>
      </c>
      <c r="P864" s="110"/>
      <c r="Q864" s="109">
        <f>M864+N864+O864+P864</f>
        <v>914231594</v>
      </c>
      <c r="R864" s="14">
        <v>899231594</v>
      </c>
      <c r="S864" s="5"/>
      <c r="T864" s="33">
        <v>15000000</v>
      </c>
      <c r="U864" s="5"/>
      <c r="V864" s="5"/>
      <c r="W864" s="28"/>
      <c r="X864" s="28">
        <f>N864-S864</f>
        <v>0</v>
      </c>
      <c r="Y864" s="28">
        <f>O864-T864</f>
        <v>0</v>
      </c>
      <c r="Z864" s="28">
        <f>P864-U864</f>
        <v>0</v>
      </c>
      <c r="AA864" s="4"/>
      <c r="AB864" s="4"/>
      <c r="AC864">
        <f>IF(AB864=G864,1,2)</f>
        <v>2</v>
      </c>
    </row>
    <row r="865" spans="1:30" customFormat="1" ht="93.6" hidden="1" x14ac:dyDescent="0.4">
      <c r="A865" s="7" t="s">
        <v>2290</v>
      </c>
      <c r="B865" s="6">
        <v>844</v>
      </c>
      <c r="C865" s="7" t="s">
        <v>3506</v>
      </c>
      <c r="D865" s="7" t="s">
        <v>3641</v>
      </c>
      <c r="E865" s="7"/>
      <c r="F865" s="4"/>
      <c r="G865" s="7" t="s">
        <v>3642</v>
      </c>
      <c r="H865" s="7"/>
      <c r="I865" s="7" t="s">
        <v>40</v>
      </c>
      <c r="J865" s="7" t="s">
        <v>3643</v>
      </c>
      <c r="K865" s="7" t="s">
        <v>24</v>
      </c>
      <c r="L865" s="7" t="s">
        <v>3396</v>
      </c>
      <c r="M865" s="114">
        <v>10000000</v>
      </c>
      <c r="N865" s="111"/>
      <c r="O865" s="109">
        <v>15000000</v>
      </c>
      <c r="P865" s="110"/>
      <c r="Q865" s="109">
        <f>M865+N865+O865+P865</f>
        <v>25000000</v>
      </c>
      <c r="R865" s="5"/>
      <c r="S865" s="5"/>
      <c r="T865" s="72"/>
      <c r="U865" s="5"/>
      <c r="V865" s="5"/>
      <c r="W865" s="28">
        <v>10000000</v>
      </c>
      <c r="X865" s="28">
        <f>N865-S865</f>
        <v>0</v>
      </c>
      <c r="Y865" s="36">
        <f>O865-T865</f>
        <v>15000000</v>
      </c>
      <c r="Z865" s="28">
        <f>P865-U865</f>
        <v>0</v>
      </c>
      <c r="AA865" s="16">
        <v>10000000</v>
      </c>
      <c r="AB865" s="40"/>
      <c r="AC865" s="121">
        <f>IF(AB865=G865,1,2)</f>
        <v>2</v>
      </c>
      <c r="AD865" s="121"/>
    </row>
    <row r="866" spans="1:30" customFormat="1" ht="46.8" hidden="1" x14ac:dyDescent="0.3">
      <c r="A866" s="7" t="s">
        <v>2290</v>
      </c>
      <c r="B866" s="6">
        <v>845</v>
      </c>
      <c r="C866" s="7" t="s">
        <v>3506</v>
      </c>
      <c r="D866" s="7" t="s">
        <v>3644</v>
      </c>
      <c r="E866" s="7" t="s">
        <v>3645</v>
      </c>
      <c r="F866" s="4"/>
      <c r="G866" s="7" t="s">
        <v>3646</v>
      </c>
      <c r="H866" s="7" t="s">
        <v>3647</v>
      </c>
      <c r="I866" s="5"/>
      <c r="J866" s="21" t="s">
        <v>3648</v>
      </c>
      <c r="K866" s="7" t="s">
        <v>24</v>
      </c>
      <c r="L866" s="7" t="s">
        <v>3649</v>
      </c>
      <c r="M866" s="114">
        <v>1282649070</v>
      </c>
      <c r="N866" s="114">
        <v>622528830</v>
      </c>
      <c r="O866" s="114">
        <v>15000000</v>
      </c>
      <c r="P866" s="110"/>
      <c r="Q866" s="109">
        <f>M866+N866+O866+P866</f>
        <v>1920177900</v>
      </c>
      <c r="R866" s="14">
        <v>1282649070</v>
      </c>
      <c r="S866" s="14">
        <v>622528830</v>
      </c>
      <c r="T866" s="30">
        <v>15000000</v>
      </c>
      <c r="U866" s="5"/>
      <c r="V866" s="5"/>
      <c r="W866" s="28"/>
      <c r="X866" s="28">
        <f>N866-S866</f>
        <v>0</v>
      </c>
      <c r="Y866" s="28">
        <f>O866-T866</f>
        <v>0</v>
      </c>
      <c r="Z866" s="28">
        <f>P866-U866</f>
        <v>0</v>
      </c>
      <c r="AA866" s="4"/>
      <c r="AB866" s="4"/>
      <c r="AC866">
        <f>IF(AB866=G866,1,2)</f>
        <v>2</v>
      </c>
    </row>
    <row r="867" spans="1:30" customFormat="1" ht="46.8" hidden="1" x14ac:dyDescent="0.4">
      <c r="A867" s="7" t="s">
        <v>1601</v>
      </c>
      <c r="B867" s="6">
        <v>851</v>
      </c>
      <c r="C867" s="7" t="s">
        <v>3506</v>
      </c>
      <c r="D867" s="7" t="s">
        <v>3673</v>
      </c>
      <c r="E867" s="7"/>
      <c r="F867" s="4"/>
      <c r="G867" s="7" t="s">
        <v>3674</v>
      </c>
      <c r="H867" s="7"/>
      <c r="I867" s="7"/>
      <c r="J867" s="7" t="s">
        <v>3675</v>
      </c>
      <c r="K867" s="7" t="s">
        <v>24</v>
      </c>
      <c r="L867" s="7" t="s">
        <v>3676</v>
      </c>
      <c r="M867" s="114">
        <v>10000000</v>
      </c>
      <c r="N867" s="111"/>
      <c r="O867" s="109">
        <v>15000000</v>
      </c>
      <c r="P867" s="110"/>
      <c r="Q867" s="109">
        <f>M867+N867+O867+P867</f>
        <v>25000000</v>
      </c>
      <c r="R867" s="5"/>
      <c r="S867" s="5"/>
      <c r="T867" s="72"/>
      <c r="U867" s="5"/>
      <c r="V867" s="5"/>
      <c r="W867" s="28">
        <v>10000000</v>
      </c>
      <c r="X867" s="28">
        <f>N867-S867</f>
        <v>0</v>
      </c>
      <c r="Y867" s="36">
        <f>O867-T867</f>
        <v>15000000</v>
      </c>
      <c r="Z867" s="28">
        <f>P867-U867</f>
        <v>0</v>
      </c>
      <c r="AA867" s="16">
        <v>10000000</v>
      </c>
      <c r="AB867" s="40"/>
      <c r="AC867" s="121">
        <f>IF(AB867=G867,1,2)</f>
        <v>2</v>
      </c>
      <c r="AD867" s="121"/>
    </row>
    <row r="868" spans="1:30" customFormat="1" ht="62.4" hidden="1" x14ac:dyDescent="0.4">
      <c r="A868" s="7" t="s">
        <v>46</v>
      </c>
      <c r="B868" s="6">
        <v>852</v>
      </c>
      <c r="C868" s="7" t="s">
        <v>3506</v>
      </c>
      <c r="D868" s="7" t="s">
        <v>3677</v>
      </c>
      <c r="E868" s="7" t="s">
        <v>2869</v>
      </c>
      <c r="F868" s="4"/>
      <c r="G868" s="7"/>
      <c r="H868" s="7"/>
      <c r="I868" s="7" t="s">
        <v>3678</v>
      </c>
      <c r="J868" s="7" t="s">
        <v>3679</v>
      </c>
      <c r="K868" s="7" t="s">
        <v>24</v>
      </c>
      <c r="L868" s="7" t="s">
        <v>3396</v>
      </c>
      <c r="M868" s="114">
        <v>10000000</v>
      </c>
      <c r="N868" s="111"/>
      <c r="O868" s="109">
        <v>15000000</v>
      </c>
      <c r="P868" s="110"/>
      <c r="Q868" s="109">
        <f>M868+N868+O868+P868</f>
        <v>25000000</v>
      </c>
      <c r="R868" s="5"/>
      <c r="S868" s="5"/>
      <c r="T868" s="72"/>
      <c r="U868" s="5"/>
      <c r="V868" s="5"/>
      <c r="W868" s="28">
        <v>10000000</v>
      </c>
      <c r="X868" s="28">
        <f>N868-S868</f>
        <v>0</v>
      </c>
      <c r="Y868" s="36">
        <f>O868-T868</f>
        <v>15000000</v>
      </c>
      <c r="Z868" s="28">
        <f>P868-U868</f>
        <v>0</v>
      </c>
      <c r="AA868" s="16">
        <v>10000000</v>
      </c>
      <c r="AB868" s="40"/>
      <c r="AC868" s="121">
        <f>IF(AB868=G868,1,2)</f>
        <v>1</v>
      </c>
      <c r="AD868" s="121"/>
    </row>
    <row r="869" spans="1:30" customFormat="1" ht="46.8" hidden="1" x14ac:dyDescent="0.3">
      <c r="A869" s="7" t="s">
        <v>46</v>
      </c>
      <c r="B869" s="6">
        <v>855</v>
      </c>
      <c r="C869" s="7" t="s">
        <v>3506</v>
      </c>
      <c r="D869" s="7" t="s">
        <v>3690</v>
      </c>
      <c r="E869" s="5"/>
      <c r="F869" s="4"/>
      <c r="G869" s="7" t="s">
        <v>3691</v>
      </c>
      <c r="H869" s="5"/>
      <c r="I869" s="5"/>
      <c r="J869" s="21" t="s">
        <v>3692</v>
      </c>
      <c r="K869" s="7" t="s">
        <v>24</v>
      </c>
      <c r="L869" s="7" t="s">
        <v>3693</v>
      </c>
      <c r="M869" s="114">
        <v>7009180374</v>
      </c>
      <c r="N869" s="111"/>
      <c r="O869" s="114">
        <v>7500000</v>
      </c>
      <c r="P869" s="110"/>
      <c r="Q869" s="109">
        <f>M869+N869+O869+P869</f>
        <v>7016680374</v>
      </c>
      <c r="R869" s="14">
        <v>7009180374</v>
      </c>
      <c r="S869" s="5"/>
      <c r="T869" s="30">
        <v>7500000</v>
      </c>
      <c r="U869" s="5"/>
      <c r="V869" s="5"/>
      <c r="W869" s="28"/>
      <c r="X869" s="28">
        <f>N869-S869</f>
        <v>0</v>
      </c>
      <c r="Y869" s="28">
        <f>O869-T869</f>
        <v>0</v>
      </c>
      <c r="Z869" s="28">
        <f>P869-U869</f>
        <v>0</v>
      </c>
      <c r="AA869" s="4"/>
      <c r="AB869" s="4"/>
      <c r="AC869">
        <f>IF(AB869=G869,1,2)</f>
        <v>2</v>
      </c>
    </row>
    <row r="870" spans="1:30" customFormat="1" ht="42" hidden="1" x14ac:dyDescent="0.3">
      <c r="A870" s="7" t="s">
        <v>46</v>
      </c>
      <c r="B870" s="6">
        <v>856</v>
      </c>
      <c r="C870" s="7" t="s">
        <v>3506</v>
      </c>
      <c r="D870" s="7" t="s">
        <v>3694</v>
      </c>
      <c r="E870" s="5"/>
      <c r="F870" s="4"/>
      <c r="G870" s="7" t="s">
        <v>3695</v>
      </c>
      <c r="H870" s="5"/>
      <c r="I870" s="5"/>
      <c r="J870" s="21" t="s">
        <v>3696</v>
      </c>
      <c r="K870" s="7" t="s">
        <v>24</v>
      </c>
      <c r="L870" s="7" t="s">
        <v>3697</v>
      </c>
      <c r="M870" s="114">
        <v>59125532717</v>
      </c>
      <c r="N870" s="111"/>
      <c r="O870" s="114">
        <v>7500000</v>
      </c>
      <c r="P870" s="112">
        <v>0</v>
      </c>
      <c r="Q870" s="109">
        <f>M870+N870+O870+P870</f>
        <v>59133032717</v>
      </c>
      <c r="R870" s="14">
        <v>59125532717</v>
      </c>
      <c r="S870" s="5"/>
      <c r="T870" s="30">
        <v>7500000</v>
      </c>
      <c r="U870" s="5"/>
      <c r="V870" s="5"/>
      <c r="W870" s="28"/>
      <c r="X870" s="28">
        <f>N870-S870</f>
        <v>0</v>
      </c>
      <c r="Y870" s="28">
        <f>O870-T870</f>
        <v>0</v>
      </c>
      <c r="Z870" s="28">
        <f>P870-U870</f>
        <v>0</v>
      </c>
      <c r="AA870" s="4"/>
      <c r="AB870" s="4"/>
      <c r="AC870">
        <f>IF(AB870=G870,1,2)</f>
        <v>2</v>
      </c>
    </row>
    <row r="871" spans="1:30" customFormat="1" ht="46.8" hidden="1" x14ac:dyDescent="0.3">
      <c r="A871" s="7" t="s">
        <v>46</v>
      </c>
      <c r="B871" s="6">
        <v>858</v>
      </c>
      <c r="C871" s="7" t="s">
        <v>3506</v>
      </c>
      <c r="D871" s="7" t="s">
        <v>3703</v>
      </c>
      <c r="E871" s="7" t="s">
        <v>3704</v>
      </c>
      <c r="F871" s="4"/>
      <c r="G871" s="7" t="s">
        <v>3705</v>
      </c>
      <c r="H871" s="5"/>
      <c r="I871" s="5"/>
      <c r="J871" s="21" t="s">
        <v>3706</v>
      </c>
      <c r="K871" s="7" t="s">
        <v>24</v>
      </c>
      <c r="L871" s="7" t="s">
        <v>3616</v>
      </c>
      <c r="M871" s="114">
        <v>10000000</v>
      </c>
      <c r="N871" s="114">
        <v>361037124</v>
      </c>
      <c r="O871" s="114">
        <v>15000000</v>
      </c>
      <c r="P871" s="110"/>
      <c r="Q871" s="109">
        <f>M871+N871+O871+P871</f>
        <v>386037124</v>
      </c>
      <c r="R871" s="14">
        <v>10000000</v>
      </c>
      <c r="S871" s="14">
        <v>361037124</v>
      </c>
      <c r="T871" s="30">
        <v>15000000</v>
      </c>
      <c r="U871" s="5"/>
      <c r="V871" s="5"/>
      <c r="W871" s="28"/>
      <c r="X871" s="28">
        <f>N871-S871</f>
        <v>0</v>
      </c>
      <c r="Y871" s="28">
        <f>O871-T871</f>
        <v>0</v>
      </c>
      <c r="Z871" s="28">
        <f>P871-U871</f>
        <v>0</v>
      </c>
      <c r="AA871" s="4"/>
      <c r="AB871" s="4"/>
      <c r="AC871">
        <f>IF(AB871=G871,1,2)</f>
        <v>2</v>
      </c>
    </row>
    <row r="872" spans="1:30" customFormat="1" ht="42" hidden="1" x14ac:dyDescent="0.3">
      <c r="A872" s="7" t="s">
        <v>46</v>
      </c>
      <c r="B872" s="6">
        <v>860</v>
      </c>
      <c r="C872" s="7" t="s">
        <v>3506</v>
      </c>
      <c r="D872" s="7" t="s">
        <v>3712</v>
      </c>
      <c r="E872" s="5"/>
      <c r="F872" s="4"/>
      <c r="G872" s="7" t="s">
        <v>3713</v>
      </c>
      <c r="H872" s="5"/>
      <c r="I872" s="5"/>
      <c r="J872" s="21" t="s">
        <v>3714</v>
      </c>
      <c r="K872" s="7" t="s">
        <v>24</v>
      </c>
      <c r="L872" s="7" t="s">
        <v>3285</v>
      </c>
      <c r="M872" s="114">
        <v>5951052520</v>
      </c>
      <c r="N872" s="111"/>
      <c r="O872" s="114">
        <v>7500000</v>
      </c>
      <c r="P872" s="110"/>
      <c r="Q872" s="109">
        <f>M872+N872+O872+P872</f>
        <v>5958552520</v>
      </c>
      <c r="R872" s="14">
        <v>5951052520</v>
      </c>
      <c r="S872" s="5"/>
      <c r="T872" s="30">
        <v>7500000</v>
      </c>
      <c r="U872" s="5"/>
      <c r="V872" s="5"/>
      <c r="W872" s="28"/>
      <c r="X872" s="28">
        <f>N872-S872</f>
        <v>0</v>
      </c>
      <c r="Y872" s="28">
        <f>O872-T872</f>
        <v>0</v>
      </c>
      <c r="Z872" s="28">
        <f>P872-U872</f>
        <v>0</v>
      </c>
      <c r="AA872" s="4"/>
      <c r="AB872" s="4"/>
      <c r="AC872">
        <f>IF(AB872=G872,1,2)</f>
        <v>2</v>
      </c>
    </row>
    <row r="873" spans="1:30" customFormat="1" ht="46.8" hidden="1" x14ac:dyDescent="0.3">
      <c r="A873" s="7" t="s">
        <v>46</v>
      </c>
      <c r="B873" s="6">
        <v>861</v>
      </c>
      <c r="C873" s="7" t="s">
        <v>3506</v>
      </c>
      <c r="D873" s="7" t="s">
        <v>3715</v>
      </c>
      <c r="E873" s="5"/>
      <c r="F873" s="4"/>
      <c r="G873" s="7" t="s">
        <v>3716</v>
      </c>
      <c r="H873" s="5"/>
      <c r="I873" s="5"/>
      <c r="J873" s="21" t="s">
        <v>3717</v>
      </c>
      <c r="K873" s="7" t="s">
        <v>24</v>
      </c>
      <c r="L873" s="7" t="s">
        <v>3718</v>
      </c>
      <c r="M873" s="114">
        <v>1656027040</v>
      </c>
      <c r="N873" s="111"/>
      <c r="O873" s="114">
        <v>15000000</v>
      </c>
      <c r="P873" s="110"/>
      <c r="Q873" s="109">
        <f>M873+N873+O873+P873</f>
        <v>1671027040</v>
      </c>
      <c r="R873" s="14">
        <v>1656027040</v>
      </c>
      <c r="S873" s="5"/>
      <c r="T873" s="31">
        <v>15000000</v>
      </c>
      <c r="U873" s="5"/>
      <c r="V873" s="5"/>
      <c r="W873" s="28"/>
      <c r="X873" s="28">
        <f>N873-S873</f>
        <v>0</v>
      </c>
      <c r="Y873" s="28">
        <f>O873-T873</f>
        <v>0</v>
      </c>
      <c r="Z873" s="28">
        <f>P873-U873</f>
        <v>0</v>
      </c>
      <c r="AA873" s="4"/>
      <c r="AB873" s="4"/>
      <c r="AC873">
        <f>IF(AB873=G873,1,2)</f>
        <v>2</v>
      </c>
    </row>
    <row r="874" spans="1:30" customFormat="1" ht="46.8" hidden="1" x14ac:dyDescent="0.4">
      <c r="A874" s="7" t="s">
        <v>46</v>
      </c>
      <c r="B874" s="6">
        <v>863</v>
      </c>
      <c r="C874" s="7" t="s">
        <v>3506</v>
      </c>
      <c r="D874" s="7" t="s">
        <v>3722</v>
      </c>
      <c r="E874" s="7"/>
      <c r="F874" s="4"/>
      <c r="G874" s="7" t="s">
        <v>3723</v>
      </c>
      <c r="H874" s="7"/>
      <c r="I874" s="7"/>
      <c r="J874" s="7" t="s">
        <v>2566</v>
      </c>
      <c r="K874" s="7" t="s">
        <v>24</v>
      </c>
      <c r="L874" s="7" t="s">
        <v>3724</v>
      </c>
      <c r="M874" s="114">
        <v>3398093390</v>
      </c>
      <c r="N874" s="111"/>
      <c r="O874" s="109">
        <v>7500000</v>
      </c>
      <c r="P874" s="110"/>
      <c r="Q874" s="109">
        <f>M874+N874+O874+P874</f>
        <v>3405593390</v>
      </c>
      <c r="R874" s="5"/>
      <c r="S874" s="5"/>
      <c r="T874" s="72"/>
      <c r="U874" s="5"/>
      <c r="V874" s="5"/>
      <c r="W874" s="28">
        <v>3398093390</v>
      </c>
      <c r="X874" s="28">
        <f>N874-S874</f>
        <v>0</v>
      </c>
      <c r="Y874" s="36">
        <f>O874-T874</f>
        <v>7500000</v>
      </c>
      <c r="Z874" s="28">
        <f>P874-U874</f>
        <v>0</v>
      </c>
      <c r="AA874" s="16">
        <v>3398093390</v>
      </c>
      <c r="AB874" s="40"/>
      <c r="AC874" s="121">
        <f>IF(AB874=G874,1,2)</f>
        <v>2</v>
      </c>
      <c r="AD874" s="121"/>
    </row>
    <row r="875" spans="1:30" customFormat="1" ht="62.4" hidden="1" x14ac:dyDescent="0.3">
      <c r="A875" s="7" t="s">
        <v>18</v>
      </c>
      <c r="B875" s="6">
        <v>866</v>
      </c>
      <c r="C875" s="7" t="s">
        <v>3725</v>
      </c>
      <c r="D875" s="7" t="s">
        <v>3739</v>
      </c>
      <c r="E875" s="7" t="s">
        <v>1138</v>
      </c>
      <c r="F875" s="4"/>
      <c r="G875" s="7" t="s">
        <v>3740</v>
      </c>
      <c r="H875" s="7" t="s">
        <v>3741</v>
      </c>
      <c r="I875" s="5"/>
      <c r="J875" s="21" t="s">
        <v>3742</v>
      </c>
      <c r="K875" s="7" t="s">
        <v>24</v>
      </c>
      <c r="L875" s="7" t="s">
        <v>3743</v>
      </c>
      <c r="M875" s="114">
        <v>9156375016</v>
      </c>
      <c r="N875" s="109">
        <v>362103231</v>
      </c>
      <c r="O875" s="114">
        <v>15000000</v>
      </c>
      <c r="P875" s="110"/>
      <c r="Q875" s="109">
        <f>M875+N875+O875+P875</f>
        <v>9533478247</v>
      </c>
      <c r="R875" s="14">
        <v>9156375016</v>
      </c>
      <c r="S875" s="14">
        <v>362103231</v>
      </c>
      <c r="T875" s="30">
        <v>15000000</v>
      </c>
      <c r="U875" s="5"/>
      <c r="V875" s="5"/>
      <c r="W875" s="28"/>
      <c r="X875" s="28">
        <f>N875-S875</f>
        <v>0</v>
      </c>
      <c r="Y875" s="28">
        <f>O875-T875</f>
        <v>0</v>
      </c>
      <c r="Z875" s="28">
        <f>P875-U875</f>
        <v>0</v>
      </c>
      <c r="AA875" s="4"/>
      <c r="AB875" s="4"/>
      <c r="AC875">
        <f>IF(AB875=G875,1,2)</f>
        <v>2</v>
      </c>
    </row>
    <row r="876" spans="1:30" customFormat="1" ht="42" hidden="1" x14ac:dyDescent="0.3">
      <c r="A876" s="7" t="s">
        <v>18</v>
      </c>
      <c r="B876" s="6">
        <v>867</v>
      </c>
      <c r="C876" s="7" t="s">
        <v>3725</v>
      </c>
      <c r="D876" s="7" t="s">
        <v>3744</v>
      </c>
      <c r="E876" s="5"/>
      <c r="F876" s="4"/>
      <c r="G876" s="7" t="s">
        <v>3745</v>
      </c>
      <c r="H876" s="7" t="s">
        <v>3746</v>
      </c>
      <c r="I876" s="5"/>
      <c r="J876" s="21" t="s">
        <v>3747</v>
      </c>
      <c r="K876" s="7" t="s">
        <v>24</v>
      </c>
      <c r="L876" s="7" t="s">
        <v>1908</v>
      </c>
      <c r="M876" s="114">
        <v>5200666300</v>
      </c>
      <c r="N876" s="111"/>
      <c r="O876" s="114">
        <v>15000000</v>
      </c>
      <c r="P876" s="110"/>
      <c r="Q876" s="109">
        <f>M876+N876+O876+P876</f>
        <v>5215666300</v>
      </c>
      <c r="R876" s="36">
        <v>5200666300</v>
      </c>
      <c r="S876" s="5"/>
      <c r="T876" s="30">
        <v>15000000</v>
      </c>
      <c r="U876" s="5"/>
      <c r="V876" s="5"/>
      <c r="W876" s="28"/>
      <c r="X876" s="28">
        <f>N876-S876</f>
        <v>0</v>
      </c>
      <c r="Y876" s="28">
        <f>O876-T876</f>
        <v>0</v>
      </c>
      <c r="Z876" s="28">
        <f>P876-U876</f>
        <v>0</v>
      </c>
      <c r="AA876" s="4"/>
      <c r="AB876" s="4"/>
      <c r="AC876">
        <f>IF(AB876=G876,1,2)</f>
        <v>2</v>
      </c>
    </row>
    <row r="877" spans="1:30" customFormat="1" ht="63" hidden="1" x14ac:dyDescent="0.3">
      <c r="A877" s="7" t="s">
        <v>1601</v>
      </c>
      <c r="B877" s="6">
        <v>869</v>
      </c>
      <c r="C877" s="7" t="s">
        <v>3725</v>
      </c>
      <c r="D877" s="7" t="s">
        <v>3753</v>
      </c>
      <c r="E877" s="5"/>
      <c r="F877" s="4"/>
      <c r="G877" s="7" t="s">
        <v>3754</v>
      </c>
      <c r="H877" s="7" t="s">
        <v>3755</v>
      </c>
      <c r="I877" s="5"/>
      <c r="J877" s="21" t="s">
        <v>3756</v>
      </c>
      <c r="K877" s="7" t="s">
        <v>24</v>
      </c>
      <c r="L877" s="7" t="s">
        <v>3757</v>
      </c>
      <c r="M877" s="114">
        <v>2814083592</v>
      </c>
      <c r="N877" s="111"/>
      <c r="O877" s="114">
        <v>15000000</v>
      </c>
      <c r="P877" s="110"/>
      <c r="Q877" s="109">
        <f>M877+N877+O877+P877</f>
        <v>2829083592</v>
      </c>
      <c r="R877" s="14">
        <v>2814083592</v>
      </c>
      <c r="S877" s="5"/>
      <c r="T877" s="30">
        <v>15000000</v>
      </c>
      <c r="U877" s="5"/>
      <c r="V877" s="5"/>
      <c r="W877" s="28"/>
      <c r="X877" s="28">
        <f>N877-S877</f>
        <v>0</v>
      </c>
      <c r="Y877" s="28">
        <f>O877-T877</f>
        <v>0</v>
      </c>
      <c r="Z877" s="28">
        <f>P877-U877</f>
        <v>0</v>
      </c>
      <c r="AA877" s="4"/>
      <c r="AB877" s="4"/>
      <c r="AC877">
        <f>IF(AB877=G877,1,2)</f>
        <v>2</v>
      </c>
    </row>
    <row r="878" spans="1:30" customFormat="1" ht="78" hidden="1" x14ac:dyDescent="0.4">
      <c r="A878" s="7" t="s">
        <v>1601</v>
      </c>
      <c r="B878" s="6">
        <v>871</v>
      </c>
      <c r="C878" s="7" t="s">
        <v>3725</v>
      </c>
      <c r="D878" s="7" t="s">
        <v>3764</v>
      </c>
      <c r="E878" s="7" t="s">
        <v>3765</v>
      </c>
      <c r="F878" s="4"/>
      <c r="G878" s="7"/>
      <c r="H878" s="7" t="s">
        <v>3766</v>
      </c>
      <c r="I878" s="7" t="s">
        <v>3767</v>
      </c>
      <c r="J878" s="7" t="s">
        <v>3768</v>
      </c>
      <c r="K878" s="7" t="s">
        <v>24</v>
      </c>
      <c r="L878" s="7" t="s">
        <v>3769</v>
      </c>
      <c r="M878" s="114">
        <v>8297551400</v>
      </c>
      <c r="N878" s="111"/>
      <c r="O878" s="109">
        <v>15000000</v>
      </c>
      <c r="P878" s="110"/>
      <c r="Q878" s="109">
        <f>M878+N878+O878+P878</f>
        <v>8312551400</v>
      </c>
      <c r="R878" s="14">
        <v>8297551400</v>
      </c>
      <c r="S878" s="5"/>
      <c r="T878" s="72"/>
      <c r="U878" s="5"/>
      <c r="V878" s="16">
        <v>-8297551400</v>
      </c>
      <c r="W878" s="28"/>
      <c r="X878" s="28">
        <f>N878-S878</f>
        <v>0</v>
      </c>
      <c r="Y878" s="36">
        <f>O878-T878</f>
        <v>15000000</v>
      </c>
      <c r="Z878" s="28">
        <f>P878-U878</f>
        <v>0</v>
      </c>
      <c r="AA878" s="4"/>
      <c r="AB878" s="40"/>
      <c r="AC878" s="121">
        <f>IF(AB878=G878,1,2)</f>
        <v>1</v>
      </c>
      <c r="AD878" s="121"/>
    </row>
    <row r="879" spans="1:30" customFormat="1" ht="42" hidden="1" x14ac:dyDescent="0.3">
      <c r="A879" s="7" t="s">
        <v>1601</v>
      </c>
      <c r="B879" s="6">
        <v>874</v>
      </c>
      <c r="C879" s="7" t="s">
        <v>3775</v>
      </c>
      <c r="D879" s="7" t="s">
        <v>3779</v>
      </c>
      <c r="E879" s="7" t="s">
        <v>3777</v>
      </c>
      <c r="F879" s="5"/>
      <c r="G879" s="7" t="s">
        <v>3780</v>
      </c>
      <c r="H879" s="5"/>
      <c r="I879" s="7" t="s">
        <v>40</v>
      </c>
      <c r="J879" s="21" t="s">
        <v>3781</v>
      </c>
      <c r="K879" s="7" t="s">
        <v>24</v>
      </c>
      <c r="L879" s="7" t="s">
        <v>3769</v>
      </c>
      <c r="M879" s="114">
        <v>2704930000</v>
      </c>
      <c r="N879" s="111"/>
      <c r="O879" s="114">
        <v>15000000</v>
      </c>
      <c r="P879" s="111"/>
      <c r="Q879" s="109">
        <f>M879+N879+O879+P879</f>
        <v>2719930000</v>
      </c>
      <c r="R879" s="14">
        <v>2704930000</v>
      </c>
      <c r="S879" s="5"/>
      <c r="T879" s="31">
        <v>15000000</v>
      </c>
      <c r="U879" s="5"/>
      <c r="V879" s="5"/>
      <c r="W879" s="28"/>
      <c r="X879" s="28">
        <f>N879-S879</f>
        <v>0</v>
      </c>
      <c r="Y879" s="28">
        <f>O879-T879</f>
        <v>0</v>
      </c>
      <c r="Z879" s="28">
        <f>P879-U879</f>
        <v>0</v>
      </c>
      <c r="AA879" s="4"/>
      <c r="AB879" s="4"/>
      <c r="AC879">
        <f>IF(AB879=G879,1,2)</f>
        <v>2</v>
      </c>
    </row>
    <row r="880" spans="1:30" customFormat="1" ht="78" hidden="1" x14ac:dyDescent="0.3">
      <c r="A880" s="7" t="s">
        <v>18</v>
      </c>
      <c r="B880" s="6">
        <v>876</v>
      </c>
      <c r="C880" s="7" t="s">
        <v>3784</v>
      </c>
      <c r="D880" s="7" t="s">
        <v>3785</v>
      </c>
      <c r="E880" s="5"/>
      <c r="F880" s="5"/>
      <c r="G880" s="7" t="s">
        <v>3786</v>
      </c>
      <c r="H880" s="5"/>
      <c r="I880" s="5"/>
      <c r="J880" s="21" t="s">
        <v>3787</v>
      </c>
      <c r="K880" s="7" t="s">
        <v>24</v>
      </c>
      <c r="L880" s="7" t="s">
        <v>2943</v>
      </c>
      <c r="M880" s="114">
        <v>668410816</v>
      </c>
      <c r="N880" s="111"/>
      <c r="O880" s="114">
        <v>15000000</v>
      </c>
      <c r="P880" s="111"/>
      <c r="Q880" s="109">
        <f>M880+N880+O880+P880</f>
        <v>683410816</v>
      </c>
      <c r="R880" s="14">
        <v>668410816</v>
      </c>
      <c r="S880" s="5"/>
      <c r="T880" s="30">
        <v>15000000</v>
      </c>
      <c r="U880" s="5"/>
      <c r="V880" s="5"/>
      <c r="W880" s="28"/>
      <c r="X880" s="28">
        <f>N880-S880</f>
        <v>0</v>
      </c>
      <c r="Y880" s="28">
        <f>O880-T880</f>
        <v>0</v>
      </c>
      <c r="Z880" s="28">
        <f>P880-U880</f>
        <v>0</v>
      </c>
      <c r="AA880" s="4"/>
      <c r="AB880" s="4"/>
      <c r="AC880">
        <f>IF(AB880=G880,1,2)</f>
        <v>2</v>
      </c>
    </row>
    <row r="881" spans="1:30" customFormat="1" ht="78" hidden="1" x14ac:dyDescent="0.4">
      <c r="A881" s="40" t="s">
        <v>18</v>
      </c>
      <c r="B881" s="6">
        <v>877</v>
      </c>
      <c r="C881" s="7" t="s">
        <v>3784</v>
      </c>
      <c r="D881" s="7" t="s">
        <v>3788</v>
      </c>
      <c r="E881" s="4"/>
      <c r="F881" s="4"/>
      <c r="G881" s="7" t="s">
        <v>3789</v>
      </c>
      <c r="H881" s="4"/>
      <c r="I881" s="4"/>
      <c r="J881" s="47" t="s">
        <v>3790</v>
      </c>
      <c r="K881" s="40" t="s">
        <v>24</v>
      </c>
      <c r="L881" s="40" t="s">
        <v>2943</v>
      </c>
      <c r="M881" s="118">
        <v>930126309</v>
      </c>
      <c r="N881" s="110"/>
      <c r="O881" s="118">
        <v>7500000</v>
      </c>
      <c r="P881" s="110"/>
      <c r="Q881" s="109">
        <f>M881+N881+O881+P881</f>
        <v>937626309</v>
      </c>
      <c r="R881" s="14">
        <v>930126309</v>
      </c>
      <c r="S881" s="5"/>
      <c r="T881" s="31">
        <v>7500000</v>
      </c>
      <c r="U881" s="4"/>
      <c r="V881" s="4"/>
      <c r="W881" s="28"/>
      <c r="X881" s="28">
        <f>N881-S881</f>
        <v>0</v>
      </c>
      <c r="Y881" s="28">
        <f>O881-T881</f>
        <v>0</v>
      </c>
      <c r="Z881" s="28">
        <f>P881-U881</f>
        <v>0</v>
      </c>
      <c r="AA881" s="4"/>
      <c r="AB881" s="4"/>
      <c r="AC881">
        <f>IF(AB881=G881,1,2)</f>
        <v>2</v>
      </c>
    </row>
    <row r="882" spans="1:30" customFormat="1" ht="78" hidden="1" x14ac:dyDescent="0.3">
      <c r="A882" s="7" t="s">
        <v>18</v>
      </c>
      <c r="B882" s="6">
        <v>878</v>
      </c>
      <c r="C882" s="7" t="s">
        <v>3784</v>
      </c>
      <c r="D882" s="7" t="s">
        <v>3791</v>
      </c>
      <c r="E882" s="7"/>
      <c r="F882" s="5"/>
      <c r="G882" s="7" t="s">
        <v>3792</v>
      </c>
      <c r="H882" s="7"/>
      <c r="I882" s="7"/>
      <c r="J882" s="40" t="s">
        <v>3793</v>
      </c>
      <c r="K882" s="7" t="s">
        <v>24</v>
      </c>
      <c r="L882" s="7" t="s">
        <v>2826</v>
      </c>
      <c r="M882" s="114">
        <v>250126298</v>
      </c>
      <c r="N882" s="111"/>
      <c r="O882" s="109">
        <v>15000000</v>
      </c>
      <c r="P882" s="111"/>
      <c r="Q882" s="109">
        <f>M882+N882+O882+P882</f>
        <v>265126298</v>
      </c>
      <c r="R882" s="14">
        <v>250126298</v>
      </c>
      <c r="S882" s="5"/>
      <c r="T882" s="72"/>
      <c r="U882" s="5"/>
      <c r="V882" s="5"/>
      <c r="W882" s="28"/>
      <c r="X882" s="28">
        <f>N882-S882</f>
        <v>0</v>
      </c>
      <c r="Y882" s="36">
        <f>O882-T882</f>
        <v>15000000</v>
      </c>
      <c r="Z882" s="28">
        <f>P882-U882</f>
        <v>0</v>
      </c>
      <c r="AA882" s="4"/>
      <c r="AB882" s="40"/>
      <c r="AC882" s="121">
        <f>IF(AB882=G882,1,2)</f>
        <v>2</v>
      </c>
      <c r="AD882" s="121"/>
    </row>
    <row r="883" spans="1:30" customFormat="1" ht="93.6" hidden="1" x14ac:dyDescent="0.3">
      <c r="A883" s="7" t="s">
        <v>2290</v>
      </c>
      <c r="B883" s="6">
        <v>879</v>
      </c>
      <c r="C883" s="7" t="s">
        <v>2864</v>
      </c>
      <c r="D883" s="7" t="s">
        <v>3641</v>
      </c>
      <c r="E883" s="5"/>
      <c r="F883" s="4"/>
      <c r="G883" s="7" t="s">
        <v>3794</v>
      </c>
      <c r="H883" s="5"/>
      <c r="I883" s="7" t="s">
        <v>40</v>
      </c>
      <c r="J883" s="21" t="s">
        <v>3795</v>
      </c>
      <c r="K883" s="7" t="s">
        <v>24</v>
      </c>
      <c r="L883" s="7" t="s">
        <v>3396</v>
      </c>
      <c r="M883" s="114">
        <v>493278040</v>
      </c>
      <c r="N883" s="114"/>
      <c r="O883" s="111"/>
      <c r="P883" s="110"/>
      <c r="Q883" s="109">
        <f>M883+N883+O883+P883</f>
        <v>493278040</v>
      </c>
      <c r="R883" s="28">
        <v>493278040</v>
      </c>
      <c r="S883" s="5"/>
      <c r="T883" s="31"/>
      <c r="U883" s="5"/>
      <c r="V883" s="5"/>
      <c r="W883" s="28"/>
      <c r="X883" s="28">
        <f>N883-S883</f>
        <v>0</v>
      </c>
      <c r="Y883" s="28">
        <f>O883-T883</f>
        <v>0</v>
      </c>
      <c r="Z883" s="28">
        <f>P883-U883</f>
        <v>0</v>
      </c>
      <c r="AA883" s="4"/>
      <c r="AB883" s="4"/>
      <c r="AC883">
        <f>IF(AB883=G883,1,2)</f>
        <v>2</v>
      </c>
    </row>
    <row r="884" spans="1:30" customFormat="1" ht="93.6" hidden="1" x14ac:dyDescent="0.3">
      <c r="A884" s="7" t="s">
        <v>18</v>
      </c>
      <c r="B884" s="6">
        <v>880</v>
      </c>
      <c r="C884" s="7" t="s">
        <v>3796</v>
      </c>
      <c r="D884" s="5"/>
      <c r="E884" s="5"/>
      <c r="F884" s="4"/>
      <c r="G884" s="7" t="s">
        <v>3797</v>
      </c>
      <c r="H884" s="5"/>
      <c r="I884" s="5"/>
      <c r="J884" s="21" t="s">
        <v>3798</v>
      </c>
      <c r="K884" s="7" t="s">
        <v>24</v>
      </c>
      <c r="L884" s="7" t="s">
        <v>3396</v>
      </c>
      <c r="M884" s="114">
        <v>564348340</v>
      </c>
      <c r="N884" s="111"/>
      <c r="O884" s="114">
        <v>15000000</v>
      </c>
      <c r="P884" s="110"/>
      <c r="Q884" s="109">
        <f>M884+N884+O884+P884</f>
        <v>579348340</v>
      </c>
      <c r="R884" s="3">
        <v>564348340</v>
      </c>
      <c r="S884" s="5"/>
      <c r="T884" s="31">
        <v>15000000</v>
      </c>
      <c r="U884" s="5"/>
      <c r="V884" s="5"/>
      <c r="W884" s="28"/>
      <c r="X884" s="28">
        <f>N884-S884</f>
        <v>0</v>
      </c>
      <c r="Y884" s="28">
        <f>O884-T884</f>
        <v>0</v>
      </c>
      <c r="Z884" s="28">
        <f>P884-U884</f>
        <v>0</v>
      </c>
      <c r="AA884" s="4"/>
      <c r="AB884" s="4"/>
      <c r="AC884">
        <f>IF(AB884=G884,1,2)</f>
        <v>2</v>
      </c>
    </row>
    <row r="885" spans="1:30" customFormat="1" ht="93.6" hidden="1" x14ac:dyDescent="0.3">
      <c r="A885" s="7" t="s">
        <v>46</v>
      </c>
      <c r="B885" s="6">
        <v>881</v>
      </c>
      <c r="C885" s="7" t="s">
        <v>3796</v>
      </c>
      <c r="D885" s="5"/>
      <c r="E885" s="5"/>
      <c r="F885" s="4"/>
      <c r="G885" s="7" t="s">
        <v>3799</v>
      </c>
      <c r="H885" s="5"/>
      <c r="I885" s="5"/>
      <c r="J885" s="21" t="s">
        <v>3800</v>
      </c>
      <c r="K885" s="7" t="s">
        <v>24</v>
      </c>
      <c r="L885" s="7" t="s">
        <v>3396</v>
      </c>
      <c r="M885" s="114">
        <v>589933648</v>
      </c>
      <c r="N885" s="111"/>
      <c r="O885" s="114">
        <v>15000000</v>
      </c>
      <c r="P885" s="110"/>
      <c r="Q885" s="109">
        <f>M885+N885+O885+P885</f>
        <v>604933648</v>
      </c>
      <c r="R885" s="3">
        <v>589933648</v>
      </c>
      <c r="S885" s="5"/>
      <c r="T885" s="31">
        <v>15000000</v>
      </c>
      <c r="U885" s="5"/>
      <c r="V885" s="5"/>
      <c r="W885" s="28"/>
      <c r="X885" s="28">
        <f>N885-S885</f>
        <v>0</v>
      </c>
      <c r="Y885" s="28">
        <f>O885-T885</f>
        <v>0</v>
      </c>
      <c r="Z885" s="28">
        <f>P885-U885</f>
        <v>0</v>
      </c>
      <c r="AA885" s="4"/>
      <c r="AB885" s="4"/>
      <c r="AC885">
        <f>IF(AB885=G885,1,2)</f>
        <v>2</v>
      </c>
    </row>
    <row r="886" spans="1:30" customFormat="1" ht="93.6" hidden="1" x14ac:dyDescent="0.3">
      <c r="A886" s="7" t="s">
        <v>46</v>
      </c>
      <c r="B886" s="6">
        <v>882</v>
      </c>
      <c r="C886" s="7" t="s">
        <v>3796</v>
      </c>
      <c r="D886" s="5"/>
      <c r="E886" s="5"/>
      <c r="F886" s="4"/>
      <c r="G886" s="7" t="s">
        <v>3801</v>
      </c>
      <c r="H886" s="5"/>
      <c r="I886" s="5"/>
      <c r="J886" s="21" t="s">
        <v>3802</v>
      </c>
      <c r="K886" s="7" t="s">
        <v>24</v>
      </c>
      <c r="L886" s="7" t="s">
        <v>3396</v>
      </c>
      <c r="M886" s="114">
        <v>396622432</v>
      </c>
      <c r="N886" s="111"/>
      <c r="O886" s="114">
        <v>15000000</v>
      </c>
      <c r="P886" s="110"/>
      <c r="Q886" s="109">
        <f>M886+N886+O886+P886</f>
        <v>411622432</v>
      </c>
      <c r="R886" s="3">
        <v>396622432</v>
      </c>
      <c r="S886" s="5"/>
      <c r="T886" s="30">
        <v>15000000</v>
      </c>
      <c r="U886" s="5"/>
      <c r="V886" s="5"/>
      <c r="W886" s="28"/>
      <c r="X886" s="28">
        <f>N886-S886</f>
        <v>0</v>
      </c>
      <c r="Y886" s="28">
        <f>O886-T886</f>
        <v>0</v>
      </c>
      <c r="Z886" s="28">
        <f>P886-U886</f>
        <v>0</v>
      </c>
      <c r="AA886" s="4"/>
      <c r="AB886" s="4"/>
      <c r="AC886">
        <f>IF(AB886=G886,1,2)</f>
        <v>2</v>
      </c>
    </row>
    <row r="887" spans="1:30" customFormat="1" ht="42" hidden="1" x14ac:dyDescent="0.3">
      <c r="A887" s="7" t="s">
        <v>46</v>
      </c>
      <c r="B887" s="6">
        <v>883</v>
      </c>
      <c r="C887" s="7" t="s">
        <v>3803</v>
      </c>
      <c r="D887" s="5"/>
      <c r="E887" s="5"/>
      <c r="F887" s="4"/>
      <c r="G887" s="7" t="s">
        <v>3804</v>
      </c>
      <c r="H887" s="5"/>
      <c r="I887" s="5"/>
      <c r="J887" s="21" t="s">
        <v>3805</v>
      </c>
      <c r="K887" s="7" t="s">
        <v>24</v>
      </c>
      <c r="L887" s="7" t="s">
        <v>3806</v>
      </c>
      <c r="M887" s="114">
        <v>149778000</v>
      </c>
      <c r="N887" s="111"/>
      <c r="O887" s="111"/>
      <c r="P887" s="110"/>
      <c r="Q887" s="109">
        <f>M887+N887+O887+P887</f>
        <v>149778000</v>
      </c>
      <c r="R887" s="5"/>
      <c r="S887" s="5"/>
      <c r="T887" s="31"/>
      <c r="U887" s="5"/>
      <c r="V887" s="5"/>
      <c r="W887" s="28">
        <v>149778000</v>
      </c>
      <c r="X887" s="28">
        <f>N887-S887</f>
        <v>0</v>
      </c>
      <c r="Y887" s="28">
        <f>O887-T887</f>
        <v>0</v>
      </c>
      <c r="Z887" s="28">
        <f>P887-U887</f>
        <v>0</v>
      </c>
      <c r="AA887" s="4"/>
      <c r="AB887" s="4"/>
      <c r="AC887">
        <f>IF(AB887=G887,1,2)</f>
        <v>2</v>
      </c>
    </row>
    <row r="888" spans="1:30" customFormat="1" ht="42" hidden="1" x14ac:dyDescent="0.3">
      <c r="A888" s="7" t="s">
        <v>46</v>
      </c>
      <c r="B888" s="6">
        <v>884</v>
      </c>
      <c r="C888" s="7" t="s">
        <v>3803</v>
      </c>
      <c r="D888" s="5"/>
      <c r="E888" s="5"/>
      <c r="F888" s="4"/>
      <c r="G888" s="7" t="s">
        <v>594</v>
      </c>
      <c r="H888" s="5"/>
      <c r="I888" s="5"/>
      <c r="J888" s="21" t="s">
        <v>3805</v>
      </c>
      <c r="K888" s="7" t="s">
        <v>24</v>
      </c>
      <c r="L888" s="7" t="s">
        <v>3807</v>
      </c>
      <c r="M888" s="114">
        <v>95035000</v>
      </c>
      <c r="N888" s="111"/>
      <c r="O888" s="111"/>
      <c r="P888" s="110"/>
      <c r="Q888" s="109">
        <f>M888+N888+O888+P888</f>
        <v>95035000</v>
      </c>
      <c r="R888" s="5"/>
      <c r="S888" s="5"/>
      <c r="T888" s="31"/>
      <c r="U888" s="5"/>
      <c r="V888" s="5"/>
      <c r="W888" s="28">
        <v>95035000</v>
      </c>
      <c r="X888" s="28">
        <f>N888-S888</f>
        <v>0</v>
      </c>
      <c r="Y888" s="28">
        <f>O888-T888</f>
        <v>0</v>
      </c>
      <c r="Z888" s="28">
        <f>P888-U888</f>
        <v>0</v>
      </c>
      <c r="AA888" s="4"/>
      <c r="AB888" s="4"/>
      <c r="AC888">
        <f>IF(AB888=G888,1,2)</f>
        <v>2</v>
      </c>
    </row>
  </sheetData>
  <autoFilter ref="A4:AS888" xr:uid="{D3F67B45-2CDF-43A5-A8CA-E88B6367DD9C}">
    <filterColumn colId="25">
      <filters>
        <filter val="10.000.000"/>
        <filter val="108.000.000"/>
        <filter val="132.000.000"/>
        <filter val="144.000.000"/>
        <filter val="18.000.000"/>
        <filter val="24.000.000"/>
        <filter val="30.000.000"/>
        <filter val="42.000.000"/>
        <filter val="48.000.000"/>
        <filter val="54.000.000"/>
        <filter val="56.000.000"/>
        <filter val="60.000.000"/>
        <filter val="72.000.000"/>
        <filter val="8.000.000"/>
        <filter val="84.000.000"/>
        <filter val="96.000.000"/>
      </filters>
    </filterColumn>
  </autoFilter>
  <sortState xmlns:xlrd2="http://schemas.microsoft.com/office/spreadsheetml/2017/richdata2" ref="A4:AD897">
    <sortCondition ref="F1:F897"/>
  </sortState>
  <mergeCells count="16">
    <mergeCell ref="R1:V1"/>
    <mergeCell ref="W1:Z1"/>
    <mergeCell ref="AA1:AA2"/>
    <mergeCell ref="AB1:AB2"/>
    <mergeCell ref="H1:H2"/>
    <mergeCell ref="I1:I2"/>
    <mergeCell ref="J1:J2"/>
    <mergeCell ref="K1:K2"/>
    <mergeCell ref="L1:L2"/>
    <mergeCell ref="M1:Q1"/>
    <mergeCell ref="A1:A2"/>
    <mergeCell ref="B1:B2"/>
    <mergeCell ref="C1:C2"/>
    <mergeCell ref="E1:E2"/>
    <mergeCell ref="F1:F2"/>
    <mergeCell ref="G1:G2"/>
  </mergeCells>
  <pageMargins left="0.17" right="0.17" top="0.17" bottom="0.17" header="0.17" footer="0.17"/>
  <pageSetup paperSize="9" scale="5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F3B7-B75B-483D-A843-CA266E00F847}">
  <dimension ref="A1:AB926"/>
  <sheetViews>
    <sheetView topLeftCell="B1" zoomScale="70" zoomScaleNormal="70" workbookViewId="0">
      <pane xSplit="8" ySplit="13" topLeftCell="O791" activePane="bottomRight" state="frozen"/>
      <selection activeCell="B1" sqref="B1"/>
      <selection pane="topRight" activeCell="J1" sqref="J1"/>
      <selection pane="bottomLeft" activeCell="B14" sqref="B14"/>
      <selection pane="bottomRight" activeCell="AE792" sqref="AE792"/>
    </sheetView>
  </sheetViews>
  <sheetFormatPr defaultRowHeight="15.6" x14ac:dyDescent="0.3"/>
  <cols>
    <col min="1" max="1" width="8.88671875" hidden="1" customWidth="1"/>
    <col min="2" max="2" width="8.88671875" customWidth="1"/>
    <col min="3" max="3" width="18.21875" customWidth="1"/>
    <col min="4" max="4" width="18.21875" hidden="1" customWidth="1"/>
    <col min="5" max="5" width="17.5546875" hidden="1" customWidth="1"/>
    <col min="6" max="6" width="17" customWidth="1"/>
    <col min="7" max="8" width="18.21875" hidden="1" customWidth="1"/>
    <col min="9" max="9" width="35" style="60" customWidth="1"/>
    <col min="10" max="10" width="11.77734375" customWidth="1"/>
    <col min="11" max="11" width="38.21875" customWidth="1"/>
    <col min="12" max="14" width="23.44140625" hidden="1" customWidth="1"/>
    <col min="15" max="15" width="20.77734375" style="61" customWidth="1"/>
    <col min="16" max="16" width="23.44140625" style="61" customWidth="1"/>
    <col min="17" max="17" width="23.44140625" style="61" hidden="1" customWidth="1"/>
    <col min="18" max="19" width="23.44140625" style="62" hidden="1" customWidth="1"/>
    <col min="20" max="20" width="23.44140625" style="64" hidden="1" customWidth="1"/>
    <col min="21" max="21" width="23.44140625" style="61" customWidth="1"/>
    <col min="22" max="22" width="19.33203125" style="61" hidden="1" customWidth="1"/>
    <col min="23" max="25" width="23.44140625" style="61" hidden="1" customWidth="1"/>
    <col min="26" max="26" width="23.44140625" style="61" customWidth="1"/>
    <col min="27" max="27" width="23.44140625" hidden="1" customWidth="1"/>
    <col min="28" max="28" width="16.88671875" style="77" customWidth="1"/>
  </cols>
  <sheetData>
    <row r="1" spans="1:28" ht="24.6" x14ac:dyDescent="0.3">
      <c r="B1" s="55" t="s">
        <v>3814</v>
      </c>
    </row>
    <row r="2" spans="1:28" ht="24.6" x14ac:dyDescent="0.3">
      <c r="B2" s="55" t="s">
        <v>3815</v>
      </c>
      <c r="I2" s="84">
        <v>46287</v>
      </c>
    </row>
    <row r="3" spans="1:28" ht="24.6" x14ac:dyDescent="0.3">
      <c r="B3" s="55"/>
      <c r="I3" s="84"/>
    </row>
    <row r="4" spans="1:28" s="34" customFormat="1" ht="22.2" customHeight="1" x14ac:dyDescent="0.3">
      <c r="B4" s="129" t="s">
        <v>3818</v>
      </c>
      <c r="C4" s="130"/>
      <c r="D4" s="130"/>
      <c r="E4" s="131"/>
      <c r="F4" s="59" t="s">
        <v>3810</v>
      </c>
      <c r="G4" s="59" t="s">
        <v>16</v>
      </c>
      <c r="H4" s="59" t="s">
        <v>3821</v>
      </c>
      <c r="I4" s="85" t="s">
        <v>3809</v>
      </c>
      <c r="O4" s="62"/>
      <c r="P4" s="62"/>
      <c r="Q4" s="62"/>
      <c r="R4" s="62"/>
      <c r="S4" s="62"/>
      <c r="T4" s="64"/>
      <c r="U4" s="62"/>
      <c r="V4" s="62"/>
      <c r="W4" s="62"/>
      <c r="X4" s="62"/>
      <c r="Y4" s="62"/>
      <c r="Z4" s="62"/>
      <c r="AB4" s="78"/>
    </row>
    <row r="5" spans="1:28" ht="27.6" customHeight="1" x14ac:dyDescent="0.3">
      <c r="B5" s="132" t="s">
        <v>3817</v>
      </c>
      <c r="C5" s="133"/>
      <c r="D5" s="134"/>
      <c r="E5" s="135"/>
      <c r="F5" s="58">
        <v>791</v>
      </c>
      <c r="G5" s="58">
        <v>51</v>
      </c>
      <c r="H5" s="126" t="s">
        <v>3819</v>
      </c>
      <c r="I5" s="85">
        <v>842</v>
      </c>
    </row>
    <row r="6" spans="1:28" ht="17.399999999999999" x14ac:dyDescent="0.3">
      <c r="B6" s="132" t="s">
        <v>3816</v>
      </c>
      <c r="C6" s="133"/>
      <c r="D6" s="134"/>
      <c r="E6" s="135"/>
      <c r="F6" s="57">
        <v>201</v>
      </c>
      <c r="G6" s="57">
        <v>37</v>
      </c>
      <c r="H6" s="127"/>
      <c r="I6" s="85">
        <v>234</v>
      </c>
    </row>
    <row r="7" spans="1:28" ht="17.399999999999999" x14ac:dyDescent="0.3">
      <c r="B7" s="132" t="s">
        <v>14</v>
      </c>
      <c r="C7" s="133"/>
      <c r="D7" s="134"/>
      <c r="E7" s="135"/>
      <c r="F7" s="57">
        <v>706</v>
      </c>
      <c r="G7" s="57">
        <v>160</v>
      </c>
      <c r="H7" s="127"/>
      <c r="I7" s="86">
        <v>866</v>
      </c>
    </row>
    <row r="8" spans="1:28" ht="20.399999999999999" customHeight="1" x14ac:dyDescent="0.3">
      <c r="B8" s="132" t="s">
        <v>15</v>
      </c>
      <c r="C8" s="133"/>
      <c r="D8" s="134"/>
      <c r="E8" s="135"/>
      <c r="F8" s="57">
        <v>156</v>
      </c>
      <c r="G8" s="57">
        <v>88</v>
      </c>
      <c r="H8" s="128"/>
      <c r="I8" s="85">
        <v>194</v>
      </c>
    </row>
    <row r="10" spans="1:28" ht="31.2" customHeight="1" x14ac:dyDescent="0.3">
      <c r="A10" s="146" t="s">
        <v>1</v>
      </c>
      <c r="B10" s="146" t="s">
        <v>2</v>
      </c>
      <c r="C10" s="147" t="s">
        <v>3</v>
      </c>
      <c r="D10" s="2"/>
      <c r="E10" s="147" t="s">
        <v>6</v>
      </c>
      <c r="F10" s="143" t="s">
        <v>7</v>
      </c>
      <c r="G10" s="147" t="s">
        <v>8</v>
      </c>
      <c r="H10" s="147" t="s">
        <v>9</v>
      </c>
      <c r="I10" s="158" t="s">
        <v>10</v>
      </c>
      <c r="J10" s="160" t="s">
        <v>11</v>
      </c>
      <c r="K10" s="146" t="s">
        <v>3811</v>
      </c>
      <c r="L10" s="22" t="s">
        <v>3809</v>
      </c>
      <c r="M10" s="22"/>
      <c r="N10" s="22"/>
      <c r="O10" s="143" t="s">
        <v>5</v>
      </c>
      <c r="P10" s="81"/>
      <c r="Q10" s="65"/>
      <c r="R10" s="139" t="s">
        <v>3810</v>
      </c>
      <c r="S10" s="139"/>
      <c r="T10" s="139"/>
      <c r="U10" s="152"/>
      <c r="V10" s="139"/>
      <c r="W10" s="153" t="s">
        <v>16</v>
      </c>
      <c r="X10" s="141"/>
      <c r="Y10" s="141"/>
      <c r="Z10" s="141"/>
      <c r="AA10" s="124" t="s">
        <v>3808</v>
      </c>
      <c r="AB10" s="145" t="s">
        <v>3821</v>
      </c>
    </row>
    <row r="11" spans="1:28" s="49" customFormat="1" ht="34.799999999999997" x14ac:dyDescent="0.3">
      <c r="A11" s="146"/>
      <c r="B11" s="146"/>
      <c r="C11" s="147"/>
      <c r="D11" s="39" t="s">
        <v>4</v>
      </c>
      <c r="E11" s="147"/>
      <c r="F11" s="143"/>
      <c r="G11" s="147"/>
      <c r="H11" s="147"/>
      <c r="I11" s="159"/>
      <c r="J11" s="160"/>
      <c r="K11" s="146"/>
      <c r="L11" s="23" t="s">
        <v>12</v>
      </c>
      <c r="M11" s="24" t="s">
        <v>13</v>
      </c>
      <c r="N11" s="23" t="s">
        <v>14</v>
      </c>
      <c r="O11" s="143"/>
      <c r="P11" s="66" t="s">
        <v>15</v>
      </c>
      <c r="Q11" s="24" t="s">
        <v>3812</v>
      </c>
      <c r="R11" s="25" t="s">
        <v>12</v>
      </c>
      <c r="S11" s="25" t="s">
        <v>13</v>
      </c>
      <c r="T11" s="29" t="s">
        <v>14</v>
      </c>
      <c r="U11" s="25" t="s">
        <v>15</v>
      </c>
      <c r="V11" s="25" t="s">
        <v>0</v>
      </c>
      <c r="W11" s="67" t="s">
        <v>12</v>
      </c>
      <c r="X11" s="67" t="s">
        <v>13</v>
      </c>
      <c r="Y11" s="67" t="s">
        <v>14</v>
      </c>
      <c r="Z11" s="67" t="s">
        <v>15</v>
      </c>
      <c r="AA11" s="125"/>
      <c r="AB11" s="145"/>
    </row>
    <row r="12" spans="1:28" ht="16.8" x14ac:dyDescent="0.3">
      <c r="A12" s="5"/>
      <c r="B12" s="5"/>
      <c r="C12" s="5"/>
      <c r="D12" s="5"/>
      <c r="E12" s="5"/>
      <c r="F12" s="5"/>
      <c r="G12" s="5"/>
      <c r="H12" s="5"/>
      <c r="I12" s="87" t="s">
        <v>17</v>
      </c>
      <c r="J12" s="48" t="s">
        <v>17</v>
      </c>
      <c r="K12" s="48" t="s">
        <v>17</v>
      </c>
      <c r="L12" s="12">
        <f>SUM(L14:L926)</f>
        <v>3770627515952</v>
      </c>
      <c r="M12" s="12">
        <f t="shared" ref="M12:P12" si="0">SUM(M14:M926)</f>
        <v>198719183148</v>
      </c>
      <c r="N12" s="12">
        <f t="shared" si="0"/>
        <v>10387500000</v>
      </c>
      <c r="O12" s="7"/>
      <c r="P12" s="68">
        <f t="shared" si="0"/>
        <v>11953266691</v>
      </c>
      <c r="Q12" s="68">
        <v>3984718003765</v>
      </c>
      <c r="R12" s="68">
        <f t="shared" ref="R12:T12" si="1">SUM(R14:R926)</f>
        <v>3658857391088</v>
      </c>
      <c r="S12" s="68">
        <f t="shared" si="1"/>
        <v>178113848714</v>
      </c>
      <c r="T12" s="69">
        <f t="shared" si="1"/>
        <v>8602500000</v>
      </c>
      <c r="U12" s="68">
        <f>SUM(U14:U926)</f>
        <v>7266400018</v>
      </c>
      <c r="V12" s="70">
        <f>SUM(V14:V926)</f>
        <v>-8686446994</v>
      </c>
      <c r="W12" s="68">
        <f t="shared" ref="W12:AA12" si="2">SUM(W14:W926)</f>
        <v>112725572876</v>
      </c>
      <c r="X12" s="68">
        <f t="shared" si="2"/>
        <v>19649886422</v>
      </c>
      <c r="Y12" s="68">
        <f t="shared" si="2"/>
        <v>1785000000</v>
      </c>
      <c r="Z12" s="68">
        <f t="shared" si="2"/>
        <v>4686866673</v>
      </c>
      <c r="AA12" s="12">
        <f t="shared" si="2"/>
        <v>112540349220</v>
      </c>
      <c r="AB12" s="82"/>
    </row>
    <row r="13" spans="1:28" s="53" customFormat="1" ht="37.799999999999997" customHeight="1" x14ac:dyDescent="0.3">
      <c r="A13" s="51"/>
      <c r="B13" s="51"/>
      <c r="C13" s="51"/>
      <c r="D13" s="51"/>
      <c r="E13" s="51"/>
      <c r="F13" s="52">
        <f>COUNTA(F14:F926)</f>
        <v>881</v>
      </c>
      <c r="G13" s="51"/>
      <c r="H13" s="52"/>
      <c r="I13" s="88"/>
      <c r="J13" s="51"/>
      <c r="K13" s="51"/>
      <c r="L13" s="52">
        <f>COUNTIF(L14:L926,"&gt;0")</f>
        <v>846</v>
      </c>
      <c r="M13" s="52">
        <f t="shared" ref="M13:U13" si="3">COUNTIF(M14:M926,"&gt;0")</f>
        <v>234</v>
      </c>
      <c r="N13" s="52">
        <f t="shared" si="3"/>
        <v>871</v>
      </c>
      <c r="O13" s="63"/>
      <c r="P13" s="71">
        <f t="shared" si="3"/>
        <v>222</v>
      </c>
      <c r="Q13" s="71">
        <f t="shared" si="3"/>
        <v>874</v>
      </c>
      <c r="R13" s="71">
        <f t="shared" si="3"/>
        <v>795</v>
      </c>
      <c r="S13" s="71">
        <f t="shared" si="3"/>
        <v>201</v>
      </c>
      <c r="T13" s="71">
        <f t="shared" si="3"/>
        <v>710</v>
      </c>
      <c r="U13" s="71">
        <f t="shared" si="3"/>
        <v>160</v>
      </c>
      <c r="V13" s="71">
        <f>COUNT(V14:V926)</f>
        <v>3</v>
      </c>
      <c r="W13" s="71">
        <f>COUNTIF(W14:W926,"&gt;0")</f>
        <v>52</v>
      </c>
      <c r="X13" s="71">
        <f t="shared" ref="X13:Z13" si="4">COUNTIF(X14:X926,"&gt;0")</f>
        <v>37</v>
      </c>
      <c r="Y13" s="71">
        <f t="shared" si="4"/>
        <v>161</v>
      </c>
      <c r="Z13" s="71">
        <f t="shared" si="4"/>
        <v>88</v>
      </c>
      <c r="AA13" s="52">
        <f>COUNT(AA14:AA926)</f>
        <v>49</v>
      </c>
      <c r="AB13" s="71">
        <f>COUNTA(AB54:AB914)</f>
        <v>72</v>
      </c>
    </row>
    <row r="14" spans="1:28" ht="46.8" x14ac:dyDescent="0.3">
      <c r="A14" s="7" t="s">
        <v>18</v>
      </c>
      <c r="B14" s="6">
        <v>1</v>
      </c>
      <c r="C14" s="7" t="s">
        <v>19</v>
      </c>
      <c r="D14" s="7" t="s">
        <v>19</v>
      </c>
      <c r="E14" s="7" t="s">
        <v>20</v>
      </c>
      <c r="F14" s="7" t="s">
        <v>21</v>
      </c>
      <c r="G14" s="7" t="s">
        <v>22</v>
      </c>
      <c r="H14" s="5"/>
      <c r="I14" s="7" t="s">
        <v>23</v>
      </c>
      <c r="J14" s="7" t="s">
        <v>24</v>
      </c>
      <c r="K14" s="7" t="s">
        <v>25</v>
      </c>
      <c r="L14" s="3">
        <v>4401325040</v>
      </c>
      <c r="M14" s="3">
        <v>997248000</v>
      </c>
      <c r="N14" s="3">
        <v>7500000</v>
      </c>
      <c r="O14" s="40"/>
      <c r="P14" s="40"/>
      <c r="Q14" s="3">
        <f t="shared" ref="Q14:Q53" si="5">L14+M14+N14+P14</f>
        <v>5406073040</v>
      </c>
      <c r="R14" s="36">
        <v>4401325040</v>
      </c>
      <c r="S14" s="36">
        <v>997248000</v>
      </c>
      <c r="T14" s="30">
        <v>7500000</v>
      </c>
      <c r="U14" s="7"/>
      <c r="V14" s="7"/>
      <c r="W14" s="36"/>
      <c r="X14" s="36">
        <f t="shared" ref="X14:X53" si="6">M14-S14</f>
        <v>0</v>
      </c>
      <c r="Y14" s="36">
        <f t="shared" ref="Y14:Y53" si="7">N14-T14</f>
        <v>0</v>
      </c>
      <c r="Z14" s="36">
        <f>P14-U14</f>
        <v>0</v>
      </c>
      <c r="AA14" s="4"/>
      <c r="AB14" s="79"/>
    </row>
    <row r="15" spans="1:28" ht="31.2" x14ac:dyDescent="0.3">
      <c r="A15" s="7" t="s">
        <v>26</v>
      </c>
      <c r="B15" s="6">
        <v>2</v>
      </c>
      <c r="C15" s="7" t="s">
        <v>19</v>
      </c>
      <c r="D15" s="7" t="s">
        <v>19</v>
      </c>
      <c r="E15" s="5"/>
      <c r="F15" s="7" t="s">
        <v>27</v>
      </c>
      <c r="G15" s="5"/>
      <c r="H15" s="7" t="s">
        <v>28</v>
      </c>
      <c r="I15" s="7" t="s">
        <v>29</v>
      </c>
      <c r="J15" s="7" t="s">
        <v>24</v>
      </c>
      <c r="K15" s="7" t="s">
        <v>30</v>
      </c>
      <c r="L15" s="6">
        <v>0</v>
      </c>
      <c r="M15" s="5"/>
      <c r="N15" s="7"/>
      <c r="O15" s="40"/>
      <c r="P15" s="40"/>
      <c r="Q15" s="3">
        <f t="shared" si="5"/>
        <v>0</v>
      </c>
      <c r="R15" s="6">
        <v>0</v>
      </c>
      <c r="S15" s="7"/>
      <c r="T15" s="72"/>
      <c r="U15" s="7"/>
      <c r="V15" s="7"/>
      <c r="W15" s="36"/>
      <c r="X15" s="36">
        <f t="shared" si="6"/>
        <v>0</v>
      </c>
      <c r="Y15" s="36">
        <f t="shared" si="7"/>
        <v>0</v>
      </c>
      <c r="Z15" s="36">
        <f t="shared" ref="Z15:Z79" si="8">P15-U15</f>
        <v>0</v>
      </c>
      <c r="AA15" s="4"/>
      <c r="AB15" s="79"/>
    </row>
    <row r="16" spans="1:28" ht="31.2" x14ac:dyDescent="0.3">
      <c r="A16" s="7" t="s">
        <v>18</v>
      </c>
      <c r="B16" s="6">
        <v>3</v>
      </c>
      <c r="C16" s="7" t="s">
        <v>19</v>
      </c>
      <c r="D16" s="7" t="s">
        <v>19</v>
      </c>
      <c r="E16" s="5"/>
      <c r="F16" s="7" t="s">
        <v>31</v>
      </c>
      <c r="G16" s="5"/>
      <c r="H16" s="5"/>
      <c r="I16" s="7" t="s">
        <v>32</v>
      </c>
      <c r="J16" s="7" t="s">
        <v>24</v>
      </c>
      <c r="K16" s="7" t="s">
        <v>33</v>
      </c>
      <c r="L16" s="3">
        <v>3873005</v>
      </c>
      <c r="M16" s="5"/>
      <c r="N16" s="3">
        <v>7500000</v>
      </c>
      <c r="O16" s="40"/>
      <c r="P16" s="40"/>
      <c r="Q16" s="3">
        <f t="shared" si="5"/>
        <v>11373005</v>
      </c>
      <c r="R16" s="36">
        <v>3873005</v>
      </c>
      <c r="S16" s="7"/>
      <c r="T16" s="30">
        <v>7500000</v>
      </c>
      <c r="U16" s="7"/>
      <c r="V16" s="7"/>
      <c r="W16" s="36"/>
      <c r="X16" s="36">
        <f t="shared" si="6"/>
        <v>0</v>
      </c>
      <c r="Y16" s="36">
        <f t="shared" si="7"/>
        <v>0</v>
      </c>
      <c r="Z16" s="36">
        <f t="shared" si="8"/>
        <v>0</v>
      </c>
      <c r="AA16" s="4"/>
      <c r="AB16" s="79"/>
    </row>
    <row r="17" spans="1:28" ht="31.2" x14ac:dyDescent="0.3">
      <c r="A17" s="7" t="s">
        <v>18</v>
      </c>
      <c r="B17" s="6">
        <v>4</v>
      </c>
      <c r="C17" s="7" t="s">
        <v>19</v>
      </c>
      <c r="D17" s="7" t="s">
        <v>19</v>
      </c>
      <c r="E17" s="7" t="s">
        <v>34</v>
      </c>
      <c r="F17" s="7" t="s">
        <v>35</v>
      </c>
      <c r="G17" s="7" t="s">
        <v>36</v>
      </c>
      <c r="H17" s="5"/>
      <c r="I17" s="7" t="s">
        <v>37</v>
      </c>
      <c r="J17" s="7" t="s">
        <v>24</v>
      </c>
      <c r="K17" s="7" t="s">
        <v>38</v>
      </c>
      <c r="L17" s="3">
        <v>49303660</v>
      </c>
      <c r="M17" s="3">
        <v>14041440</v>
      </c>
      <c r="N17" s="3">
        <v>7500000</v>
      </c>
      <c r="O17" s="40"/>
      <c r="P17" s="40"/>
      <c r="Q17" s="3">
        <f t="shared" si="5"/>
        <v>70845100</v>
      </c>
      <c r="R17" s="36">
        <v>49303660</v>
      </c>
      <c r="S17" s="3">
        <v>14041440</v>
      </c>
      <c r="T17" s="30">
        <v>7500000</v>
      </c>
      <c r="U17" s="7"/>
      <c r="V17" s="7"/>
      <c r="W17" s="36"/>
      <c r="X17" s="36">
        <f t="shared" si="6"/>
        <v>0</v>
      </c>
      <c r="Y17" s="36">
        <f t="shared" si="7"/>
        <v>0</v>
      </c>
      <c r="Z17" s="36">
        <f t="shared" si="8"/>
        <v>0</v>
      </c>
      <c r="AA17" s="4"/>
      <c r="AB17" s="79"/>
    </row>
    <row r="18" spans="1:28" ht="31.2" x14ac:dyDescent="0.3">
      <c r="A18" s="7" t="s">
        <v>26</v>
      </c>
      <c r="B18" s="6">
        <v>5</v>
      </c>
      <c r="C18" s="7" t="s">
        <v>19</v>
      </c>
      <c r="D18" s="7" t="s">
        <v>19</v>
      </c>
      <c r="E18" s="5"/>
      <c r="F18" s="7" t="s">
        <v>39</v>
      </c>
      <c r="G18" s="5"/>
      <c r="H18" s="7" t="s">
        <v>40</v>
      </c>
      <c r="I18" s="7" t="s">
        <v>41</v>
      </c>
      <c r="J18" s="7" t="s">
        <v>24</v>
      </c>
      <c r="K18" s="7" t="s">
        <v>42</v>
      </c>
      <c r="L18" s="6">
        <v>0</v>
      </c>
      <c r="M18" s="5"/>
      <c r="N18" s="7"/>
      <c r="O18" s="40"/>
      <c r="P18" s="40"/>
      <c r="Q18" s="3">
        <f t="shared" si="5"/>
        <v>0</v>
      </c>
      <c r="R18" s="6">
        <v>0</v>
      </c>
      <c r="S18" s="7"/>
      <c r="T18" s="72"/>
      <c r="U18" s="7"/>
      <c r="V18" s="7"/>
      <c r="W18" s="36"/>
      <c r="X18" s="36">
        <f t="shared" si="6"/>
        <v>0</v>
      </c>
      <c r="Y18" s="36">
        <f t="shared" si="7"/>
        <v>0</v>
      </c>
      <c r="Z18" s="36">
        <f t="shared" si="8"/>
        <v>0</v>
      </c>
      <c r="AA18" s="4"/>
      <c r="AB18" s="79"/>
    </row>
    <row r="19" spans="1:28" ht="31.2" x14ac:dyDescent="0.3">
      <c r="A19" s="7" t="s">
        <v>18</v>
      </c>
      <c r="B19" s="6">
        <v>6</v>
      </c>
      <c r="C19" s="7" t="s">
        <v>19</v>
      </c>
      <c r="D19" s="7" t="s">
        <v>19</v>
      </c>
      <c r="E19" s="5"/>
      <c r="F19" s="7" t="s">
        <v>43</v>
      </c>
      <c r="G19" s="5"/>
      <c r="H19" s="5"/>
      <c r="I19" s="7" t="s">
        <v>44</v>
      </c>
      <c r="J19" s="7" t="s">
        <v>24</v>
      </c>
      <c r="K19" s="7" t="s">
        <v>45</v>
      </c>
      <c r="L19" s="6">
        <v>0</v>
      </c>
      <c r="M19" s="5"/>
      <c r="N19" s="3">
        <v>7500000</v>
      </c>
      <c r="O19" s="40"/>
      <c r="P19" s="40"/>
      <c r="Q19" s="3">
        <f t="shared" si="5"/>
        <v>7500000</v>
      </c>
      <c r="R19" s="6">
        <v>0</v>
      </c>
      <c r="S19" s="7"/>
      <c r="T19" s="30">
        <v>7500000</v>
      </c>
      <c r="U19" s="7"/>
      <c r="V19" s="7"/>
      <c r="W19" s="36"/>
      <c r="X19" s="36">
        <f t="shared" si="6"/>
        <v>0</v>
      </c>
      <c r="Y19" s="36">
        <f t="shared" si="7"/>
        <v>0</v>
      </c>
      <c r="Z19" s="36">
        <f t="shared" si="8"/>
        <v>0</v>
      </c>
      <c r="AA19" s="4"/>
      <c r="AB19" s="79"/>
    </row>
    <row r="20" spans="1:28" ht="31.2" x14ac:dyDescent="0.3">
      <c r="A20" s="7" t="s">
        <v>46</v>
      </c>
      <c r="B20" s="6">
        <v>7</v>
      </c>
      <c r="C20" s="7" t="s">
        <v>19</v>
      </c>
      <c r="D20" s="7" t="s">
        <v>19</v>
      </c>
      <c r="E20" s="5"/>
      <c r="F20" s="7" t="s">
        <v>47</v>
      </c>
      <c r="G20" s="5"/>
      <c r="H20" s="5"/>
      <c r="I20" s="7" t="s">
        <v>48</v>
      </c>
      <c r="J20" s="7" t="s">
        <v>24</v>
      </c>
      <c r="K20" s="7" t="s">
        <v>49</v>
      </c>
      <c r="L20" s="3">
        <v>129028662</v>
      </c>
      <c r="M20" s="5"/>
      <c r="N20" s="3">
        <v>7500000</v>
      </c>
      <c r="O20" s="40"/>
      <c r="P20" s="40"/>
      <c r="Q20" s="3">
        <f t="shared" si="5"/>
        <v>136528662</v>
      </c>
      <c r="R20" s="36">
        <v>129028662</v>
      </c>
      <c r="S20" s="7"/>
      <c r="T20" s="30">
        <v>7500000</v>
      </c>
      <c r="U20" s="7"/>
      <c r="V20" s="7"/>
      <c r="W20" s="36"/>
      <c r="X20" s="36">
        <f t="shared" si="6"/>
        <v>0</v>
      </c>
      <c r="Y20" s="36">
        <f t="shared" si="7"/>
        <v>0</v>
      </c>
      <c r="Z20" s="36">
        <f t="shared" si="8"/>
        <v>0</v>
      </c>
      <c r="AA20" s="4"/>
      <c r="AB20" s="79"/>
    </row>
    <row r="21" spans="1:28" ht="31.2" x14ac:dyDescent="0.3">
      <c r="A21" s="7" t="s">
        <v>26</v>
      </c>
      <c r="B21" s="6">
        <v>8</v>
      </c>
      <c r="C21" s="7" t="s">
        <v>19</v>
      </c>
      <c r="D21" s="7" t="s">
        <v>19</v>
      </c>
      <c r="E21" s="5"/>
      <c r="F21" s="7" t="s">
        <v>50</v>
      </c>
      <c r="G21" s="5"/>
      <c r="H21" s="7" t="s">
        <v>40</v>
      </c>
      <c r="I21" s="7" t="s">
        <v>51</v>
      </c>
      <c r="J21" s="7" t="s">
        <v>24</v>
      </c>
      <c r="K21" s="7" t="s">
        <v>52</v>
      </c>
      <c r="L21" s="6">
        <v>0</v>
      </c>
      <c r="M21" s="5"/>
      <c r="N21" s="7"/>
      <c r="O21" s="40"/>
      <c r="P21" s="40"/>
      <c r="Q21" s="3">
        <f t="shared" si="5"/>
        <v>0</v>
      </c>
      <c r="R21" s="6">
        <v>0</v>
      </c>
      <c r="S21" s="7"/>
      <c r="T21" s="72"/>
      <c r="U21" s="7"/>
      <c r="V21" s="7"/>
      <c r="W21" s="36"/>
      <c r="X21" s="36">
        <f t="shared" si="6"/>
        <v>0</v>
      </c>
      <c r="Y21" s="36">
        <f t="shared" si="7"/>
        <v>0</v>
      </c>
      <c r="Z21" s="36">
        <f t="shared" si="8"/>
        <v>0</v>
      </c>
      <c r="AA21" s="4"/>
      <c r="AB21" s="79"/>
    </row>
    <row r="22" spans="1:28" ht="31.2" x14ac:dyDescent="0.3">
      <c r="A22" s="7" t="s">
        <v>53</v>
      </c>
      <c r="B22" s="6">
        <v>9</v>
      </c>
      <c r="C22" s="7" t="s">
        <v>54</v>
      </c>
      <c r="D22" s="7" t="s">
        <v>54</v>
      </c>
      <c r="E22" s="5"/>
      <c r="F22" s="7" t="s">
        <v>55</v>
      </c>
      <c r="G22" s="5"/>
      <c r="H22" s="7" t="s">
        <v>56</v>
      </c>
      <c r="I22" s="7" t="s">
        <v>57</v>
      </c>
      <c r="J22" s="7" t="s">
        <v>24</v>
      </c>
      <c r="K22" s="7" t="s">
        <v>58</v>
      </c>
      <c r="L22" s="3">
        <v>5275298400</v>
      </c>
      <c r="M22" s="5"/>
      <c r="N22" s="3">
        <v>15000000</v>
      </c>
      <c r="O22" s="40"/>
      <c r="P22" s="40"/>
      <c r="Q22" s="3">
        <f t="shared" si="5"/>
        <v>5290298400</v>
      </c>
      <c r="R22" s="36">
        <v>5275298400</v>
      </c>
      <c r="S22" s="7"/>
      <c r="T22" s="30">
        <v>15000000</v>
      </c>
      <c r="U22" s="7"/>
      <c r="V22" s="7"/>
      <c r="W22" s="36"/>
      <c r="X22" s="36">
        <f t="shared" si="6"/>
        <v>0</v>
      </c>
      <c r="Y22" s="36">
        <f t="shared" si="7"/>
        <v>0</v>
      </c>
      <c r="Z22" s="36">
        <f t="shared" si="8"/>
        <v>0</v>
      </c>
      <c r="AA22" s="4"/>
      <c r="AB22" s="79"/>
    </row>
    <row r="23" spans="1:28" ht="31.2" x14ac:dyDescent="0.3">
      <c r="A23" s="7" t="s">
        <v>26</v>
      </c>
      <c r="B23" s="6">
        <v>10</v>
      </c>
      <c r="C23" s="7" t="s">
        <v>54</v>
      </c>
      <c r="D23" s="7" t="s">
        <v>54</v>
      </c>
      <c r="E23" s="5"/>
      <c r="F23" s="7" t="s">
        <v>59</v>
      </c>
      <c r="G23" s="5"/>
      <c r="H23" s="7" t="s">
        <v>40</v>
      </c>
      <c r="I23" s="7" t="s">
        <v>60</v>
      </c>
      <c r="J23" s="7" t="s">
        <v>24</v>
      </c>
      <c r="K23" s="7" t="s">
        <v>61</v>
      </c>
      <c r="L23" s="6">
        <v>0</v>
      </c>
      <c r="M23" s="5"/>
      <c r="N23" s="7"/>
      <c r="O23" s="40"/>
      <c r="P23" s="40"/>
      <c r="Q23" s="3">
        <f t="shared" si="5"/>
        <v>0</v>
      </c>
      <c r="R23" s="6">
        <v>0</v>
      </c>
      <c r="S23" s="7"/>
      <c r="T23" s="72"/>
      <c r="U23" s="7"/>
      <c r="V23" s="7"/>
      <c r="W23" s="36"/>
      <c r="X23" s="36">
        <f t="shared" si="6"/>
        <v>0</v>
      </c>
      <c r="Y23" s="36">
        <f t="shared" si="7"/>
        <v>0</v>
      </c>
      <c r="Z23" s="36">
        <f t="shared" si="8"/>
        <v>0</v>
      </c>
      <c r="AA23" s="4"/>
      <c r="AB23" s="79"/>
    </row>
    <row r="24" spans="1:28" ht="31.2" x14ac:dyDescent="0.3">
      <c r="A24" s="7" t="s">
        <v>62</v>
      </c>
      <c r="B24" s="6">
        <v>11</v>
      </c>
      <c r="C24" s="7" t="s">
        <v>54</v>
      </c>
      <c r="D24" s="7" t="s">
        <v>54</v>
      </c>
      <c r="E24" s="5"/>
      <c r="F24" s="7" t="s">
        <v>63</v>
      </c>
      <c r="G24" s="5"/>
      <c r="H24" s="5"/>
      <c r="I24" s="7" t="s">
        <v>64</v>
      </c>
      <c r="J24" s="7" t="s">
        <v>24</v>
      </c>
      <c r="K24" s="7" t="s">
        <v>65</v>
      </c>
      <c r="L24" s="3">
        <v>2559814110</v>
      </c>
      <c r="M24" s="5"/>
      <c r="N24" s="3">
        <v>7500000</v>
      </c>
      <c r="O24" s="40"/>
      <c r="P24" s="40"/>
      <c r="Q24" s="3">
        <f t="shared" si="5"/>
        <v>2567314110</v>
      </c>
      <c r="R24" s="7"/>
      <c r="S24" s="7"/>
      <c r="T24" s="72"/>
      <c r="U24" s="7"/>
      <c r="V24" s="7"/>
      <c r="W24" s="36">
        <v>2559814110</v>
      </c>
      <c r="X24" s="36">
        <f t="shared" si="6"/>
        <v>0</v>
      </c>
      <c r="Y24" s="36">
        <f t="shared" si="7"/>
        <v>7500000</v>
      </c>
      <c r="Z24" s="36">
        <f t="shared" si="8"/>
        <v>0</v>
      </c>
      <c r="AA24" s="10">
        <v>2559814110</v>
      </c>
      <c r="AB24" s="79"/>
    </row>
    <row r="25" spans="1:28" ht="31.2" x14ac:dyDescent="0.3">
      <c r="A25" s="7" t="s">
        <v>62</v>
      </c>
      <c r="B25" s="6">
        <v>12</v>
      </c>
      <c r="C25" s="7" t="s">
        <v>54</v>
      </c>
      <c r="D25" s="7" t="s">
        <v>54</v>
      </c>
      <c r="E25" s="5"/>
      <c r="F25" s="7" t="s">
        <v>66</v>
      </c>
      <c r="G25" s="5"/>
      <c r="H25" s="5"/>
      <c r="I25" s="7" t="s">
        <v>67</v>
      </c>
      <c r="J25" s="7" t="s">
        <v>24</v>
      </c>
      <c r="K25" s="7" t="s">
        <v>68</v>
      </c>
      <c r="L25" s="3">
        <v>60717258</v>
      </c>
      <c r="M25" s="5"/>
      <c r="N25" s="3">
        <v>7500000</v>
      </c>
      <c r="O25" s="40"/>
      <c r="P25" s="40"/>
      <c r="Q25" s="3">
        <f t="shared" si="5"/>
        <v>68217258</v>
      </c>
      <c r="R25" s="3">
        <v>60717258</v>
      </c>
      <c r="S25" s="7"/>
      <c r="T25" s="30">
        <v>7500000</v>
      </c>
      <c r="U25" s="7"/>
      <c r="V25" s="7"/>
      <c r="W25" s="36"/>
      <c r="X25" s="36">
        <f t="shared" si="6"/>
        <v>0</v>
      </c>
      <c r="Y25" s="36">
        <f t="shared" si="7"/>
        <v>0</v>
      </c>
      <c r="Z25" s="36">
        <f t="shared" si="8"/>
        <v>0</v>
      </c>
      <c r="AA25" s="4"/>
      <c r="AB25" s="79"/>
    </row>
    <row r="26" spans="1:28" ht="31.2" x14ac:dyDescent="0.3">
      <c r="A26" s="7" t="s">
        <v>62</v>
      </c>
      <c r="B26" s="6">
        <v>13</v>
      </c>
      <c r="C26" s="7" t="s">
        <v>69</v>
      </c>
      <c r="D26" s="7" t="s">
        <v>69</v>
      </c>
      <c r="E26" s="5"/>
      <c r="F26" s="7" t="s">
        <v>70</v>
      </c>
      <c r="G26" s="5"/>
      <c r="H26" s="5"/>
      <c r="I26" s="7" t="s">
        <v>71</v>
      </c>
      <c r="J26" s="7" t="s">
        <v>24</v>
      </c>
      <c r="K26" s="7" t="s">
        <v>72</v>
      </c>
      <c r="L26" s="3">
        <v>1532066300</v>
      </c>
      <c r="M26" s="5"/>
      <c r="N26" s="3">
        <v>7500000</v>
      </c>
      <c r="O26" s="40"/>
      <c r="P26" s="40"/>
      <c r="Q26" s="3">
        <f t="shared" si="5"/>
        <v>1539566300</v>
      </c>
      <c r="R26" s="36">
        <v>1532066300</v>
      </c>
      <c r="S26" s="7"/>
      <c r="T26" s="30">
        <v>7500000</v>
      </c>
      <c r="U26" s="7"/>
      <c r="V26" s="7"/>
      <c r="W26" s="36"/>
      <c r="X26" s="36">
        <f t="shared" si="6"/>
        <v>0</v>
      </c>
      <c r="Y26" s="36">
        <f t="shared" si="7"/>
        <v>0</v>
      </c>
      <c r="Z26" s="36">
        <f t="shared" si="8"/>
        <v>0</v>
      </c>
      <c r="AA26" s="4"/>
      <c r="AB26" s="79"/>
    </row>
    <row r="27" spans="1:28" ht="31.2" x14ac:dyDescent="0.3">
      <c r="A27" s="7" t="s">
        <v>62</v>
      </c>
      <c r="B27" s="6">
        <v>14</v>
      </c>
      <c r="C27" s="7" t="s">
        <v>69</v>
      </c>
      <c r="D27" s="7" t="s">
        <v>69</v>
      </c>
      <c r="E27" s="5"/>
      <c r="F27" s="7" t="s">
        <v>73</v>
      </c>
      <c r="G27" s="5"/>
      <c r="H27" s="5"/>
      <c r="I27" s="7" t="s">
        <v>74</v>
      </c>
      <c r="J27" s="7" t="s">
        <v>24</v>
      </c>
      <c r="K27" s="7" t="s">
        <v>75</v>
      </c>
      <c r="L27" s="3">
        <v>1836348912</v>
      </c>
      <c r="M27" s="5"/>
      <c r="N27" s="3">
        <v>7500000</v>
      </c>
      <c r="O27" s="40"/>
      <c r="P27" s="40"/>
      <c r="Q27" s="3">
        <f t="shared" si="5"/>
        <v>1843848912</v>
      </c>
      <c r="R27" s="36">
        <v>1836348912</v>
      </c>
      <c r="S27" s="7"/>
      <c r="T27" s="72"/>
      <c r="U27" s="7"/>
      <c r="V27" s="7"/>
      <c r="W27" s="36"/>
      <c r="X27" s="36">
        <f t="shared" si="6"/>
        <v>0</v>
      </c>
      <c r="Y27" s="36">
        <f t="shared" si="7"/>
        <v>7500000</v>
      </c>
      <c r="Z27" s="36">
        <f t="shared" si="8"/>
        <v>0</v>
      </c>
      <c r="AA27" s="4"/>
      <c r="AB27" s="79"/>
    </row>
    <row r="28" spans="1:28" ht="31.2" x14ac:dyDescent="0.3">
      <c r="A28" s="7" t="s">
        <v>62</v>
      </c>
      <c r="B28" s="6">
        <v>15</v>
      </c>
      <c r="C28" s="7" t="s">
        <v>69</v>
      </c>
      <c r="D28" s="7" t="s">
        <v>69</v>
      </c>
      <c r="E28" s="5"/>
      <c r="F28" s="7" t="s">
        <v>76</v>
      </c>
      <c r="G28" s="5"/>
      <c r="H28" s="5"/>
      <c r="I28" s="7" t="s">
        <v>77</v>
      </c>
      <c r="J28" s="7" t="s">
        <v>24</v>
      </c>
      <c r="K28" s="7" t="s">
        <v>78</v>
      </c>
      <c r="L28" s="3">
        <v>662595692</v>
      </c>
      <c r="M28" s="5"/>
      <c r="N28" s="3">
        <v>7500000</v>
      </c>
      <c r="O28" s="40"/>
      <c r="P28" s="40"/>
      <c r="Q28" s="3">
        <f t="shared" si="5"/>
        <v>670095692</v>
      </c>
      <c r="R28" s="36">
        <v>662595692</v>
      </c>
      <c r="S28" s="7"/>
      <c r="T28" s="30">
        <v>7500000</v>
      </c>
      <c r="U28" s="7"/>
      <c r="V28" s="3">
        <v>-195505082</v>
      </c>
      <c r="W28" s="36"/>
      <c r="X28" s="36">
        <f t="shared" si="6"/>
        <v>0</v>
      </c>
      <c r="Y28" s="36">
        <f t="shared" si="7"/>
        <v>0</v>
      </c>
      <c r="Z28" s="36">
        <f t="shared" si="8"/>
        <v>0</v>
      </c>
      <c r="AA28" s="4"/>
      <c r="AB28" s="79"/>
    </row>
    <row r="29" spans="1:28" ht="31.2" x14ac:dyDescent="0.3">
      <c r="A29" s="7" t="s">
        <v>46</v>
      </c>
      <c r="B29" s="6">
        <v>16</v>
      </c>
      <c r="C29" s="7" t="s">
        <v>79</v>
      </c>
      <c r="D29" s="7" t="s">
        <v>79</v>
      </c>
      <c r="E29" s="5"/>
      <c r="F29" s="7" t="s">
        <v>80</v>
      </c>
      <c r="G29" s="5"/>
      <c r="H29" s="5"/>
      <c r="I29" s="7" t="s">
        <v>81</v>
      </c>
      <c r="J29" s="7" t="s">
        <v>24</v>
      </c>
      <c r="K29" s="7" t="s">
        <v>82</v>
      </c>
      <c r="L29" s="3">
        <v>13658317884</v>
      </c>
      <c r="M29" s="5"/>
      <c r="N29" s="3">
        <v>7500000</v>
      </c>
      <c r="O29" s="40"/>
      <c r="P29" s="40"/>
      <c r="Q29" s="3">
        <f t="shared" si="5"/>
        <v>13665817884</v>
      </c>
      <c r="R29" s="36">
        <v>13658317884</v>
      </c>
      <c r="S29" s="7"/>
      <c r="T29" s="30">
        <v>7500000</v>
      </c>
      <c r="U29" s="7"/>
      <c r="V29" s="7"/>
      <c r="W29" s="36"/>
      <c r="X29" s="36">
        <f t="shared" si="6"/>
        <v>0</v>
      </c>
      <c r="Y29" s="36">
        <f t="shared" si="7"/>
        <v>0</v>
      </c>
      <c r="Z29" s="36">
        <f t="shared" si="8"/>
        <v>0</v>
      </c>
      <c r="AA29" s="4"/>
      <c r="AB29" s="79"/>
    </row>
    <row r="30" spans="1:28" ht="31.2" x14ac:dyDescent="0.3">
      <c r="A30" s="7" t="s">
        <v>18</v>
      </c>
      <c r="B30" s="6">
        <v>17</v>
      </c>
      <c r="C30" s="7" t="s">
        <v>79</v>
      </c>
      <c r="D30" s="7" t="s">
        <v>79</v>
      </c>
      <c r="E30" s="5"/>
      <c r="F30" s="7" t="s">
        <v>83</v>
      </c>
      <c r="G30" s="5"/>
      <c r="H30" s="5"/>
      <c r="I30" s="7" t="s">
        <v>84</v>
      </c>
      <c r="J30" s="7" t="s">
        <v>24</v>
      </c>
      <c r="K30" s="7" t="s">
        <v>85</v>
      </c>
      <c r="L30" s="3">
        <v>1592587200</v>
      </c>
      <c r="M30" s="5"/>
      <c r="N30" s="3">
        <v>7500000</v>
      </c>
      <c r="O30" s="40"/>
      <c r="P30" s="40"/>
      <c r="Q30" s="3">
        <f t="shared" si="5"/>
        <v>1600087200</v>
      </c>
      <c r="R30" s="36">
        <v>1592587200</v>
      </c>
      <c r="S30" s="7"/>
      <c r="T30" s="72"/>
      <c r="U30" s="7"/>
      <c r="V30" s="7"/>
      <c r="W30" s="36"/>
      <c r="X30" s="36">
        <f t="shared" si="6"/>
        <v>0</v>
      </c>
      <c r="Y30" s="36">
        <f t="shared" si="7"/>
        <v>7500000</v>
      </c>
      <c r="Z30" s="36">
        <f t="shared" si="8"/>
        <v>0</v>
      </c>
      <c r="AA30" s="4"/>
      <c r="AB30" s="79"/>
    </row>
    <row r="31" spans="1:28" ht="31.2" x14ac:dyDescent="0.3">
      <c r="A31" s="7" t="s">
        <v>26</v>
      </c>
      <c r="B31" s="6">
        <v>18</v>
      </c>
      <c r="C31" s="7" t="s">
        <v>79</v>
      </c>
      <c r="D31" s="7" t="s">
        <v>79</v>
      </c>
      <c r="E31" s="5"/>
      <c r="F31" s="7" t="s">
        <v>86</v>
      </c>
      <c r="G31" s="5"/>
      <c r="H31" s="7" t="s">
        <v>28</v>
      </c>
      <c r="I31" s="7" t="s">
        <v>87</v>
      </c>
      <c r="J31" s="7" t="s">
        <v>24</v>
      </c>
      <c r="K31" s="7" t="s">
        <v>88</v>
      </c>
      <c r="L31" s="6">
        <v>0</v>
      </c>
      <c r="M31" s="5"/>
      <c r="N31" s="7"/>
      <c r="O31" s="40"/>
      <c r="P31" s="40"/>
      <c r="Q31" s="3">
        <f t="shared" si="5"/>
        <v>0</v>
      </c>
      <c r="R31" s="6">
        <v>0</v>
      </c>
      <c r="S31" s="7"/>
      <c r="T31" s="72"/>
      <c r="U31" s="7"/>
      <c r="V31" s="7"/>
      <c r="W31" s="36"/>
      <c r="X31" s="36">
        <f t="shared" si="6"/>
        <v>0</v>
      </c>
      <c r="Y31" s="36">
        <f t="shared" si="7"/>
        <v>0</v>
      </c>
      <c r="Z31" s="36">
        <f t="shared" si="8"/>
        <v>0</v>
      </c>
      <c r="AA31" s="4"/>
      <c r="AB31" s="79"/>
    </row>
    <row r="32" spans="1:28" ht="31.2" x14ac:dyDescent="0.3">
      <c r="A32" s="7" t="s">
        <v>46</v>
      </c>
      <c r="B32" s="6">
        <v>19</v>
      </c>
      <c r="C32" s="7" t="s">
        <v>79</v>
      </c>
      <c r="D32" s="7" t="s">
        <v>79</v>
      </c>
      <c r="E32" s="5"/>
      <c r="F32" s="7" t="s">
        <v>89</v>
      </c>
      <c r="G32" s="5"/>
      <c r="H32" s="5"/>
      <c r="I32" s="7" t="s">
        <v>90</v>
      </c>
      <c r="J32" s="7" t="s">
        <v>24</v>
      </c>
      <c r="K32" s="7" t="s">
        <v>91</v>
      </c>
      <c r="L32" s="3">
        <v>4546438698</v>
      </c>
      <c r="M32" s="5"/>
      <c r="N32" s="3">
        <v>15000000</v>
      </c>
      <c r="O32" s="40"/>
      <c r="P32" s="40"/>
      <c r="Q32" s="3">
        <f t="shared" si="5"/>
        <v>4561438698</v>
      </c>
      <c r="R32" s="36">
        <v>4546438698</v>
      </c>
      <c r="S32" s="7"/>
      <c r="T32" s="30">
        <v>15000000</v>
      </c>
      <c r="U32" s="7"/>
      <c r="V32" s="7"/>
      <c r="W32" s="36"/>
      <c r="X32" s="36">
        <f t="shared" si="6"/>
        <v>0</v>
      </c>
      <c r="Y32" s="36">
        <f t="shared" si="7"/>
        <v>0</v>
      </c>
      <c r="Z32" s="36">
        <f t="shared" si="8"/>
        <v>0</v>
      </c>
      <c r="AA32" s="4"/>
      <c r="AB32" s="79"/>
    </row>
    <row r="33" spans="1:28" ht="46.8" x14ac:dyDescent="0.3">
      <c r="A33" s="7" t="s">
        <v>26</v>
      </c>
      <c r="B33" s="6">
        <v>20</v>
      </c>
      <c r="C33" s="7" t="s">
        <v>79</v>
      </c>
      <c r="D33" s="7" t="s">
        <v>79</v>
      </c>
      <c r="E33" s="5"/>
      <c r="F33" s="7" t="s">
        <v>92</v>
      </c>
      <c r="G33" s="5"/>
      <c r="H33" s="7" t="s">
        <v>40</v>
      </c>
      <c r="I33" s="7" t="s">
        <v>93</v>
      </c>
      <c r="J33" s="7" t="s">
        <v>24</v>
      </c>
      <c r="K33" s="7" t="s">
        <v>94</v>
      </c>
      <c r="L33" s="6">
        <v>0</v>
      </c>
      <c r="M33" s="5"/>
      <c r="N33" s="7"/>
      <c r="O33" s="40"/>
      <c r="P33" s="40"/>
      <c r="Q33" s="3">
        <f t="shared" si="5"/>
        <v>0</v>
      </c>
      <c r="R33" s="6">
        <v>0</v>
      </c>
      <c r="S33" s="7"/>
      <c r="T33" s="72"/>
      <c r="U33" s="7"/>
      <c r="V33" s="7"/>
      <c r="W33" s="36"/>
      <c r="X33" s="36">
        <f t="shared" si="6"/>
        <v>0</v>
      </c>
      <c r="Y33" s="36">
        <f t="shared" si="7"/>
        <v>0</v>
      </c>
      <c r="Z33" s="36">
        <f t="shared" si="8"/>
        <v>0</v>
      </c>
      <c r="AA33" s="4"/>
      <c r="AB33" s="79"/>
    </row>
    <row r="34" spans="1:28" ht="31.2" x14ac:dyDescent="0.3">
      <c r="A34" s="7" t="s">
        <v>18</v>
      </c>
      <c r="B34" s="6">
        <v>21</v>
      </c>
      <c r="C34" s="7" t="s">
        <v>79</v>
      </c>
      <c r="D34" s="7" t="s">
        <v>79</v>
      </c>
      <c r="E34" s="5"/>
      <c r="F34" s="7" t="s">
        <v>95</v>
      </c>
      <c r="G34" s="5"/>
      <c r="H34" s="5"/>
      <c r="I34" s="7" t="s">
        <v>96</v>
      </c>
      <c r="J34" s="7" t="s">
        <v>24</v>
      </c>
      <c r="K34" s="7" t="s">
        <v>97</v>
      </c>
      <c r="L34" s="3">
        <v>402447024</v>
      </c>
      <c r="M34" s="5"/>
      <c r="N34" s="3">
        <v>7500000</v>
      </c>
      <c r="O34" s="40"/>
      <c r="P34" s="40"/>
      <c r="Q34" s="3">
        <f t="shared" si="5"/>
        <v>409947024</v>
      </c>
      <c r="R34" s="36">
        <v>402447024</v>
      </c>
      <c r="S34" s="7"/>
      <c r="T34" s="30">
        <v>7500000</v>
      </c>
      <c r="U34" s="7"/>
      <c r="V34" s="7"/>
      <c r="W34" s="36"/>
      <c r="X34" s="36">
        <f t="shared" si="6"/>
        <v>0</v>
      </c>
      <c r="Y34" s="36">
        <f t="shared" si="7"/>
        <v>0</v>
      </c>
      <c r="Z34" s="36">
        <f t="shared" si="8"/>
        <v>0</v>
      </c>
      <c r="AA34" s="4"/>
      <c r="AB34" s="79"/>
    </row>
    <row r="35" spans="1:28" ht="31.2" x14ac:dyDescent="0.3">
      <c r="A35" s="7" t="s">
        <v>26</v>
      </c>
      <c r="B35" s="6">
        <v>22</v>
      </c>
      <c r="C35" s="7" t="s">
        <v>79</v>
      </c>
      <c r="D35" s="7" t="s">
        <v>79</v>
      </c>
      <c r="E35" s="5"/>
      <c r="F35" s="7" t="s">
        <v>98</v>
      </c>
      <c r="G35" s="5"/>
      <c r="H35" s="7" t="s">
        <v>28</v>
      </c>
      <c r="I35" s="7" t="s">
        <v>99</v>
      </c>
      <c r="J35" s="7" t="s">
        <v>24</v>
      </c>
      <c r="K35" s="7" t="s">
        <v>100</v>
      </c>
      <c r="L35" s="6">
        <v>0</v>
      </c>
      <c r="M35" s="5"/>
      <c r="N35" s="7"/>
      <c r="O35" s="40"/>
      <c r="P35" s="40"/>
      <c r="Q35" s="3">
        <f t="shared" si="5"/>
        <v>0</v>
      </c>
      <c r="R35" s="6">
        <v>0</v>
      </c>
      <c r="S35" s="7"/>
      <c r="T35" s="72"/>
      <c r="U35" s="7"/>
      <c r="V35" s="7"/>
      <c r="W35" s="36"/>
      <c r="X35" s="36">
        <f t="shared" si="6"/>
        <v>0</v>
      </c>
      <c r="Y35" s="36">
        <f t="shared" si="7"/>
        <v>0</v>
      </c>
      <c r="Z35" s="36">
        <f t="shared" si="8"/>
        <v>0</v>
      </c>
      <c r="AA35" s="4"/>
      <c r="AB35" s="79"/>
    </row>
    <row r="36" spans="1:28" ht="31.2" x14ac:dyDescent="0.3">
      <c r="A36" s="7" t="s">
        <v>62</v>
      </c>
      <c r="B36" s="6">
        <v>23</v>
      </c>
      <c r="C36" s="7" t="s">
        <v>79</v>
      </c>
      <c r="D36" s="7" t="s">
        <v>79</v>
      </c>
      <c r="E36" s="5"/>
      <c r="F36" s="7" t="s">
        <v>101</v>
      </c>
      <c r="G36" s="5"/>
      <c r="H36" s="5"/>
      <c r="I36" s="7" t="s">
        <v>102</v>
      </c>
      <c r="J36" s="7" t="s">
        <v>24</v>
      </c>
      <c r="K36" s="7" t="s">
        <v>103</v>
      </c>
      <c r="L36" s="3">
        <v>655613400</v>
      </c>
      <c r="M36" s="5"/>
      <c r="N36" s="3">
        <v>7500000</v>
      </c>
      <c r="O36" s="40"/>
      <c r="P36" s="40"/>
      <c r="Q36" s="3">
        <f t="shared" si="5"/>
        <v>663113400</v>
      </c>
      <c r="R36" s="36">
        <v>655613400</v>
      </c>
      <c r="S36" s="7"/>
      <c r="T36" s="30">
        <v>7500000</v>
      </c>
      <c r="U36" s="7"/>
      <c r="V36" s="7"/>
      <c r="W36" s="36"/>
      <c r="X36" s="36">
        <f t="shared" si="6"/>
        <v>0</v>
      </c>
      <c r="Y36" s="36">
        <f t="shared" si="7"/>
        <v>0</v>
      </c>
      <c r="Z36" s="36">
        <f t="shared" si="8"/>
        <v>0</v>
      </c>
      <c r="AA36" s="4"/>
      <c r="AB36" s="79"/>
    </row>
    <row r="37" spans="1:28" ht="46.8" x14ac:dyDescent="0.3">
      <c r="A37" s="7" t="s">
        <v>26</v>
      </c>
      <c r="B37" s="6">
        <v>24</v>
      </c>
      <c r="C37" s="7" t="s">
        <v>79</v>
      </c>
      <c r="D37" s="7" t="s">
        <v>79</v>
      </c>
      <c r="E37" s="5"/>
      <c r="F37" s="7" t="s">
        <v>104</v>
      </c>
      <c r="G37" s="5"/>
      <c r="H37" s="7" t="s">
        <v>40</v>
      </c>
      <c r="I37" s="7" t="s">
        <v>105</v>
      </c>
      <c r="J37" s="7" t="s">
        <v>24</v>
      </c>
      <c r="K37" s="7" t="s">
        <v>106</v>
      </c>
      <c r="L37" s="6">
        <v>0</v>
      </c>
      <c r="M37" s="5"/>
      <c r="N37" s="7"/>
      <c r="O37" s="40"/>
      <c r="P37" s="40"/>
      <c r="Q37" s="3">
        <f t="shared" si="5"/>
        <v>0</v>
      </c>
      <c r="R37" s="6">
        <v>0</v>
      </c>
      <c r="S37" s="7"/>
      <c r="T37" s="72"/>
      <c r="U37" s="7"/>
      <c r="V37" s="7"/>
      <c r="W37" s="36"/>
      <c r="X37" s="36">
        <f t="shared" si="6"/>
        <v>0</v>
      </c>
      <c r="Y37" s="36">
        <f t="shared" si="7"/>
        <v>0</v>
      </c>
      <c r="Z37" s="36">
        <f t="shared" si="8"/>
        <v>0</v>
      </c>
      <c r="AA37" s="4"/>
      <c r="AB37" s="79"/>
    </row>
    <row r="38" spans="1:28" ht="31.2" x14ac:dyDescent="0.3">
      <c r="A38" s="7" t="s">
        <v>18</v>
      </c>
      <c r="B38" s="6">
        <v>25</v>
      </c>
      <c r="C38" s="7" t="s">
        <v>79</v>
      </c>
      <c r="D38" s="7" t="s">
        <v>79</v>
      </c>
      <c r="E38" s="5"/>
      <c r="F38" s="7" t="s">
        <v>107</v>
      </c>
      <c r="G38" s="5"/>
      <c r="H38" s="5"/>
      <c r="I38" s="7" t="s">
        <v>108</v>
      </c>
      <c r="J38" s="7" t="s">
        <v>24</v>
      </c>
      <c r="K38" s="7" t="s">
        <v>109</v>
      </c>
      <c r="L38" s="3">
        <v>1685363872</v>
      </c>
      <c r="M38" s="5"/>
      <c r="N38" s="3">
        <v>15000000</v>
      </c>
      <c r="O38" s="40"/>
      <c r="P38" s="40"/>
      <c r="Q38" s="3">
        <f t="shared" si="5"/>
        <v>1700363872</v>
      </c>
      <c r="R38" s="36">
        <v>1685363872</v>
      </c>
      <c r="S38" s="7"/>
      <c r="T38" s="30">
        <v>15000000</v>
      </c>
      <c r="U38" s="7"/>
      <c r="V38" s="7"/>
      <c r="W38" s="36"/>
      <c r="X38" s="36">
        <f t="shared" si="6"/>
        <v>0</v>
      </c>
      <c r="Y38" s="36">
        <f t="shared" si="7"/>
        <v>0</v>
      </c>
      <c r="Z38" s="36">
        <f t="shared" si="8"/>
        <v>0</v>
      </c>
      <c r="AA38" s="4"/>
      <c r="AB38" s="79"/>
    </row>
    <row r="39" spans="1:28" ht="31.2" x14ac:dyDescent="0.3">
      <c r="A39" s="7" t="s">
        <v>26</v>
      </c>
      <c r="B39" s="6">
        <v>26</v>
      </c>
      <c r="C39" s="7" t="s">
        <v>79</v>
      </c>
      <c r="D39" s="7" t="s">
        <v>79</v>
      </c>
      <c r="E39" s="5"/>
      <c r="F39" s="7" t="s">
        <v>110</v>
      </c>
      <c r="G39" s="5"/>
      <c r="H39" s="7" t="s">
        <v>28</v>
      </c>
      <c r="I39" s="7" t="s">
        <v>111</v>
      </c>
      <c r="J39" s="7" t="s">
        <v>24</v>
      </c>
      <c r="K39" s="7" t="s">
        <v>112</v>
      </c>
      <c r="L39" s="6">
        <v>0</v>
      </c>
      <c r="M39" s="5"/>
      <c r="N39" s="7"/>
      <c r="O39" s="40"/>
      <c r="P39" s="40"/>
      <c r="Q39" s="3">
        <f t="shared" si="5"/>
        <v>0</v>
      </c>
      <c r="R39" s="6">
        <v>0</v>
      </c>
      <c r="S39" s="7"/>
      <c r="T39" s="72"/>
      <c r="U39" s="7"/>
      <c r="V39" s="7"/>
      <c r="W39" s="36"/>
      <c r="X39" s="36">
        <f t="shared" si="6"/>
        <v>0</v>
      </c>
      <c r="Y39" s="36">
        <f t="shared" si="7"/>
        <v>0</v>
      </c>
      <c r="Z39" s="36">
        <f t="shared" si="8"/>
        <v>0</v>
      </c>
      <c r="AA39" s="4"/>
      <c r="AB39" s="79"/>
    </row>
    <row r="40" spans="1:28" ht="31.2" x14ac:dyDescent="0.3">
      <c r="A40" s="7" t="s">
        <v>26</v>
      </c>
      <c r="B40" s="6">
        <v>27</v>
      </c>
      <c r="C40" s="7" t="s">
        <v>113</v>
      </c>
      <c r="D40" s="7" t="s">
        <v>113</v>
      </c>
      <c r="E40" s="5"/>
      <c r="F40" s="7" t="s">
        <v>114</v>
      </c>
      <c r="G40" s="5"/>
      <c r="H40" s="7" t="s">
        <v>40</v>
      </c>
      <c r="I40" s="7" t="s">
        <v>111</v>
      </c>
      <c r="J40" s="7" t="s">
        <v>24</v>
      </c>
      <c r="K40" s="7" t="s">
        <v>115</v>
      </c>
      <c r="L40" s="6">
        <v>0</v>
      </c>
      <c r="M40" s="5"/>
      <c r="N40" s="7"/>
      <c r="O40" s="40"/>
      <c r="P40" s="40"/>
      <c r="Q40" s="3">
        <f t="shared" si="5"/>
        <v>0</v>
      </c>
      <c r="R40" s="6">
        <v>0</v>
      </c>
      <c r="S40" s="7"/>
      <c r="T40" s="72"/>
      <c r="U40" s="7"/>
      <c r="V40" s="7"/>
      <c r="W40" s="36"/>
      <c r="X40" s="36">
        <f t="shared" si="6"/>
        <v>0</v>
      </c>
      <c r="Y40" s="36">
        <f t="shared" si="7"/>
        <v>0</v>
      </c>
      <c r="Z40" s="36">
        <f t="shared" si="8"/>
        <v>0</v>
      </c>
      <c r="AA40" s="4"/>
      <c r="AB40" s="79"/>
    </row>
    <row r="41" spans="1:28" ht="31.2" x14ac:dyDescent="0.3">
      <c r="A41" s="7" t="s">
        <v>46</v>
      </c>
      <c r="B41" s="6">
        <v>28</v>
      </c>
      <c r="C41" s="7" t="s">
        <v>113</v>
      </c>
      <c r="D41" s="7" t="s">
        <v>113</v>
      </c>
      <c r="E41" s="5"/>
      <c r="F41" s="7" t="s">
        <v>116</v>
      </c>
      <c r="G41" s="5"/>
      <c r="H41" s="5"/>
      <c r="I41" s="7" t="s">
        <v>117</v>
      </c>
      <c r="J41" s="7" t="s">
        <v>24</v>
      </c>
      <c r="K41" s="7" t="s">
        <v>118</v>
      </c>
      <c r="L41" s="3">
        <v>5297512200</v>
      </c>
      <c r="M41" s="5"/>
      <c r="N41" s="3">
        <v>7500000</v>
      </c>
      <c r="O41" s="40"/>
      <c r="P41" s="40"/>
      <c r="Q41" s="3">
        <f t="shared" si="5"/>
        <v>5305012200</v>
      </c>
      <c r="R41" s="3">
        <v>5297512200</v>
      </c>
      <c r="S41" s="7"/>
      <c r="T41" s="30">
        <v>7500000</v>
      </c>
      <c r="U41" s="7"/>
      <c r="V41" s="7"/>
      <c r="W41" s="36"/>
      <c r="X41" s="36">
        <f t="shared" si="6"/>
        <v>0</v>
      </c>
      <c r="Y41" s="36">
        <f t="shared" si="7"/>
        <v>0</v>
      </c>
      <c r="Z41" s="36">
        <f t="shared" si="8"/>
        <v>0</v>
      </c>
      <c r="AA41" s="4"/>
      <c r="AB41" s="79"/>
    </row>
    <row r="42" spans="1:28" ht="31.2" x14ac:dyDescent="0.3">
      <c r="A42" s="7" t="s">
        <v>53</v>
      </c>
      <c r="B42" s="6">
        <v>29</v>
      </c>
      <c r="C42" s="7" t="s">
        <v>113</v>
      </c>
      <c r="D42" s="7" t="s">
        <v>113</v>
      </c>
      <c r="E42" s="5"/>
      <c r="F42" s="7" t="s">
        <v>119</v>
      </c>
      <c r="G42" s="5"/>
      <c r="H42" s="5"/>
      <c r="I42" s="7" t="s">
        <v>120</v>
      </c>
      <c r="J42" s="7" t="s">
        <v>24</v>
      </c>
      <c r="K42" s="7" t="s">
        <v>121</v>
      </c>
      <c r="L42" s="3">
        <v>3215919560</v>
      </c>
      <c r="M42" s="5"/>
      <c r="N42" s="3">
        <v>7500000</v>
      </c>
      <c r="O42" s="40"/>
      <c r="P42" s="40"/>
      <c r="Q42" s="3">
        <f t="shared" si="5"/>
        <v>3223419560</v>
      </c>
      <c r="R42" s="36">
        <v>3215919560</v>
      </c>
      <c r="S42" s="7"/>
      <c r="T42" s="30">
        <v>7500000</v>
      </c>
      <c r="U42" s="7"/>
      <c r="V42" s="7"/>
      <c r="W42" s="36"/>
      <c r="X42" s="36">
        <f t="shared" si="6"/>
        <v>0</v>
      </c>
      <c r="Y42" s="36">
        <f t="shared" si="7"/>
        <v>0</v>
      </c>
      <c r="Z42" s="36">
        <f t="shared" si="8"/>
        <v>0</v>
      </c>
      <c r="AA42" s="4"/>
      <c r="AB42" s="79"/>
    </row>
    <row r="43" spans="1:28" ht="31.2" x14ac:dyDescent="0.3">
      <c r="A43" s="7" t="s">
        <v>46</v>
      </c>
      <c r="B43" s="6">
        <v>30</v>
      </c>
      <c r="C43" s="7" t="s">
        <v>113</v>
      </c>
      <c r="D43" s="7" t="s">
        <v>113</v>
      </c>
      <c r="E43" s="5"/>
      <c r="F43" s="7" t="s">
        <v>122</v>
      </c>
      <c r="G43" s="5"/>
      <c r="H43" s="5"/>
      <c r="I43" s="7" t="s">
        <v>123</v>
      </c>
      <c r="J43" s="7" t="s">
        <v>24</v>
      </c>
      <c r="K43" s="7" t="s">
        <v>124</v>
      </c>
      <c r="L43" s="3">
        <v>4662504</v>
      </c>
      <c r="M43" s="5"/>
      <c r="N43" s="3">
        <v>7500000</v>
      </c>
      <c r="O43" s="40"/>
      <c r="P43" s="40"/>
      <c r="Q43" s="3">
        <f t="shared" si="5"/>
        <v>12162504</v>
      </c>
      <c r="R43" s="3">
        <v>4662504</v>
      </c>
      <c r="S43" s="7"/>
      <c r="T43" s="30">
        <v>7500000</v>
      </c>
      <c r="U43" s="7"/>
      <c r="V43" s="7"/>
      <c r="W43" s="36"/>
      <c r="X43" s="36">
        <f t="shared" si="6"/>
        <v>0</v>
      </c>
      <c r="Y43" s="36">
        <f t="shared" si="7"/>
        <v>0</v>
      </c>
      <c r="Z43" s="36">
        <f t="shared" si="8"/>
        <v>0</v>
      </c>
      <c r="AA43" s="4"/>
      <c r="AB43" s="79"/>
    </row>
    <row r="44" spans="1:28" ht="31.2" x14ac:dyDescent="0.3">
      <c r="A44" s="7" t="s">
        <v>53</v>
      </c>
      <c r="B44" s="6">
        <v>31</v>
      </c>
      <c r="C44" s="7" t="s">
        <v>113</v>
      </c>
      <c r="D44" s="7" t="s">
        <v>113</v>
      </c>
      <c r="E44" s="5"/>
      <c r="F44" s="7" t="s">
        <v>125</v>
      </c>
      <c r="G44" s="5"/>
      <c r="H44" s="5"/>
      <c r="I44" s="7" t="s">
        <v>126</v>
      </c>
      <c r="J44" s="7" t="s">
        <v>24</v>
      </c>
      <c r="K44" s="7" t="s">
        <v>127</v>
      </c>
      <c r="L44" s="3">
        <v>1731644540</v>
      </c>
      <c r="M44" s="5"/>
      <c r="N44" s="3">
        <v>15000000</v>
      </c>
      <c r="O44" s="40"/>
      <c r="P44" s="40"/>
      <c r="Q44" s="3">
        <f t="shared" si="5"/>
        <v>1746644540</v>
      </c>
      <c r="R44" s="3">
        <v>1731644540</v>
      </c>
      <c r="S44" s="7"/>
      <c r="T44" s="30">
        <v>15000000</v>
      </c>
      <c r="U44" s="7"/>
      <c r="V44" s="7"/>
      <c r="W44" s="36"/>
      <c r="X44" s="36">
        <f t="shared" si="6"/>
        <v>0</v>
      </c>
      <c r="Y44" s="36">
        <f t="shared" si="7"/>
        <v>0</v>
      </c>
      <c r="Z44" s="36">
        <f t="shared" si="8"/>
        <v>0</v>
      </c>
      <c r="AA44" s="4"/>
      <c r="AB44" s="79"/>
    </row>
    <row r="45" spans="1:28" ht="31.2" x14ac:dyDescent="0.3">
      <c r="A45" s="7" t="s">
        <v>46</v>
      </c>
      <c r="B45" s="6">
        <v>32</v>
      </c>
      <c r="C45" s="7" t="s">
        <v>113</v>
      </c>
      <c r="D45" s="7" t="s">
        <v>113</v>
      </c>
      <c r="E45" s="5"/>
      <c r="F45" s="7" t="s">
        <v>128</v>
      </c>
      <c r="G45" s="5"/>
      <c r="H45" s="5"/>
      <c r="I45" s="7" t="s">
        <v>129</v>
      </c>
      <c r="J45" s="7" t="s">
        <v>24</v>
      </c>
      <c r="K45" s="7" t="s">
        <v>130</v>
      </c>
      <c r="L45" s="6">
        <v>0</v>
      </c>
      <c r="M45" s="5"/>
      <c r="N45" s="3">
        <v>7500000</v>
      </c>
      <c r="O45" s="40"/>
      <c r="P45" s="40"/>
      <c r="Q45" s="3">
        <f t="shared" si="5"/>
        <v>7500000</v>
      </c>
      <c r="R45" s="6">
        <v>0</v>
      </c>
      <c r="S45" s="7"/>
      <c r="T45" s="72"/>
      <c r="U45" s="7"/>
      <c r="V45" s="7"/>
      <c r="W45" s="36"/>
      <c r="X45" s="36">
        <f t="shared" si="6"/>
        <v>0</v>
      </c>
      <c r="Y45" s="36">
        <f t="shared" si="7"/>
        <v>7500000</v>
      </c>
      <c r="Z45" s="36">
        <f t="shared" si="8"/>
        <v>0</v>
      </c>
      <c r="AA45" s="4"/>
      <c r="AB45" s="79"/>
    </row>
    <row r="46" spans="1:28" ht="31.2" x14ac:dyDescent="0.3">
      <c r="A46" s="7" t="s">
        <v>26</v>
      </c>
      <c r="B46" s="6">
        <v>33</v>
      </c>
      <c r="C46" s="7" t="s">
        <v>113</v>
      </c>
      <c r="D46" s="7" t="s">
        <v>113</v>
      </c>
      <c r="E46" s="5"/>
      <c r="F46" s="7" t="s">
        <v>131</v>
      </c>
      <c r="G46" s="5"/>
      <c r="H46" s="5"/>
      <c r="I46" s="7" t="s">
        <v>132</v>
      </c>
      <c r="J46" s="7" t="s">
        <v>24</v>
      </c>
      <c r="K46" s="7" t="s">
        <v>133</v>
      </c>
      <c r="L46" s="6">
        <v>0</v>
      </c>
      <c r="M46" s="5"/>
      <c r="N46" s="3">
        <v>7500000</v>
      </c>
      <c r="O46" s="40"/>
      <c r="P46" s="40"/>
      <c r="Q46" s="3">
        <f t="shared" si="5"/>
        <v>7500000</v>
      </c>
      <c r="R46" s="6">
        <v>0</v>
      </c>
      <c r="S46" s="7"/>
      <c r="T46" s="30">
        <v>7500000</v>
      </c>
      <c r="U46" s="7"/>
      <c r="V46" s="7"/>
      <c r="W46" s="36"/>
      <c r="X46" s="36">
        <f t="shared" si="6"/>
        <v>0</v>
      </c>
      <c r="Y46" s="36">
        <f t="shared" si="7"/>
        <v>0</v>
      </c>
      <c r="Z46" s="36">
        <f t="shared" si="8"/>
        <v>0</v>
      </c>
      <c r="AA46" s="4"/>
      <c r="AB46" s="79"/>
    </row>
    <row r="47" spans="1:28" ht="31.2" x14ac:dyDescent="0.3">
      <c r="A47" s="7" t="s">
        <v>62</v>
      </c>
      <c r="B47" s="6">
        <v>34</v>
      </c>
      <c r="C47" s="7" t="s">
        <v>113</v>
      </c>
      <c r="D47" s="7" t="s">
        <v>113</v>
      </c>
      <c r="E47" s="5"/>
      <c r="F47" s="7" t="s">
        <v>134</v>
      </c>
      <c r="G47" s="5"/>
      <c r="H47" s="5"/>
      <c r="I47" s="7" t="s">
        <v>135</v>
      </c>
      <c r="J47" s="7" t="s">
        <v>24</v>
      </c>
      <c r="K47" s="7" t="s">
        <v>136</v>
      </c>
      <c r="L47" s="3">
        <v>772775010</v>
      </c>
      <c r="M47" s="5"/>
      <c r="N47" s="3">
        <v>7500000</v>
      </c>
      <c r="O47" s="40"/>
      <c r="P47" s="40"/>
      <c r="Q47" s="3">
        <f t="shared" si="5"/>
        <v>780275010</v>
      </c>
      <c r="R47" s="3">
        <v>772775010</v>
      </c>
      <c r="S47" s="7"/>
      <c r="T47" s="30">
        <v>7500000</v>
      </c>
      <c r="U47" s="7"/>
      <c r="V47" s="7"/>
      <c r="W47" s="36"/>
      <c r="X47" s="36">
        <f t="shared" si="6"/>
        <v>0</v>
      </c>
      <c r="Y47" s="36">
        <f t="shared" si="7"/>
        <v>0</v>
      </c>
      <c r="Z47" s="36">
        <f t="shared" si="8"/>
        <v>0</v>
      </c>
      <c r="AA47" s="4"/>
      <c r="AB47" s="79"/>
    </row>
    <row r="48" spans="1:28" ht="31.2" x14ac:dyDescent="0.3">
      <c r="A48" s="7" t="s">
        <v>62</v>
      </c>
      <c r="B48" s="6">
        <v>35</v>
      </c>
      <c r="C48" s="7" t="s">
        <v>113</v>
      </c>
      <c r="D48" s="7" t="s">
        <v>113</v>
      </c>
      <c r="E48" s="5"/>
      <c r="F48" s="7" t="s">
        <v>137</v>
      </c>
      <c r="G48" s="5"/>
      <c r="H48" s="7" t="s">
        <v>138</v>
      </c>
      <c r="I48" s="7" t="s">
        <v>139</v>
      </c>
      <c r="J48" s="7" t="s">
        <v>24</v>
      </c>
      <c r="K48" s="7" t="s">
        <v>140</v>
      </c>
      <c r="L48" s="3">
        <v>5472774600</v>
      </c>
      <c r="M48" s="5"/>
      <c r="N48" s="3">
        <v>15000000</v>
      </c>
      <c r="O48" s="40"/>
      <c r="P48" s="40"/>
      <c r="Q48" s="3">
        <f t="shared" si="5"/>
        <v>5487774600</v>
      </c>
      <c r="R48" s="3">
        <v>5472774600</v>
      </c>
      <c r="S48" s="7"/>
      <c r="T48" s="30">
        <v>15000000</v>
      </c>
      <c r="U48" s="7"/>
      <c r="V48" s="7"/>
      <c r="W48" s="36"/>
      <c r="X48" s="36">
        <f t="shared" si="6"/>
        <v>0</v>
      </c>
      <c r="Y48" s="36">
        <f t="shared" si="7"/>
        <v>0</v>
      </c>
      <c r="Z48" s="36">
        <f t="shared" si="8"/>
        <v>0</v>
      </c>
      <c r="AA48" s="4"/>
      <c r="AB48" s="79"/>
    </row>
    <row r="49" spans="1:28" ht="31.2" x14ac:dyDescent="0.3">
      <c r="A49" s="7" t="s">
        <v>62</v>
      </c>
      <c r="B49" s="6">
        <v>36</v>
      </c>
      <c r="C49" s="7" t="s">
        <v>113</v>
      </c>
      <c r="D49" s="7" t="s">
        <v>113</v>
      </c>
      <c r="E49" s="5"/>
      <c r="F49" s="7" t="s">
        <v>141</v>
      </c>
      <c r="G49" s="5"/>
      <c r="H49" s="5"/>
      <c r="I49" s="7" t="s">
        <v>142</v>
      </c>
      <c r="J49" s="7" t="s">
        <v>24</v>
      </c>
      <c r="K49" s="7" t="s">
        <v>143</v>
      </c>
      <c r="L49" s="3">
        <v>792875600</v>
      </c>
      <c r="M49" s="5"/>
      <c r="N49" s="3">
        <v>7500000</v>
      </c>
      <c r="O49" s="40"/>
      <c r="P49" s="40"/>
      <c r="Q49" s="3">
        <f t="shared" si="5"/>
        <v>800375600</v>
      </c>
      <c r="R49" s="3">
        <v>792875600</v>
      </c>
      <c r="S49" s="7"/>
      <c r="T49" s="30">
        <v>7500000</v>
      </c>
      <c r="U49" s="7"/>
      <c r="V49" s="7"/>
      <c r="W49" s="36"/>
      <c r="X49" s="36">
        <f t="shared" si="6"/>
        <v>0</v>
      </c>
      <c r="Y49" s="36">
        <f t="shared" si="7"/>
        <v>0</v>
      </c>
      <c r="Z49" s="36">
        <f t="shared" si="8"/>
        <v>0</v>
      </c>
      <c r="AA49" s="4"/>
      <c r="AB49" s="79"/>
    </row>
    <row r="50" spans="1:28" ht="31.2" x14ac:dyDescent="0.3">
      <c r="A50" s="7" t="s">
        <v>46</v>
      </c>
      <c r="B50" s="6">
        <v>37</v>
      </c>
      <c r="C50" s="7" t="s">
        <v>144</v>
      </c>
      <c r="D50" s="7" t="s">
        <v>144</v>
      </c>
      <c r="E50" s="5"/>
      <c r="F50" s="7" t="s">
        <v>145</v>
      </c>
      <c r="G50" s="5"/>
      <c r="H50" s="5"/>
      <c r="I50" s="7" t="s">
        <v>146</v>
      </c>
      <c r="J50" s="7" t="s">
        <v>24</v>
      </c>
      <c r="K50" s="7" t="s">
        <v>147</v>
      </c>
      <c r="L50" s="3">
        <v>423059200</v>
      </c>
      <c r="M50" s="5"/>
      <c r="N50" s="3">
        <v>7500000</v>
      </c>
      <c r="O50" s="40"/>
      <c r="P50" s="40"/>
      <c r="Q50" s="3">
        <f t="shared" si="5"/>
        <v>430559200</v>
      </c>
      <c r="R50" s="36">
        <v>423059200</v>
      </c>
      <c r="S50" s="7"/>
      <c r="T50" s="30">
        <v>7500000</v>
      </c>
      <c r="U50" s="7"/>
      <c r="V50" s="7"/>
      <c r="W50" s="36"/>
      <c r="X50" s="36">
        <f t="shared" si="6"/>
        <v>0</v>
      </c>
      <c r="Y50" s="36">
        <f t="shared" si="7"/>
        <v>0</v>
      </c>
      <c r="Z50" s="36">
        <f t="shared" si="8"/>
        <v>0</v>
      </c>
      <c r="AA50" s="4"/>
      <c r="AB50" s="79"/>
    </row>
    <row r="51" spans="1:28" ht="31.2" x14ac:dyDescent="0.3">
      <c r="A51" s="7" t="s">
        <v>18</v>
      </c>
      <c r="B51" s="6">
        <v>38</v>
      </c>
      <c r="C51" s="7" t="s">
        <v>144</v>
      </c>
      <c r="D51" s="7" t="s">
        <v>144</v>
      </c>
      <c r="E51" s="5"/>
      <c r="F51" s="7" t="s">
        <v>148</v>
      </c>
      <c r="G51" s="5"/>
      <c r="H51" s="5"/>
      <c r="I51" s="7" t="s">
        <v>149</v>
      </c>
      <c r="J51" s="7" t="s">
        <v>24</v>
      </c>
      <c r="K51" s="7" t="s">
        <v>150</v>
      </c>
      <c r="L51" s="3">
        <v>2853192406</v>
      </c>
      <c r="M51" s="5"/>
      <c r="N51" s="3">
        <v>7500000</v>
      </c>
      <c r="O51" s="40"/>
      <c r="P51" s="40"/>
      <c r="Q51" s="3">
        <f t="shared" si="5"/>
        <v>2860692406</v>
      </c>
      <c r="R51" s="36">
        <v>2853192406</v>
      </c>
      <c r="S51" s="7"/>
      <c r="T51" s="30">
        <v>7500000</v>
      </c>
      <c r="U51" s="7"/>
      <c r="V51" s="7"/>
      <c r="W51" s="36"/>
      <c r="X51" s="36">
        <f t="shared" si="6"/>
        <v>0</v>
      </c>
      <c r="Y51" s="36">
        <f t="shared" si="7"/>
        <v>0</v>
      </c>
      <c r="Z51" s="36">
        <f t="shared" si="8"/>
        <v>0</v>
      </c>
      <c r="AA51" s="4"/>
      <c r="AB51" s="79"/>
    </row>
    <row r="52" spans="1:28" ht="31.2" x14ac:dyDescent="0.3">
      <c r="A52" s="7" t="s">
        <v>46</v>
      </c>
      <c r="B52" s="6">
        <v>39</v>
      </c>
      <c r="C52" s="7" t="s">
        <v>144</v>
      </c>
      <c r="D52" s="7" t="s">
        <v>144</v>
      </c>
      <c r="E52" s="5"/>
      <c r="F52" s="7" t="s">
        <v>151</v>
      </c>
      <c r="G52" s="5"/>
      <c r="H52" s="5"/>
      <c r="I52" s="7" t="s">
        <v>152</v>
      </c>
      <c r="J52" s="7" t="s">
        <v>24</v>
      </c>
      <c r="K52" s="7" t="s">
        <v>153</v>
      </c>
      <c r="L52" s="3">
        <v>4069311354</v>
      </c>
      <c r="M52" s="5"/>
      <c r="N52" s="3">
        <v>15000000</v>
      </c>
      <c r="O52" s="40"/>
      <c r="P52" s="40"/>
      <c r="Q52" s="3">
        <f t="shared" si="5"/>
        <v>4084311354</v>
      </c>
      <c r="R52" s="36">
        <v>4069311354</v>
      </c>
      <c r="S52" s="7"/>
      <c r="T52" s="30">
        <v>15000000</v>
      </c>
      <c r="U52" s="7"/>
      <c r="V52" s="7"/>
      <c r="W52" s="36"/>
      <c r="X52" s="36">
        <f t="shared" si="6"/>
        <v>0</v>
      </c>
      <c r="Y52" s="36">
        <f t="shared" si="7"/>
        <v>0</v>
      </c>
      <c r="Z52" s="36">
        <f t="shared" si="8"/>
        <v>0</v>
      </c>
      <c r="AA52" s="4"/>
      <c r="AB52" s="79"/>
    </row>
    <row r="53" spans="1:28" ht="31.2" x14ac:dyDescent="0.3">
      <c r="A53" s="7" t="s">
        <v>18</v>
      </c>
      <c r="B53" s="148">
        <v>40</v>
      </c>
      <c r="C53" s="148" t="s">
        <v>144</v>
      </c>
      <c r="D53" s="7" t="s">
        <v>144</v>
      </c>
      <c r="E53" s="5"/>
      <c r="F53" s="148" t="s">
        <v>155</v>
      </c>
      <c r="G53" s="5"/>
      <c r="H53" s="5"/>
      <c r="I53" s="156" t="s">
        <v>156</v>
      </c>
      <c r="J53" s="148" t="s">
        <v>24</v>
      </c>
      <c r="K53" s="148" t="s">
        <v>157</v>
      </c>
      <c r="L53" s="3">
        <v>10000000</v>
      </c>
      <c r="M53" s="5"/>
      <c r="N53" s="3">
        <v>15000000</v>
      </c>
      <c r="O53" s="40" t="s">
        <v>154</v>
      </c>
      <c r="P53" s="10">
        <v>48000000</v>
      </c>
      <c r="Q53" s="3">
        <f t="shared" si="5"/>
        <v>73000000</v>
      </c>
      <c r="R53" s="36">
        <v>10000000</v>
      </c>
      <c r="S53" s="7"/>
      <c r="T53" s="30">
        <v>15000000</v>
      </c>
      <c r="U53" s="3">
        <v>48000000</v>
      </c>
      <c r="V53" s="7"/>
      <c r="W53" s="36"/>
      <c r="X53" s="36">
        <f t="shared" si="6"/>
        <v>0</v>
      </c>
      <c r="Y53" s="36">
        <f t="shared" si="7"/>
        <v>0</v>
      </c>
      <c r="Z53" s="36">
        <f t="shared" si="8"/>
        <v>0</v>
      </c>
      <c r="AA53" s="4"/>
      <c r="AB53" s="79"/>
    </row>
    <row r="54" spans="1:28" ht="42.6" customHeight="1" x14ac:dyDescent="0.3">
      <c r="A54" s="7"/>
      <c r="B54" s="149"/>
      <c r="C54" s="149"/>
      <c r="D54" s="7"/>
      <c r="E54" s="5"/>
      <c r="F54" s="149"/>
      <c r="G54" s="5"/>
      <c r="H54" s="5"/>
      <c r="I54" s="157"/>
      <c r="J54" s="149"/>
      <c r="K54" s="149"/>
      <c r="L54" s="3"/>
      <c r="M54" s="5"/>
      <c r="N54" s="3"/>
      <c r="O54" s="40" t="s">
        <v>3825</v>
      </c>
      <c r="P54" s="10">
        <v>48000000</v>
      </c>
      <c r="Q54" s="3"/>
      <c r="R54" s="36"/>
      <c r="S54" s="7"/>
      <c r="T54" s="30"/>
      <c r="U54" s="3"/>
      <c r="V54" s="7"/>
      <c r="W54" s="36"/>
      <c r="X54" s="36"/>
      <c r="Y54" s="36"/>
      <c r="Z54" s="3">
        <f t="shared" si="8"/>
        <v>48000000</v>
      </c>
      <c r="AA54" s="4"/>
      <c r="AB54" s="80" t="s">
        <v>3862</v>
      </c>
    </row>
    <row r="55" spans="1:28" ht="31.2" x14ac:dyDescent="0.3">
      <c r="A55" s="7" t="s">
        <v>18</v>
      </c>
      <c r="B55" s="6">
        <v>41</v>
      </c>
      <c r="C55" s="7" t="s">
        <v>144</v>
      </c>
      <c r="D55" s="7" t="s">
        <v>144</v>
      </c>
      <c r="E55" s="7" t="s">
        <v>158</v>
      </c>
      <c r="F55" s="7" t="s">
        <v>159</v>
      </c>
      <c r="G55" s="7" t="s">
        <v>160</v>
      </c>
      <c r="H55" s="5"/>
      <c r="I55" s="7" t="s">
        <v>161</v>
      </c>
      <c r="J55" s="7" t="s">
        <v>24</v>
      </c>
      <c r="K55" s="7" t="s">
        <v>162</v>
      </c>
      <c r="L55" s="3">
        <v>273809190</v>
      </c>
      <c r="M55" s="3">
        <v>25360128</v>
      </c>
      <c r="N55" s="3">
        <v>7500000</v>
      </c>
      <c r="O55" s="40"/>
      <c r="P55" s="40"/>
      <c r="Q55" s="3">
        <f t="shared" ref="Q55:Q86" si="9">L55+M55+N55+P55</f>
        <v>306669318</v>
      </c>
      <c r="R55" s="36">
        <v>273809190</v>
      </c>
      <c r="S55" s="7"/>
      <c r="T55" s="72"/>
      <c r="U55" s="7"/>
      <c r="V55" s="7"/>
      <c r="W55" s="36"/>
      <c r="X55" s="36">
        <f t="shared" ref="X55:X86" si="10">M55-S55</f>
        <v>25360128</v>
      </c>
      <c r="Y55" s="36">
        <f t="shared" ref="Y55:Y86" si="11">N55-T55</f>
        <v>7500000</v>
      </c>
      <c r="Z55" s="36">
        <f t="shared" si="8"/>
        <v>0</v>
      </c>
      <c r="AA55" s="4"/>
      <c r="AB55" s="79"/>
    </row>
    <row r="56" spans="1:28" ht="31.2" x14ac:dyDescent="0.3">
      <c r="A56" s="7" t="s">
        <v>62</v>
      </c>
      <c r="B56" s="6">
        <v>42</v>
      </c>
      <c r="C56" s="7" t="s">
        <v>144</v>
      </c>
      <c r="D56" s="7" t="s">
        <v>144</v>
      </c>
      <c r="E56" s="5"/>
      <c r="F56" s="7" t="s">
        <v>163</v>
      </c>
      <c r="G56" s="5"/>
      <c r="H56" s="5"/>
      <c r="I56" s="7" t="s">
        <v>164</v>
      </c>
      <c r="J56" s="7" t="s">
        <v>24</v>
      </c>
      <c r="K56" s="7" t="s">
        <v>165</v>
      </c>
      <c r="L56" s="6">
        <v>0</v>
      </c>
      <c r="M56" s="5"/>
      <c r="N56" s="3">
        <v>7500000</v>
      </c>
      <c r="O56" s="40"/>
      <c r="P56" s="40"/>
      <c r="Q56" s="3">
        <f t="shared" si="9"/>
        <v>7500000</v>
      </c>
      <c r="R56" s="6">
        <v>0</v>
      </c>
      <c r="S56" s="7"/>
      <c r="T56" s="30">
        <v>7500000</v>
      </c>
      <c r="U56" s="7"/>
      <c r="V56" s="7"/>
      <c r="W56" s="36"/>
      <c r="X56" s="36">
        <f t="shared" si="10"/>
        <v>0</v>
      </c>
      <c r="Y56" s="36">
        <f t="shared" si="11"/>
        <v>0</v>
      </c>
      <c r="Z56" s="36">
        <f t="shared" si="8"/>
        <v>0</v>
      </c>
      <c r="AA56" s="4"/>
      <c r="AB56" s="79"/>
    </row>
    <row r="57" spans="1:28" ht="31.2" x14ac:dyDescent="0.3">
      <c r="A57" s="7" t="s">
        <v>53</v>
      </c>
      <c r="B57" s="6">
        <v>43</v>
      </c>
      <c r="C57" s="7" t="s">
        <v>144</v>
      </c>
      <c r="D57" s="7" t="s">
        <v>144</v>
      </c>
      <c r="E57" s="7" t="s">
        <v>158</v>
      </c>
      <c r="F57" s="7" t="s">
        <v>166</v>
      </c>
      <c r="G57" s="7" t="s">
        <v>167</v>
      </c>
      <c r="H57" s="5"/>
      <c r="I57" s="7" t="s">
        <v>168</v>
      </c>
      <c r="J57" s="7" t="s">
        <v>24</v>
      </c>
      <c r="K57" s="7" t="s">
        <v>169</v>
      </c>
      <c r="L57" s="3">
        <v>1937908151</v>
      </c>
      <c r="M57" s="3">
        <v>423068659</v>
      </c>
      <c r="N57" s="3">
        <v>7500000</v>
      </c>
      <c r="O57" s="40"/>
      <c r="P57" s="40"/>
      <c r="Q57" s="3">
        <f t="shared" si="9"/>
        <v>2368476810</v>
      </c>
      <c r="R57" s="36">
        <v>1937908151</v>
      </c>
      <c r="S57" s="3">
        <v>423068659</v>
      </c>
      <c r="T57" s="30">
        <v>7500000</v>
      </c>
      <c r="U57" s="7"/>
      <c r="V57" s="7"/>
      <c r="W57" s="36"/>
      <c r="X57" s="36">
        <f t="shared" si="10"/>
        <v>0</v>
      </c>
      <c r="Y57" s="36">
        <f t="shared" si="11"/>
        <v>0</v>
      </c>
      <c r="Z57" s="36">
        <f t="shared" si="8"/>
        <v>0</v>
      </c>
      <c r="AA57" s="4"/>
      <c r="AB57" s="79"/>
    </row>
    <row r="58" spans="1:28" ht="78" x14ac:dyDescent="0.3">
      <c r="A58" s="7" t="s">
        <v>46</v>
      </c>
      <c r="B58" s="6">
        <v>44</v>
      </c>
      <c r="C58" s="7" t="s">
        <v>144</v>
      </c>
      <c r="D58" s="7" t="s">
        <v>170</v>
      </c>
      <c r="E58" s="5"/>
      <c r="F58" s="7" t="s">
        <v>171</v>
      </c>
      <c r="G58" s="5"/>
      <c r="H58" s="7" t="s">
        <v>28</v>
      </c>
      <c r="I58" s="7" t="s">
        <v>172</v>
      </c>
      <c r="J58" s="7" t="s">
        <v>24</v>
      </c>
      <c r="K58" s="7" t="s">
        <v>173</v>
      </c>
      <c r="L58" s="3">
        <v>2962663956</v>
      </c>
      <c r="M58" s="5"/>
      <c r="N58" s="3">
        <v>7500000</v>
      </c>
      <c r="O58" s="40"/>
      <c r="P58" s="40"/>
      <c r="Q58" s="3">
        <f t="shared" si="9"/>
        <v>2970163956</v>
      </c>
      <c r="R58" s="36">
        <v>2962663956</v>
      </c>
      <c r="S58" s="7"/>
      <c r="T58" s="30">
        <v>7500000</v>
      </c>
      <c r="U58" s="7"/>
      <c r="V58" s="7"/>
      <c r="W58" s="36"/>
      <c r="X58" s="36">
        <f t="shared" si="10"/>
        <v>0</v>
      </c>
      <c r="Y58" s="36">
        <f t="shared" si="11"/>
        <v>0</v>
      </c>
      <c r="Z58" s="36">
        <f t="shared" si="8"/>
        <v>0</v>
      </c>
      <c r="AA58" s="4"/>
      <c r="AB58" s="79"/>
    </row>
    <row r="59" spans="1:28" ht="31.2" x14ac:dyDescent="0.3">
      <c r="A59" s="7" t="s">
        <v>62</v>
      </c>
      <c r="B59" s="6">
        <v>45</v>
      </c>
      <c r="C59" s="7" t="s">
        <v>144</v>
      </c>
      <c r="D59" s="7" t="s">
        <v>144</v>
      </c>
      <c r="E59" s="5"/>
      <c r="F59" s="7" t="s">
        <v>174</v>
      </c>
      <c r="G59" s="5"/>
      <c r="H59" s="5"/>
      <c r="I59" s="7" t="s">
        <v>175</v>
      </c>
      <c r="J59" s="7" t="s">
        <v>24</v>
      </c>
      <c r="K59" s="7" t="s">
        <v>176</v>
      </c>
      <c r="L59" s="3">
        <v>2457405327</v>
      </c>
      <c r="M59" s="5"/>
      <c r="N59" s="3">
        <v>15000000</v>
      </c>
      <c r="O59" s="40"/>
      <c r="P59" s="40"/>
      <c r="Q59" s="3">
        <f t="shared" si="9"/>
        <v>2472405327</v>
      </c>
      <c r="R59" s="36">
        <v>2457405327</v>
      </c>
      <c r="S59" s="7"/>
      <c r="T59" s="30">
        <v>15000000</v>
      </c>
      <c r="U59" s="7"/>
      <c r="V59" s="7"/>
      <c r="W59" s="36"/>
      <c r="X59" s="36">
        <f t="shared" si="10"/>
        <v>0</v>
      </c>
      <c r="Y59" s="36">
        <f t="shared" si="11"/>
        <v>0</v>
      </c>
      <c r="Z59" s="36">
        <f t="shared" si="8"/>
        <v>0</v>
      </c>
      <c r="AA59" s="4"/>
      <c r="AB59" s="79"/>
    </row>
    <row r="60" spans="1:28" ht="31.2" x14ac:dyDescent="0.3">
      <c r="A60" s="7" t="s">
        <v>46</v>
      </c>
      <c r="B60" s="6">
        <v>46</v>
      </c>
      <c r="C60" s="7" t="s">
        <v>144</v>
      </c>
      <c r="D60" s="7" t="s">
        <v>144</v>
      </c>
      <c r="E60" s="7" t="s">
        <v>177</v>
      </c>
      <c r="F60" s="7" t="s">
        <v>178</v>
      </c>
      <c r="G60" s="7" t="s">
        <v>179</v>
      </c>
      <c r="H60" s="5"/>
      <c r="I60" s="7" t="s">
        <v>180</v>
      </c>
      <c r="J60" s="7" t="s">
        <v>24</v>
      </c>
      <c r="K60" s="7" t="s">
        <v>181</v>
      </c>
      <c r="L60" s="3">
        <v>2149999856</v>
      </c>
      <c r="M60" s="3">
        <v>166472064</v>
      </c>
      <c r="N60" s="3">
        <v>7500000</v>
      </c>
      <c r="O60" s="40"/>
      <c r="P60" s="40"/>
      <c r="Q60" s="3">
        <f t="shared" si="9"/>
        <v>2323971920</v>
      </c>
      <c r="R60" s="36">
        <v>2149999856</v>
      </c>
      <c r="S60" s="3">
        <v>166472064</v>
      </c>
      <c r="T60" s="30">
        <v>7500000</v>
      </c>
      <c r="U60" s="7"/>
      <c r="V60" s="7"/>
      <c r="W60" s="36"/>
      <c r="X60" s="36">
        <f t="shared" si="10"/>
        <v>0</v>
      </c>
      <c r="Y60" s="36">
        <f t="shared" si="11"/>
        <v>0</v>
      </c>
      <c r="Z60" s="36">
        <f t="shared" si="8"/>
        <v>0</v>
      </c>
      <c r="AA60" s="4"/>
      <c r="AB60" s="79"/>
    </row>
    <row r="61" spans="1:28" ht="31.2" x14ac:dyDescent="0.3">
      <c r="A61" s="7" t="s">
        <v>46</v>
      </c>
      <c r="B61" s="6">
        <v>47</v>
      </c>
      <c r="C61" s="7" t="s">
        <v>144</v>
      </c>
      <c r="D61" s="7" t="s">
        <v>144</v>
      </c>
      <c r="E61" s="5"/>
      <c r="F61" s="7" t="s">
        <v>183</v>
      </c>
      <c r="G61" s="5"/>
      <c r="H61" s="7" t="s">
        <v>184</v>
      </c>
      <c r="I61" s="7" t="s">
        <v>185</v>
      </c>
      <c r="J61" s="7" t="s">
        <v>24</v>
      </c>
      <c r="K61" s="7" t="s">
        <v>186</v>
      </c>
      <c r="L61" s="3">
        <v>11046885900</v>
      </c>
      <c r="M61" s="5"/>
      <c r="N61" s="3">
        <v>15000000</v>
      </c>
      <c r="O61" s="7" t="s">
        <v>182</v>
      </c>
      <c r="P61" s="3">
        <v>84000000</v>
      </c>
      <c r="Q61" s="3">
        <f t="shared" si="9"/>
        <v>11145885900</v>
      </c>
      <c r="R61" s="36">
        <v>11046885900</v>
      </c>
      <c r="S61" s="7"/>
      <c r="T61" s="30">
        <v>15000000</v>
      </c>
      <c r="U61" s="7"/>
      <c r="V61" s="7"/>
      <c r="W61" s="36"/>
      <c r="X61" s="36">
        <f t="shared" si="10"/>
        <v>0</v>
      </c>
      <c r="Y61" s="36">
        <f t="shared" si="11"/>
        <v>0</v>
      </c>
      <c r="Z61" s="36">
        <f t="shared" si="8"/>
        <v>84000000</v>
      </c>
      <c r="AA61" s="4"/>
      <c r="AB61" s="83"/>
    </row>
    <row r="62" spans="1:28" ht="31.2" x14ac:dyDescent="0.3">
      <c r="A62" s="7" t="s">
        <v>46</v>
      </c>
      <c r="B62" s="6">
        <v>48</v>
      </c>
      <c r="C62" s="7" t="s">
        <v>144</v>
      </c>
      <c r="D62" s="7" t="s">
        <v>144</v>
      </c>
      <c r="E62" s="7" t="s">
        <v>187</v>
      </c>
      <c r="F62" s="7" t="s">
        <v>188</v>
      </c>
      <c r="G62" s="7" t="s">
        <v>189</v>
      </c>
      <c r="H62" s="7" t="s">
        <v>190</v>
      </c>
      <c r="I62" s="7" t="s">
        <v>191</v>
      </c>
      <c r="J62" s="7" t="s">
        <v>24</v>
      </c>
      <c r="K62" s="7" t="s">
        <v>192</v>
      </c>
      <c r="L62" s="3">
        <v>1487841100</v>
      </c>
      <c r="M62" s="3">
        <v>327633600</v>
      </c>
      <c r="N62" s="3">
        <v>15000000</v>
      </c>
      <c r="O62" s="40"/>
      <c r="P62" s="40"/>
      <c r="Q62" s="3">
        <f t="shared" si="9"/>
        <v>1830474700</v>
      </c>
      <c r="R62" s="36">
        <v>1487841100</v>
      </c>
      <c r="S62" s="7"/>
      <c r="T62" s="30">
        <v>15000000</v>
      </c>
      <c r="U62" s="7"/>
      <c r="V62" s="7"/>
      <c r="W62" s="36"/>
      <c r="X62" s="36">
        <f t="shared" si="10"/>
        <v>327633600</v>
      </c>
      <c r="Y62" s="36">
        <f t="shared" si="11"/>
        <v>0</v>
      </c>
      <c r="Z62" s="36">
        <f t="shared" si="8"/>
        <v>0</v>
      </c>
      <c r="AA62" s="4"/>
      <c r="AB62" s="79"/>
    </row>
    <row r="63" spans="1:28" ht="31.2" x14ac:dyDescent="0.3">
      <c r="A63" s="7" t="s">
        <v>18</v>
      </c>
      <c r="B63" s="6">
        <v>49</v>
      </c>
      <c r="C63" s="7" t="s">
        <v>144</v>
      </c>
      <c r="D63" s="7" t="s">
        <v>144</v>
      </c>
      <c r="E63" s="5"/>
      <c r="F63" s="7" t="s">
        <v>193</v>
      </c>
      <c r="G63" s="5"/>
      <c r="H63" s="5"/>
      <c r="I63" s="7" t="s">
        <v>194</v>
      </c>
      <c r="J63" s="7" t="s">
        <v>24</v>
      </c>
      <c r="K63" s="7" t="s">
        <v>195</v>
      </c>
      <c r="L63" s="3">
        <v>555745056</v>
      </c>
      <c r="M63" s="5"/>
      <c r="N63" s="3">
        <v>7500000</v>
      </c>
      <c r="O63" s="40"/>
      <c r="P63" s="40"/>
      <c r="Q63" s="3">
        <f t="shared" si="9"/>
        <v>563245056</v>
      </c>
      <c r="R63" s="36">
        <v>555745056</v>
      </c>
      <c r="S63" s="7"/>
      <c r="T63" s="30">
        <v>7500000</v>
      </c>
      <c r="U63" s="7"/>
      <c r="V63" s="7"/>
      <c r="W63" s="36"/>
      <c r="X63" s="36">
        <f t="shared" si="10"/>
        <v>0</v>
      </c>
      <c r="Y63" s="36">
        <f t="shared" si="11"/>
        <v>0</v>
      </c>
      <c r="Z63" s="36">
        <f t="shared" si="8"/>
        <v>0</v>
      </c>
      <c r="AA63" s="4"/>
      <c r="AB63" s="79"/>
    </row>
    <row r="64" spans="1:28" ht="31.2" x14ac:dyDescent="0.3">
      <c r="A64" s="7" t="s">
        <v>53</v>
      </c>
      <c r="B64" s="6">
        <v>50</v>
      </c>
      <c r="C64" s="7" t="s">
        <v>144</v>
      </c>
      <c r="D64" s="7" t="s">
        <v>144</v>
      </c>
      <c r="E64" s="5"/>
      <c r="F64" s="7" t="s">
        <v>196</v>
      </c>
      <c r="G64" s="5"/>
      <c r="H64" s="5"/>
      <c r="I64" s="7" t="s">
        <v>197</v>
      </c>
      <c r="J64" s="7" t="s">
        <v>24</v>
      </c>
      <c r="K64" s="7" t="s">
        <v>109</v>
      </c>
      <c r="L64" s="3">
        <v>10000000</v>
      </c>
      <c r="M64" s="5"/>
      <c r="N64" s="3">
        <v>15000000</v>
      </c>
      <c r="O64" s="40"/>
      <c r="P64" s="40"/>
      <c r="Q64" s="3">
        <f t="shared" si="9"/>
        <v>25000000</v>
      </c>
      <c r="R64" s="36">
        <v>10000000</v>
      </c>
      <c r="S64" s="7"/>
      <c r="T64" s="30">
        <v>15000000</v>
      </c>
      <c r="U64" s="7"/>
      <c r="V64" s="7"/>
      <c r="W64" s="36"/>
      <c r="X64" s="36">
        <f t="shared" si="10"/>
        <v>0</v>
      </c>
      <c r="Y64" s="36">
        <f t="shared" si="11"/>
        <v>0</v>
      </c>
      <c r="Z64" s="36">
        <f t="shared" si="8"/>
        <v>0</v>
      </c>
      <c r="AA64" s="4"/>
      <c r="AB64" s="79"/>
    </row>
    <row r="65" spans="1:28" ht="31.2" x14ac:dyDescent="0.3">
      <c r="A65" s="7" t="s">
        <v>53</v>
      </c>
      <c r="B65" s="6">
        <v>51</v>
      </c>
      <c r="C65" s="7" t="s">
        <v>144</v>
      </c>
      <c r="D65" s="7" t="s">
        <v>144</v>
      </c>
      <c r="E65" s="5"/>
      <c r="F65" s="7" t="s">
        <v>198</v>
      </c>
      <c r="G65" s="5"/>
      <c r="H65" s="7" t="s">
        <v>199</v>
      </c>
      <c r="I65" s="7" t="s">
        <v>200</v>
      </c>
      <c r="J65" s="7" t="s">
        <v>24</v>
      </c>
      <c r="K65" s="7" t="s">
        <v>201</v>
      </c>
      <c r="L65" s="3">
        <v>3606786776</v>
      </c>
      <c r="M65" s="5"/>
      <c r="N65" s="3">
        <v>15000000</v>
      </c>
      <c r="O65" s="40"/>
      <c r="P65" s="40"/>
      <c r="Q65" s="3">
        <f t="shared" si="9"/>
        <v>3621786776</v>
      </c>
      <c r="R65" s="36">
        <v>3606786776</v>
      </c>
      <c r="S65" s="7"/>
      <c r="T65" s="30">
        <v>15000000</v>
      </c>
      <c r="U65" s="7"/>
      <c r="V65" s="7"/>
      <c r="W65" s="36"/>
      <c r="X65" s="36">
        <f t="shared" si="10"/>
        <v>0</v>
      </c>
      <c r="Y65" s="36">
        <f t="shared" si="11"/>
        <v>0</v>
      </c>
      <c r="Z65" s="36">
        <f t="shared" si="8"/>
        <v>0</v>
      </c>
      <c r="AA65" s="4"/>
      <c r="AB65" s="79"/>
    </row>
    <row r="66" spans="1:28" ht="31.2" x14ac:dyDescent="0.3">
      <c r="A66" s="7" t="s">
        <v>53</v>
      </c>
      <c r="B66" s="6">
        <v>52</v>
      </c>
      <c r="C66" s="7" t="s">
        <v>144</v>
      </c>
      <c r="D66" s="7" t="s">
        <v>144</v>
      </c>
      <c r="E66" s="5"/>
      <c r="F66" s="7" t="s">
        <v>202</v>
      </c>
      <c r="G66" s="5"/>
      <c r="H66" s="5"/>
      <c r="I66" s="7" t="s">
        <v>203</v>
      </c>
      <c r="J66" s="7" t="s">
        <v>24</v>
      </c>
      <c r="K66" s="7" t="s">
        <v>204</v>
      </c>
      <c r="L66" s="3">
        <v>355657340</v>
      </c>
      <c r="M66" s="5"/>
      <c r="N66" s="3">
        <v>7500000</v>
      </c>
      <c r="O66" s="40"/>
      <c r="P66" s="40"/>
      <c r="Q66" s="3">
        <f t="shared" si="9"/>
        <v>363157340</v>
      </c>
      <c r="R66" s="36">
        <v>355657340</v>
      </c>
      <c r="S66" s="7"/>
      <c r="T66" s="30">
        <v>7500000</v>
      </c>
      <c r="U66" s="7"/>
      <c r="V66" s="7"/>
      <c r="W66" s="36"/>
      <c r="X66" s="36">
        <f t="shared" si="10"/>
        <v>0</v>
      </c>
      <c r="Y66" s="36">
        <f t="shared" si="11"/>
        <v>0</v>
      </c>
      <c r="Z66" s="36">
        <f t="shared" si="8"/>
        <v>0</v>
      </c>
      <c r="AA66" s="4"/>
      <c r="AB66" s="79"/>
    </row>
    <row r="67" spans="1:28" ht="31.2" x14ac:dyDescent="0.3">
      <c r="A67" s="7" t="s">
        <v>62</v>
      </c>
      <c r="B67" s="6">
        <v>53</v>
      </c>
      <c r="C67" s="7" t="s">
        <v>205</v>
      </c>
      <c r="D67" s="7" t="s">
        <v>205</v>
      </c>
      <c r="E67" s="5"/>
      <c r="F67" s="7" t="s">
        <v>206</v>
      </c>
      <c r="G67" s="5"/>
      <c r="H67" s="5"/>
      <c r="I67" s="7" t="s">
        <v>207</v>
      </c>
      <c r="J67" s="7" t="s">
        <v>24</v>
      </c>
      <c r="K67" s="7" t="s">
        <v>208</v>
      </c>
      <c r="L67" s="3">
        <v>7557570900</v>
      </c>
      <c r="M67" s="5"/>
      <c r="N67" s="3">
        <v>7500000</v>
      </c>
      <c r="O67" s="40"/>
      <c r="P67" s="40"/>
      <c r="Q67" s="3">
        <f t="shared" si="9"/>
        <v>7565070900</v>
      </c>
      <c r="R67" s="36">
        <v>7557570900</v>
      </c>
      <c r="S67" s="7"/>
      <c r="T67" s="30">
        <v>7500000</v>
      </c>
      <c r="U67" s="7"/>
      <c r="V67" s="7"/>
      <c r="W67" s="36"/>
      <c r="X67" s="36">
        <f t="shared" si="10"/>
        <v>0</v>
      </c>
      <c r="Y67" s="36">
        <f t="shared" si="11"/>
        <v>0</v>
      </c>
      <c r="Z67" s="36">
        <f t="shared" si="8"/>
        <v>0</v>
      </c>
      <c r="AA67" s="4"/>
      <c r="AB67" s="79"/>
    </row>
    <row r="68" spans="1:28" ht="31.2" x14ac:dyDescent="0.3">
      <c r="A68" s="7" t="s">
        <v>46</v>
      </c>
      <c r="B68" s="6">
        <v>54</v>
      </c>
      <c r="C68" s="7" t="s">
        <v>205</v>
      </c>
      <c r="D68" s="7" t="s">
        <v>205</v>
      </c>
      <c r="E68" s="5"/>
      <c r="F68" s="7" t="s">
        <v>209</v>
      </c>
      <c r="G68" s="5"/>
      <c r="H68" s="5"/>
      <c r="I68" s="7" t="s">
        <v>210</v>
      </c>
      <c r="J68" s="7" t="s">
        <v>24</v>
      </c>
      <c r="K68" s="7" t="s">
        <v>211</v>
      </c>
      <c r="L68" s="6">
        <v>0</v>
      </c>
      <c r="M68" s="5"/>
      <c r="N68" s="3">
        <v>7500000</v>
      </c>
      <c r="O68" s="40"/>
      <c r="P68" s="40"/>
      <c r="Q68" s="3">
        <f t="shared" si="9"/>
        <v>7500000</v>
      </c>
      <c r="R68" s="6">
        <v>0</v>
      </c>
      <c r="S68" s="7"/>
      <c r="T68" s="30">
        <v>7500000</v>
      </c>
      <c r="U68" s="7"/>
      <c r="V68" s="7"/>
      <c r="W68" s="36"/>
      <c r="X68" s="36">
        <f t="shared" si="10"/>
        <v>0</v>
      </c>
      <c r="Y68" s="36">
        <f t="shared" si="11"/>
        <v>0</v>
      </c>
      <c r="Z68" s="36">
        <f t="shared" si="8"/>
        <v>0</v>
      </c>
      <c r="AA68" s="4"/>
      <c r="AB68" s="79"/>
    </row>
    <row r="69" spans="1:28" ht="31.2" x14ac:dyDescent="0.3">
      <c r="A69" s="7" t="s">
        <v>46</v>
      </c>
      <c r="B69" s="6">
        <v>55</v>
      </c>
      <c r="C69" s="7" t="s">
        <v>205</v>
      </c>
      <c r="D69" s="7" t="s">
        <v>205</v>
      </c>
      <c r="E69" s="7" t="s">
        <v>212</v>
      </c>
      <c r="F69" s="7" t="s">
        <v>213</v>
      </c>
      <c r="G69" s="7" t="s">
        <v>214</v>
      </c>
      <c r="H69" s="5"/>
      <c r="I69" s="7" t="s">
        <v>215</v>
      </c>
      <c r="J69" s="7" t="s">
        <v>24</v>
      </c>
      <c r="K69" s="7" t="s">
        <v>216</v>
      </c>
      <c r="L69" s="3">
        <v>9203203092</v>
      </c>
      <c r="M69" s="3">
        <v>177091834</v>
      </c>
      <c r="N69" s="3">
        <v>15000000</v>
      </c>
      <c r="O69" s="40"/>
      <c r="P69" s="40"/>
      <c r="Q69" s="3">
        <f t="shared" si="9"/>
        <v>9395294926</v>
      </c>
      <c r="R69" s="36">
        <v>9203203092</v>
      </c>
      <c r="S69" s="3">
        <v>177091834</v>
      </c>
      <c r="T69" s="30">
        <v>15000000</v>
      </c>
      <c r="U69" s="7"/>
      <c r="V69" s="7"/>
      <c r="W69" s="36"/>
      <c r="X69" s="36">
        <f t="shared" si="10"/>
        <v>0</v>
      </c>
      <c r="Y69" s="36">
        <f t="shared" si="11"/>
        <v>0</v>
      </c>
      <c r="Z69" s="36">
        <f t="shared" si="8"/>
        <v>0</v>
      </c>
      <c r="AA69" s="4"/>
      <c r="AB69" s="79"/>
    </row>
    <row r="70" spans="1:28" ht="31.2" x14ac:dyDescent="0.3">
      <c r="A70" s="7" t="s">
        <v>62</v>
      </c>
      <c r="B70" s="6">
        <v>56</v>
      </c>
      <c r="C70" s="7" t="s">
        <v>205</v>
      </c>
      <c r="D70" s="7" t="s">
        <v>205</v>
      </c>
      <c r="E70" s="5"/>
      <c r="F70" s="7" t="s">
        <v>217</v>
      </c>
      <c r="G70" s="5"/>
      <c r="H70" s="5"/>
      <c r="I70" s="7" t="s">
        <v>218</v>
      </c>
      <c r="J70" s="7" t="s">
        <v>24</v>
      </c>
      <c r="K70" s="7" t="s">
        <v>219</v>
      </c>
      <c r="L70" s="3">
        <v>436279800</v>
      </c>
      <c r="M70" s="5"/>
      <c r="N70" s="3">
        <v>7500000</v>
      </c>
      <c r="O70" s="40"/>
      <c r="P70" s="40"/>
      <c r="Q70" s="3">
        <f t="shared" si="9"/>
        <v>443779800</v>
      </c>
      <c r="R70" s="36">
        <v>436279800</v>
      </c>
      <c r="S70" s="7"/>
      <c r="T70" s="72"/>
      <c r="U70" s="7"/>
      <c r="V70" s="7"/>
      <c r="W70" s="36"/>
      <c r="X70" s="36">
        <f t="shared" si="10"/>
        <v>0</v>
      </c>
      <c r="Y70" s="36">
        <f t="shared" si="11"/>
        <v>7500000</v>
      </c>
      <c r="Z70" s="36">
        <f t="shared" si="8"/>
        <v>0</v>
      </c>
      <c r="AA70" s="4"/>
      <c r="AB70" s="79"/>
    </row>
    <row r="71" spans="1:28" ht="31.2" x14ac:dyDescent="0.3">
      <c r="A71" s="7" t="s">
        <v>18</v>
      </c>
      <c r="B71" s="6">
        <v>57</v>
      </c>
      <c r="C71" s="7" t="s">
        <v>205</v>
      </c>
      <c r="D71" s="7" t="s">
        <v>205</v>
      </c>
      <c r="E71" s="5"/>
      <c r="F71" s="7" t="s">
        <v>220</v>
      </c>
      <c r="G71" s="5"/>
      <c r="H71" s="5"/>
      <c r="I71" s="7" t="s">
        <v>221</v>
      </c>
      <c r="J71" s="7" t="s">
        <v>24</v>
      </c>
      <c r="K71" s="7" t="s">
        <v>222</v>
      </c>
      <c r="L71" s="3">
        <v>343735600</v>
      </c>
      <c r="M71" s="5"/>
      <c r="N71" s="3">
        <v>7500000</v>
      </c>
      <c r="O71" s="40"/>
      <c r="P71" s="40"/>
      <c r="Q71" s="3">
        <f t="shared" si="9"/>
        <v>351235600</v>
      </c>
      <c r="R71" s="36">
        <v>343735600</v>
      </c>
      <c r="S71" s="7"/>
      <c r="T71" s="30">
        <v>7500000</v>
      </c>
      <c r="U71" s="7"/>
      <c r="V71" s="7"/>
      <c r="W71" s="36"/>
      <c r="X71" s="36">
        <f t="shared" si="10"/>
        <v>0</v>
      </c>
      <c r="Y71" s="36">
        <f t="shared" si="11"/>
        <v>0</v>
      </c>
      <c r="Z71" s="36">
        <f t="shared" si="8"/>
        <v>0</v>
      </c>
      <c r="AA71" s="4"/>
      <c r="AB71" s="79"/>
    </row>
    <row r="72" spans="1:28" ht="31.2" x14ac:dyDescent="0.3">
      <c r="A72" s="7" t="s">
        <v>53</v>
      </c>
      <c r="B72" s="6">
        <v>58</v>
      </c>
      <c r="C72" s="7" t="s">
        <v>205</v>
      </c>
      <c r="D72" s="7" t="s">
        <v>205</v>
      </c>
      <c r="E72" s="5"/>
      <c r="F72" s="7" t="s">
        <v>223</v>
      </c>
      <c r="G72" s="5"/>
      <c r="H72" s="5"/>
      <c r="I72" s="7" t="s">
        <v>224</v>
      </c>
      <c r="J72" s="7" t="s">
        <v>24</v>
      </c>
      <c r="K72" s="7" t="s">
        <v>225</v>
      </c>
      <c r="L72" s="3">
        <v>102008431</v>
      </c>
      <c r="M72" s="5"/>
      <c r="N72" s="3">
        <v>7500000</v>
      </c>
      <c r="O72" s="40"/>
      <c r="P72" s="40"/>
      <c r="Q72" s="3">
        <f t="shared" si="9"/>
        <v>109508431</v>
      </c>
      <c r="R72" s="36">
        <v>102008431</v>
      </c>
      <c r="S72" s="7"/>
      <c r="T72" s="30">
        <v>7500000</v>
      </c>
      <c r="U72" s="7"/>
      <c r="V72" s="7"/>
      <c r="W72" s="36"/>
      <c r="X72" s="36">
        <f t="shared" si="10"/>
        <v>0</v>
      </c>
      <c r="Y72" s="36">
        <f t="shared" si="11"/>
        <v>0</v>
      </c>
      <c r="Z72" s="36">
        <f t="shared" si="8"/>
        <v>0</v>
      </c>
      <c r="AA72" s="4"/>
      <c r="AB72" s="79"/>
    </row>
    <row r="73" spans="1:28" ht="31.2" x14ac:dyDescent="0.3">
      <c r="A73" s="7" t="s">
        <v>53</v>
      </c>
      <c r="B73" s="6">
        <v>59</v>
      </c>
      <c r="C73" s="7" t="s">
        <v>205</v>
      </c>
      <c r="D73" s="7" t="s">
        <v>205</v>
      </c>
      <c r="E73" s="5"/>
      <c r="F73" s="7" t="s">
        <v>226</v>
      </c>
      <c r="G73" s="5"/>
      <c r="H73" s="5"/>
      <c r="I73" s="7" t="s">
        <v>227</v>
      </c>
      <c r="J73" s="7" t="s">
        <v>24</v>
      </c>
      <c r="K73" s="7" t="s">
        <v>228</v>
      </c>
      <c r="L73" s="3">
        <v>357575520</v>
      </c>
      <c r="M73" s="5"/>
      <c r="N73" s="3">
        <v>7500000</v>
      </c>
      <c r="O73" s="40"/>
      <c r="P73" s="40"/>
      <c r="Q73" s="3">
        <f t="shared" si="9"/>
        <v>365075520</v>
      </c>
      <c r="R73" s="36">
        <v>357575520</v>
      </c>
      <c r="S73" s="7"/>
      <c r="T73" s="30">
        <v>7500000</v>
      </c>
      <c r="U73" s="7"/>
      <c r="V73" s="7"/>
      <c r="W73" s="36"/>
      <c r="X73" s="36">
        <f t="shared" si="10"/>
        <v>0</v>
      </c>
      <c r="Y73" s="36">
        <f t="shared" si="11"/>
        <v>0</v>
      </c>
      <c r="Z73" s="36">
        <f t="shared" si="8"/>
        <v>0</v>
      </c>
      <c r="AA73" s="4"/>
      <c r="AB73" s="79"/>
    </row>
    <row r="74" spans="1:28" ht="31.2" x14ac:dyDescent="0.3">
      <c r="A74" s="7" t="s">
        <v>53</v>
      </c>
      <c r="B74" s="6">
        <v>60</v>
      </c>
      <c r="C74" s="7" t="s">
        <v>205</v>
      </c>
      <c r="D74" s="7" t="s">
        <v>205</v>
      </c>
      <c r="E74" s="7" t="s">
        <v>177</v>
      </c>
      <c r="F74" s="7" t="s">
        <v>229</v>
      </c>
      <c r="G74" s="7" t="s">
        <v>230</v>
      </c>
      <c r="H74" s="5"/>
      <c r="I74" s="7" t="s">
        <v>231</v>
      </c>
      <c r="J74" s="7" t="s">
        <v>24</v>
      </c>
      <c r="K74" s="7" t="s">
        <v>232</v>
      </c>
      <c r="L74" s="3">
        <v>2000913996</v>
      </c>
      <c r="M74" s="3">
        <v>13394304</v>
      </c>
      <c r="N74" s="3">
        <v>7500000</v>
      </c>
      <c r="O74" s="40"/>
      <c r="P74" s="40"/>
      <c r="Q74" s="3">
        <f t="shared" si="9"/>
        <v>2021808300</v>
      </c>
      <c r="R74" s="36">
        <v>2000913996</v>
      </c>
      <c r="S74" s="3">
        <v>13394304</v>
      </c>
      <c r="T74" s="30">
        <v>7500000</v>
      </c>
      <c r="U74" s="7"/>
      <c r="V74" s="7"/>
      <c r="W74" s="36"/>
      <c r="X74" s="36">
        <f t="shared" si="10"/>
        <v>0</v>
      </c>
      <c r="Y74" s="36">
        <f t="shared" si="11"/>
        <v>0</v>
      </c>
      <c r="Z74" s="36">
        <f t="shared" si="8"/>
        <v>0</v>
      </c>
      <c r="AA74" s="4"/>
      <c r="AB74" s="79"/>
    </row>
    <row r="75" spans="1:28" ht="31.2" x14ac:dyDescent="0.3">
      <c r="A75" s="7" t="s">
        <v>62</v>
      </c>
      <c r="B75" s="6">
        <v>61</v>
      </c>
      <c r="C75" s="7" t="s">
        <v>205</v>
      </c>
      <c r="D75" s="7" t="s">
        <v>205</v>
      </c>
      <c r="E75" s="5"/>
      <c r="F75" s="7" t="s">
        <v>233</v>
      </c>
      <c r="G75" s="5"/>
      <c r="H75" s="5"/>
      <c r="I75" s="7" t="s">
        <v>234</v>
      </c>
      <c r="J75" s="7" t="s">
        <v>24</v>
      </c>
      <c r="K75" s="7" t="s">
        <v>235</v>
      </c>
      <c r="L75" s="3">
        <v>11400194400</v>
      </c>
      <c r="M75" s="5"/>
      <c r="N75" s="3">
        <v>7500000</v>
      </c>
      <c r="O75" s="40"/>
      <c r="P75" s="40"/>
      <c r="Q75" s="3">
        <f t="shared" si="9"/>
        <v>11407694400</v>
      </c>
      <c r="R75" s="36">
        <v>11400194400</v>
      </c>
      <c r="S75" s="7"/>
      <c r="T75" s="30">
        <v>7500000</v>
      </c>
      <c r="U75" s="7"/>
      <c r="V75" s="7"/>
      <c r="W75" s="36"/>
      <c r="X75" s="36">
        <f t="shared" si="10"/>
        <v>0</v>
      </c>
      <c r="Y75" s="36">
        <f t="shared" si="11"/>
        <v>0</v>
      </c>
      <c r="Z75" s="36">
        <f t="shared" si="8"/>
        <v>0</v>
      </c>
      <c r="AA75" s="4"/>
      <c r="AB75" s="79"/>
    </row>
    <row r="76" spans="1:28" ht="31.2" x14ac:dyDescent="0.3">
      <c r="A76" s="7" t="s">
        <v>18</v>
      </c>
      <c r="B76" s="6">
        <v>62</v>
      </c>
      <c r="C76" s="7" t="s">
        <v>205</v>
      </c>
      <c r="D76" s="7" t="s">
        <v>205</v>
      </c>
      <c r="E76" s="5"/>
      <c r="F76" s="7" t="s">
        <v>236</v>
      </c>
      <c r="G76" s="5"/>
      <c r="H76" s="5"/>
      <c r="I76" s="7" t="s">
        <v>237</v>
      </c>
      <c r="J76" s="7" t="s">
        <v>24</v>
      </c>
      <c r="K76" s="7" t="s">
        <v>238</v>
      </c>
      <c r="L76" s="3">
        <v>859537200</v>
      </c>
      <c r="M76" s="5"/>
      <c r="N76" s="3">
        <v>7500000</v>
      </c>
      <c r="O76" s="40"/>
      <c r="P76" s="40"/>
      <c r="Q76" s="3">
        <f t="shared" si="9"/>
        <v>867037200</v>
      </c>
      <c r="R76" s="36">
        <v>859537200</v>
      </c>
      <c r="S76" s="7"/>
      <c r="T76" s="30">
        <v>7500000</v>
      </c>
      <c r="U76" s="7"/>
      <c r="V76" s="7"/>
      <c r="W76" s="36"/>
      <c r="X76" s="36">
        <f t="shared" si="10"/>
        <v>0</v>
      </c>
      <c r="Y76" s="36">
        <f t="shared" si="11"/>
        <v>0</v>
      </c>
      <c r="Z76" s="36">
        <f t="shared" si="8"/>
        <v>0</v>
      </c>
      <c r="AA76" s="4"/>
      <c r="AB76" s="79"/>
    </row>
    <row r="77" spans="1:28" ht="31.2" x14ac:dyDescent="0.3">
      <c r="A77" s="7" t="s">
        <v>46</v>
      </c>
      <c r="B77" s="6">
        <v>63</v>
      </c>
      <c r="C77" s="7" t="s">
        <v>205</v>
      </c>
      <c r="D77" s="7" t="s">
        <v>205</v>
      </c>
      <c r="E77" s="5"/>
      <c r="F77" s="7" t="s">
        <v>239</v>
      </c>
      <c r="G77" s="5"/>
      <c r="H77" s="5"/>
      <c r="I77" s="7" t="s">
        <v>240</v>
      </c>
      <c r="J77" s="7" t="s">
        <v>24</v>
      </c>
      <c r="K77" s="7" t="s">
        <v>241</v>
      </c>
      <c r="L77" s="6">
        <v>0</v>
      </c>
      <c r="M77" s="5"/>
      <c r="N77" s="3">
        <v>7500000</v>
      </c>
      <c r="O77" s="40"/>
      <c r="P77" s="40"/>
      <c r="Q77" s="3">
        <f t="shared" si="9"/>
        <v>7500000</v>
      </c>
      <c r="R77" s="6">
        <v>0</v>
      </c>
      <c r="S77" s="7"/>
      <c r="T77" s="72"/>
      <c r="U77" s="7"/>
      <c r="V77" s="7"/>
      <c r="W77" s="36"/>
      <c r="X77" s="36">
        <f t="shared" si="10"/>
        <v>0</v>
      </c>
      <c r="Y77" s="36">
        <f t="shared" si="11"/>
        <v>7500000</v>
      </c>
      <c r="Z77" s="36">
        <f t="shared" si="8"/>
        <v>0</v>
      </c>
      <c r="AA77" s="4"/>
      <c r="AB77" s="79"/>
    </row>
    <row r="78" spans="1:28" ht="31.2" x14ac:dyDescent="0.3">
      <c r="A78" s="7" t="s">
        <v>46</v>
      </c>
      <c r="B78" s="6">
        <v>64</v>
      </c>
      <c r="C78" s="7" t="s">
        <v>205</v>
      </c>
      <c r="D78" s="7" t="s">
        <v>205</v>
      </c>
      <c r="E78" s="5"/>
      <c r="F78" s="7" t="s">
        <v>242</v>
      </c>
      <c r="G78" s="5"/>
      <c r="H78" s="5"/>
      <c r="I78" s="7" t="s">
        <v>243</v>
      </c>
      <c r="J78" s="7" t="s">
        <v>24</v>
      </c>
      <c r="K78" s="7" t="s">
        <v>244</v>
      </c>
      <c r="L78" s="3">
        <v>47859600</v>
      </c>
      <c r="M78" s="5"/>
      <c r="N78" s="3">
        <v>7500000</v>
      </c>
      <c r="O78" s="40"/>
      <c r="P78" s="40"/>
      <c r="Q78" s="3">
        <f t="shared" si="9"/>
        <v>55359600</v>
      </c>
      <c r="R78" s="36">
        <v>47859600</v>
      </c>
      <c r="S78" s="7"/>
      <c r="T78" s="30">
        <v>7500000</v>
      </c>
      <c r="U78" s="7"/>
      <c r="V78" s="7"/>
      <c r="W78" s="36"/>
      <c r="X78" s="36">
        <f t="shared" si="10"/>
        <v>0</v>
      </c>
      <c r="Y78" s="36">
        <f t="shared" si="11"/>
        <v>0</v>
      </c>
      <c r="Z78" s="36">
        <f t="shared" si="8"/>
        <v>0</v>
      </c>
      <c r="AA78" s="4"/>
      <c r="AB78" s="79"/>
    </row>
    <row r="79" spans="1:28" ht="31.2" x14ac:dyDescent="0.3">
      <c r="A79" s="7" t="s">
        <v>26</v>
      </c>
      <c r="B79" s="6">
        <v>65</v>
      </c>
      <c r="C79" s="7" t="s">
        <v>205</v>
      </c>
      <c r="D79" s="7" t="s">
        <v>205</v>
      </c>
      <c r="E79" s="5"/>
      <c r="F79" s="7" t="s">
        <v>245</v>
      </c>
      <c r="G79" s="5"/>
      <c r="H79" s="7" t="s">
        <v>28</v>
      </c>
      <c r="I79" s="7" t="s">
        <v>246</v>
      </c>
      <c r="J79" s="7" t="s">
        <v>24</v>
      </c>
      <c r="K79" s="7" t="s">
        <v>247</v>
      </c>
      <c r="L79" s="6">
        <v>0</v>
      </c>
      <c r="M79" s="5"/>
      <c r="N79" s="7"/>
      <c r="O79" s="40"/>
      <c r="P79" s="40"/>
      <c r="Q79" s="3">
        <f t="shared" si="9"/>
        <v>0</v>
      </c>
      <c r="R79" s="6">
        <v>0</v>
      </c>
      <c r="S79" s="7"/>
      <c r="T79" s="72"/>
      <c r="U79" s="7"/>
      <c r="V79" s="7"/>
      <c r="W79" s="36"/>
      <c r="X79" s="36">
        <f t="shared" si="10"/>
        <v>0</v>
      </c>
      <c r="Y79" s="36">
        <f t="shared" si="11"/>
        <v>0</v>
      </c>
      <c r="Z79" s="36">
        <f t="shared" si="8"/>
        <v>0</v>
      </c>
      <c r="AA79" s="4"/>
      <c r="AB79" s="79"/>
    </row>
    <row r="80" spans="1:28" ht="31.2" x14ac:dyDescent="0.3">
      <c r="A80" s="7" t="s">
        <v>18</v>
      </c>
      <c r="B80" s="6">
        <v>66</v>
      </c>
      <c r="C80" s="7" t="s">
        <v>205</v>
      </c>
      <c r="D80" s="7" t="s">
        <v>205</v>
      </c>
      <c r="E80" s="5"/>
      <c r="F80" s="7" t="s">
        <v>248</v>
      </c>
      <c r="G80" s="5"/>
      <c r="H80" s="5"/>
      <c r="I80" s="7" t="s">
        <v>249</v>
      </c>
      <c r="J80" s="7" t="s">
        <v>24</v>
      </c>
      <c r="K80" s="7" t="s">
        <v>250</v>
      </c>
      <c r="L80" s="3">
        <v>440907010</v>
      </c>
      <c r="M80" s="5"/>
      <c r="N80" s="3">
        <v>7500000</v>
      </c>
      <c r="O80" s="40"/>
      <c r="P80" s="40"/>
      <c r="Q80" s="3">
        <f t="shared" si="9"/>
        <v>448407010</v>
      </c>
      <c r="R80" s="36">
        <v>440907010</v>
      </c>
      <c r="S80" s="7"/>
      <c r="T80" s="30">
        <v>7500000</v>
      </c>
      <c r="U80" s="7"/>
      <c r="V80" s="7"/>
      <c r="W80" s="36"/>
      <c r="X80" s="36">
        <f t="shared" si="10"/>
        <v>0</v>
      </c>
      <c r="Y80" s="36">
        <f t="shared" si="11"/>
        <v>0</v>
      </c>
      <c r="Z80" s="36">
        <f t="shared" ref="Z80:Z143" si="12">P80-U80</f>
        <v>0</v>
      </c>
      <c r="AA80" s="4"/>
      <c r="AB80" s="79"/>
    </row>
    <row r="81" spans="1:28" ht="31.2" x14ac:dyDescent="0.3">
      <c r="A81" s="7" t="s">
        <v>62</v>
      </c>
      <c r="B81" s="6">
        <v>67</v>
      </c>
      <c r="C81" s="7" t="s">
        <v>205</v>
      </c>
      <c r="D81" s="7" t="s">
        <v>205</v>
      </c>
      <c r="E81" s="7" t="s">
        <v>158</v>
      </c>
      <c r="F81" s="7" t="s">
        <v>251</v>
      </c>
      <c r="G81" s="7" t="s">
        <v>252</v>
      </c>
      <c r="H81" s="5"/>
      <c r="I81" s="7" t="s">
        <v>253</v>
      </c>
      <c r="J81" s="7" t="s">
        <v>24</v>
      </c>
      <c r="K81" s="7" t="s">
        <v>254</v>
      </c>
      <c r="L81" s="3">
        <v>880761416</v>
      </c>
      <c r="M81" s="3">
        <v>111348888</v>
      </c>
      <c r="N81" s="3">
        <v>15000000</v>
      </c>
      <c r="O81" s="40"/>
      <c r="P81" s="40"/>
      <c r="Q81" s="3">
        <f t="shared" si="9"/>
        <v>1007110304</v>
      </c>
      <c r="R81" s="36">
        <v>880761416</v>
      </c>
      <c r="S81" s="3">
        <v>111348888</v>
      </c>
      <c r="T81" s="30">
        <v>15000000</v>
      </c>
      <c r="U81" s="7"/>
      <c r="V81" s="7"/>
      <c r="W81" s="36"/>
      <c r="X81" s="36">
        <f t="shared" si="10"/>
        <v>0</v>
      </c>
      <c r="Y81" s="36">
        <f t="shared" si="11"/>
        <v>0</v>
      </c>
      <c r="Z81" s="36">
        <f t="shared" si="12"/>
        <v>0</v>
      </c>
      <c r="AA81" s="4"/>
      <c r="AB81" s="79"/>
    </row>
    <row r="82" spans="1:28" ht="31.2" x14ac:dyDescent="0.3">
      <c r="A82" s="7" t="s">
        <v>53</v>
      </c>
      <c r="B82" s="6">
        <v>68</v>
      </c>
      <c r="C82" s="7" t="s">
        <v>205</v>
      </c>
      <c r="D82" s="7" t="s">
        <v>205</v>
      </c>
      <c r="E82" s="5"/>
      <c r="F82" s="7" t="s">
        <v>255</v>
      </c>
      <c r="G82" s="5"/>
      <c r="H82" s="7" t="s">
        <v>256</v>
      </c>
      <c r="I82" s="7" t="s">
        <v>257</v>
      </c>
      <c r="J82" s="7" t="s">
        <v>24</v>
      </c>
      <c r="K82" s="7" t="s">
        <v>258</v>
      </c>
      <c r="L82" s="3">
        <v>3692631136</v>
      </c>
      <c r="M82" s="5"/>
      <c r="N82" s="3">
        <v>15000000</v>
      </c>
      <c r="O82" s="40"/>
      <c r="P82" s="40"/>
      <c r="Q82" s="3">
        <f t="shared" si="9"/>
        <v>3707631136</v>
      </c>
      <c r="R82" s="36">
        <v>3692631136</v>
      </c>
      <c r="S82" s="7"/>
      <c r="T82" s="30">
        <v>15000000</v>
      </c>
      <c r="U82" s="7"/>
      <c r="V82" s="7"/>
      <c r="W82" s="36"/>
      <c r="X82" s="36">
        <f t="shared" si="10"/>
        <v>0</v>
      </c>
      <c r="Y82" s="36">
        <f t="shared" si="11"/>
        <v>0</v>
      </c>
      <c r="Z82" s="36">
        <f t="shared" si="12"/>
        <v>0</v>
      </c>
      <c r="AA82" s="4"/>
      <c r="AB82" s="79"/>
    </row>
    <row r="83" spans="1:28" ht="109.2" x14ac:dyDescent="0.3">
      <c r="A83" s="7" t="s">
        <v>53</v>
      </c>
      <c r="B83" s="6">
        <v>69</v>
      </c>
      <c r="C83" s="7" t="s">
        <v>205</v>
      </c>
      <c r="D83" s="7" t="s">
        <v>205</v>
      </c>
      <c r="E83" s="7" t="s">
        <v>259</v>
      </c>
      <c r="F83" s="7" t="s">
        <v>260</v>
      </c>
      <c r="G83" s="7" t="s">
        <v>261</v>
      </c>
      <c r="H83" s="5"/>
      <c r="I83" s="7" t="s">
        <v>262</v>
      </c>
      <c r="J83" s="7" t="s">
        <v>24</v>
      </c>
      <c r="K83" s="7" t="s">
        <v>263</v>
      </c>
      <c r="L83" s="3">
        <v>10741645000</v>
      </c>
      <c r="M83" s="3">
        <v>2472792800</v>
      </c>
      <c r="N83" s="9">
        <v>15000000</v>
      </c>
      <c r="O83" s="40"/>
      <c r="P83" s="40"/>
      <c r="Q83" s="3">
        <f t="shared" si="9"/>
        <v>13229437800</v>
      </c>
      <c r="R83" s="36">
        <v>10741645000</v>
      </c>
      <c r="S83" s="3">
        <v>2472792800</v>
      </c>
      <c r="T83" s="32">
        <v>15000000</v>
      </c>
      <c r="U83" s="7"/>
      <c r="V83" s="7"/>
      <c r="W83" s="36"/>
      <c r="X83" s="36">
        <f t="shared" si="10"/>
        <v>0</v>
      </c>
      <c r="Y83" s="36">
        <f t="shared" si="11"/>
        <v>0</v>
      </c>
      <c r="Z83" s="36">
        <f t="shared" si="12"/>
        <v>0</v>
      </c>
      <c r="AA83" s="4"/>
      <c r="AB83" s="79"/>
    </row>
    <row r="84" spans="1:28" ht="31.2" x14ac:dyDescent="0.3">
      <c r="A84" s="7" t="s">
        <v>62</v>
      </c>
      <c r="B84" s="6">
        <v>70</v>
      </c>
      <c r="C84" s="7" t="s">
        <v>205</v>
      </c>
      <c r="D84" s="7" t="s">
        <v>205</v>
      </c>
      <c r="E84" s="5"/>
      <c r="F84" s="7" t="s">
        <v>265</v>
      </c>
      <c r="G84" s="5"/>
      <c r="H84" s="5"/>
      <c r="I84" s="7" t="s">
        <v>266</v>
      </c>
      <c r="J84" s="7" t="s">
        <v>24</v>
      </c>
      <c r="K84" s="7" t="s">
        <v>267</v>
      </c>
      <c r="L84" s="3">
        <v>3419539969</v>
      </c>
      <c r="M84" s="5"/>
      <c r="N84" s="3">
        <v>15000000</v>
      </c>
      <c r="O84" s="40" t="s">
        <v>264</v>
      </c>
      <c r="P84" s="10">
        <v>96000000</v>
      </c>
      <c r="Q84" s="3">
        <f t="shared" si="9"/>
        <v>3530539969</v>
      </c>
      <c r="R84" s="36">
        <v>3419539969</v>
      </c>
      <c r="S84" s="7"/>
      <c r="T84" s="30">
        <v>15000000</v>
      </c>
      <c r="U84" s="3">
        <v>96000000</v>
      </c>
      <c r="V84" s="7"/>
      <c r="W84" s="36"/>
      <c r="X84" s="36">
        <f t="shared" si="10"/>
        <v>0</v>
      </c>
      <c r="Y84" s="36">
        <f t="shared" si="11"/>
        <v>0</v>
      </c>
      <c r="Z84" s="36">
        <f t="shared" si="12"/>
        <v>0</v>
      </c>
      <c r="AA84" s="4"/>
      <c r="AB84" s="79"/>
    </row>
    <row r="85" spans="1:28" ht="31.2" x14ac:dyDescent="0.3">
      <c r="A85" s="7" t="s">
        <v>53</v>
      </c>
      <c r="B85" s="6">
        <v>71</v>
      </c>
      <c r="C85" s="7" t="s">
        <v>268</v>
      </c>
      <c r="D85" s="7" t="s">
        <v>268</v>
      </c>
      <c r="E85" s="5"/>
      <c r="F85" s="7" t="s">
        <v>269</v>
      </c>
      <c r="G85" s="5"/>
      <c r="H85" s="5"/>
      <c r="I85" s="7" t="s">
        <v>270</v>
      </c>
      <c r="J85" s="7" t="s">
        <v>24</v>
      </c>
      <c r="K85" s="7" t="s">
        <v>271</v>
      </c>
      <c r="L85" s="3">
        <v>4963312906</v>
      </c>
      <c r="M85" s="5"/>
      <c r="N85" s="3">
        <v>7500000</v>
      </c>
      <c r="O85" s="40"/>
      <c r="P85" s="40"/>
      <c r="Q85" s="3">
        <f t="shared" si="9"/>
        <v>4970812906</v>
      </c>
      <c r="R85" s="3">
        <v>4963312906</v>
      </c>
      <c r="S85" s="7"/>
      <c r="T85" s="30">
        <v>7500000</v>
      </c>
      <c r="U85" s="7"/>
      <c r="V85" s="7"/>
      <c r="W85" s="36"/>
      <c r="X85" s="36">
        <f t="shared" si="10"/>
        <v>0</v>
      </c>
      <c r="Y85" s="36">
        <f t="shared" si="11"/>
        <v>0</v>
      </c>
      <c r="Z85" s="36">
        <f t="shared" si="12"/>
        <v>0</v>
      </c>
      <c r="AA85" s="4"/>
      <c r="AB85" s="79"/>
    </row>
    <row r="86" spans="1:28" ht="31.2" x14ac:dyDescent="0.3">
      <c r="A86" s="7" t="s">
        <v>53</v>
      </c>
      <c r="B86" s="6">
        <v>72</v>
      </c>
      <c r="C86" s="7" t="s">
        <v>268</v>
      </c>
      <c r="D86" s="7" t="s">
        <v>268</v>
      </c>
      <c r="E86" s="5"/>
      <c r="F86" s="7" t="s">
        <v>272</v>
      </c>
      <c r="G86" s="5"/>
      <c r="H86" s="5"/>
      <c r="I86" s="7" t="s">
        <v>273</v>
      </c>
      <c r="J86" s="7" t="s">
        <v>24</v>
      </c>
      <c r="K86" s="7" t="s">
        <v>274</v>
      </c>
      <c r="L86" s="3">
        <v>456501640</v>
      </c>
      <c r="M86" s="5"/>
      <c r="N86" s="3">
        <v>7500000</v>
      </c>
      <c r="O86" s="40"/>
      <c r="P86" s="40"/>
      <c r="Q86" s="3">
        <f t="shared" si="9"/>
        <v>464001640</v>
      </c>
      <c r="R86" s="3">
        <v>456501640</v>
      </c>
      <c r="S86" s="7"/>
      <c r="T86" s="30">
        <v>7500000</v>
      </c>
      <c r="U86" s="7"/>
      <c r="V86" s="7"/>
      <c r="W86" s="36"/>
      <c r="X86" s="36">
        <f t="shared" si="10"/>
        <v>0</v>
      </c>
      <c r="Y86" s="36">
        <f t="shared" si="11"/>
        <v>0</v>
      </c>
      <c r="Z86" s="36">
        <f t="shared" si="12"/>
        <v>0</v>
      </c>
      <c r="AA86" s="4"/>
      <c r="AB86" s="79"/>
    </row>
    <row r="87" spans="1:28" ht="31.2" x14ac:dyDescent="0.3">
      <c r="A87" s="7" t="s">
        <v>18</v>
      </c>
      <c r="B87" s="6">
        <v>73</v>
      </c>
      <c r="C87" s="7" t="s">
        <v>268</v>
      </c>
      <c r="D87" s="7" t="s">
        <v>268</v>
      </c>
      <c r="E87" s="5"/>
      <c r="F87" s="7" t="s">
        <v>275</v>
      </c>
      <c r="G87" s="5"/>
      <c r="H87" s="5"/>
      <c r="I87" s="7" t="s">
        <v>276</v>
      </c>
      <c r="J87" s="7" t="s">
        <v>24</v>
      </c>
      <c r="K87" s="7" t="s">
        <v>277</v>
      </c>
      <c r="L87" s="3">
        <v>1758077820</v>
      </c>
      <c r="M87" s="5"/>
      <c r="N87" s="3">
        <v>7500000</v>
      </c>
      <c r="O87" s="40"/>
      <c r="P87" s="40"/>
      <c r="Q87" s="3">
        <f t="shared" ref="Q87:Q118" si="13">L87+M87+N87+P87</f>
        <v>1765577820</v>
      </c>
      <c r="R87" s="36">
        <v>1758077820</v>
      </c>
      <c r="S87" s="7"/>
      <c r="T87" s="30">
        <v>7500000</v>
      </c>
      <c r="U87" s="7"/>
      <c r="V87" s="7"/>
      <c r="W87" s="36"/>
      <c r="X87" s="36">
        <f t="shared" ref="X87:X118" si="14">M87-S87</f>
        <v>0</v>
      </c>
      <c r="Y87" s="36">
        <f t="shared" ref="Y87:Y118" si="15">N87-T87</f>
        <v>0</v>
      </c>
      <c r="Z87" s="36">
        <f t="shared" si="12"/>
        <v>0</v>
      </c>
      <c r="AA87" s="4"/>
      <c r="AB87" s="79"/>
    </row>
    <row r="88" spans="1:28" ht="31.2" x14ac:dyDescent="0.3">
      <c r="A88" s="7" t="s">
        <v>18</v>
      </c>
      <c r="B88" s="6">
        <v>74</v>
      </c>
      <c r="C88" s="7" t="s">
        <v>268</v>
      </c>
      <c r="D88" s="7" t="s">
        <v>268</v>
      </c>
      <c r="E88" s="5"/>
      <c r="F88" s="7" t="s">
        <v>278</v>
      </c>
      <c r="G88" s="5"/>
      <c r="H88" s="5"/>
      <c r="I88" s="7" t="s">
        <v>279</v>
      </c>
      <c r="J88" s="7" t="s">
        <v>24</v>
      </c>
      <c r="K88" s="7" t="s">
        <v>280</v>
      </c>
      <c r="L88" s="3">
        <v>383790570</v>
      </c>
      <c r="M88" s="5"/>
      <c r="N88" s="3">
        <v>7500000</v>
      </c>
      <c r="O88" s="40"/>
      <c r="P88" s="40"/>
      <c r="Q88" s="3">
        <f t="shared" si="13"/>
        <v>391290570</v>
      </c>
      <c r="R88" s="36">
        <v>383790570</v>
      </c>
      <c r="S88" s="7"/>
      <c r="T88" s="30">
        <v>7500000</v>
      </c>
      <c r="U88" s="7"/>
      <c r="V88" s="7"/>
      <c r="W88" s="36"/>
      <c r="X88" s="36">
        <f t="shared" si="14"/>
        <v>0</v>
      </c>
      <c r="Y88" s="36">
        <f t="shared" si="15"/>
        <v>0</v>
      </c>
      <c r="Z88" s="36">
        <f t="shared" si="12"/>
        <v>0</v>
      </c>
      <c r="AA88" s="4"/>
      <c r="AB88" s="79"/>
    </row>
    <row r="89" spans="1:28" ht="31.2" x14ac:dyDescent="0.3">
      <c r="A89" s="7" t="s">
        <v>53</v>
      </c>
      <c r="B89" s="6">
        <v>75</v>
      </c>
      <c r="C89" s="7" t="s">
        <v>268</v>
      </c>
      <c r="D89" s="7" t="s">
        <v>268</v>
      </c>
      <c r="E89" s="5"/>
      <c r="F89" s="7" t="s">
        <v>281</v>
      </c>
      <c r="G89" s="5"/>
      <c r="H89" s="5"/>
      <c r="I89" s="7" t="s">
        <v>282</v>
      </c>
      <c r="J89" s="7" t="s">
        <v>24</v>
      </c>
      <c r="K89" s="7" t="s">
        <v>283</v>
      </c>
      <c r="L89" s="3">
        <v>284423790</v>
      </c>
      <c r="M89" s="5"/>
      <c r="N89" s="3">
        <v>7500000</v>
      </c>
      <c r="O89" s="40"/>
      <c r="P89" s="40"/>
      <c r="Q89" s="3">
        <f t="shared" si="13"/>
        <v>291923790</v>
      </c>
      <c r="R89" s="3">
        <v>284423790</v>
      </c>
      <c r="S89" s="7"/>
      <c r="T89" s="30">
        <v>7500000</v>
      </c>
      <c r="U89" s="7"/>
      <c r="V89" s="7"/>
      <c r="W89" s="36"/>
      <c r="X89" s="36">
        <f t="shared" si="14"/>
        <v>0</v>
      </c>
      <c r="Y89" s="36">
        <f t="shared" si="15"/>
        <v>0</v>
      </c>
      <c r="Z89" s="36">
        <f t="shared" si="12"/>
        <v>0</v>
      </c>
      <c r="AA89" s="4"/>
      <c r="AB89" s="79"/>
    </row>
    <row r="90" spans="1:28" ht="31.2" x14ac:dyDescent="0.3">
      <c r="A90" s="7" t="s">
        <v>53</v>
      </c>
      <c r="B90" s="6">
        <v>76</v>
      </c>
      <c r="C90" s="7" t="s">
        <v>268</v>
      </c>
      <c r="D90" s="7" t="s">
        <v>268</v>
      </c>
      <c r="E90" s="5"/>
      <c r="F90" s="7" t="s">
        <v>284</v>
      </c>
      <c r="G90" s="5"/>
      <c r="H90" s="5"/>
      <c r="I90" s="7" t="s">
        <v>285</v>
      </c>
      <c r="J90" s="7" t="s">
        <v>24</v>
      </c>
      <c r="K90" s="7" t="s">
        <v>286</v>
      </c>
      <c r="L90" s="3">
        <v>169129920</v>
      </c>
      <c r="M90" s="5"/>
      <c r="N90" s="3">
        <v>7500000</v>
      </c>
      <c r="O90" s="40"/>
      <c r="P90" s="40"/>
      <c r="Q90" s="3">
        <f t="shared" si="13"/>
        <v>176629920</v>
      </c>
      <c r="R90" s="9">
        <v>169129920</v>
      </c>
      <c r="S90" s="7"/>
      <c r="T90" s="30">
        <v>7500000</v>
      </c>
      <c r="U90" s="7"/>
      <c r="V90" s="7"/>
      <c r="W90" s="36"/>
      <c r="X90" s="36">
        <f t="shared" si="14"/>
        <v>0</v>
      </c>
      <c r="Y90" s="36">
        <f t="shared" si="15"/>
        <v>0</v>
      </c>
      <c r="Z90" s="36">
        <f t="shared" si="12"/>
        <v>0</v>
      </c>
      <c r="AA90" s="4"/>
      <c r="AB90" s="79"/>
    </row>
    <row r="91" spans="1:28" ht="31.2" x14ac:dyDescent="0.3">
      <c r="A91" s="7" t="s">
        <v>62</v>
      </c>
      <c r="B91" s="6">
        <v>77</v>
      </c>
      <c r="C91" s="7" t="s">
        <v>268</v>
      </c>
      <c r="D91" s="7" t="s">
        <v>268</v>
      </c>
      <c r="E91" s="5"/>
      <c r="F91" s="7" t="s">
        <v>287</v>
      </c>
      <c r="G91" s="5"/>
      <c r="H91" s="5"/>
      <c r="I91" s="7" t="s">
        <v>288</v>
      </c>
      <c r="J91" s="7" t="s">
        <v>24</v>
      </c>
      <c r="K91" s="7" t="s">
        <v>289</v>
      </c>
      <c r="L91" s="3">
        <v>256763700</v>
      </c>
      <c r="M91" s="5"/>
      <c r="N91" s="3">
        <v>7500000</v>
      </c>
      <c r="O91" s="40"/>
      <c r="P91" s="40"/>
      <c r="Q91" s="3">
        <f t="shared" si="13"/>
        <v>264263700</v>
      </c>
      <c r="R91" s="3">
        <v>256763700</v>
      </c>
      <c r="S91" s="7"/>
      <c r="T91" s="30">
        <v>7500000</v>
      </c>
      <c r="U91" s="7"/>
      <c r="V91" s="7"/>
      <c r="W91" s="36"/>
      <c r="X91" s="36">
        <f t="shared" si="14"/>
        <v>0</v>
      </c>
      <c r="Y91" s="36">
        <f t="shared" si="15"/>
        <v>0</v>
      </c>
      <c r="Z91" s="36">
        <f t="shared" si="12"/>
        <v>0</v>
      </c>
      <c r="AA91" s="4"/>
      <c r="AB91" s="79"/>
    </row>
    <row r="92" spans="1:28" ht="31.2" x14ac:dyDescent="0.3">
      <c r="A92" s="7" t="s">
        <v>62</v>
      </c>
      <c r="B92" s="6">
        <v>78</v>
      </c>
      <c r="C92" s="7" t="s">
        <v>268</v>
      </c>
      <c r="D92" s="7" t="s">
        <v>268</v>
      </c>
      <c r="E92" s="5"/>
      <c r="F92" s="7" t="s">
        <v>290</v>
      </c>
      <c r="G92" s="5"/>
      <c r="H92" s="5"/>
      <c r="I92" s="7" t="s">
        <v>291</v>
      </c>
      <c r="J92" s="7" t="s">
        <v>24</v>
      </c>
      <c r="K92" s="7" t="s">
        <v>292</v>
      </c>
      <c r="L92" s="3">
        <v>422510140</v>
      </c>
      <c r="M92" s="5"/>
      <c r="N92" s="3">
        <v>7500000</v>
      </c>
      <c r="O92" s="40"/>
      <c r="P92" s="40"/>
      <c r="Q92" s="3">
        <f t="shared" si="13"/>
        <v>430010140</v>
      </c>
      <c r="R92" s="3">
        <v>422510140</v>
      </c>
      <c r="S92" s="7"/>
      <c r="T92" s="30">
        <v>7500000</v>
      </c>
      <c r="U92" s="7"/>
      <c r="V92" s="7"/>
      <c r="W92" s="36"/>
      <c r="X92" s="36">
        <f t="shared" si="14"/>
        <v>0</v>
      </c>
      <c r="Y92" s="36">
        <f t="shared" si="15"/>
        <v>0</v>
      </c>
      <c r="Z92" s="36">
        <f t="shared" si="12"/>
        <v>0</v>
      </c>
      <c r="AA92" s="4"/>
      <c r="AB92" s="79"/>
    </row>
    <row r="93" spans="1:28" ht="31.2" x14ac:dyDescent="0.3">
      <c r="A93" s="7" t="s">
        <v>53</v>
      </c>
      <c r="B93" s="6">
        <v>79</v>
      </c>
      <c r="C93" s="7" t="s">
        <v>268</v>
      </c>
      <c r="D93" s="7" t="s">
        <v>268</v>
      </c>
      <c r="E93" s="5"/>
      <c r="F93" s="7" t="s">
        <v>293</v>
      </c>
      <c r="G93" s="7" t="s">
        <v>294</v>
      </c>
      <c r="H93" s="5"/>
      <c r="I93" s="7" t="s">
        <v>295</v>
      </c>
      <c r="J93" s="7" t="s">
        <v>24</v>
      </c>
      <c r="K93" s="7" t="s">
        <v>296</v>
      </c>
      <c r="L93" s="3">
        <v>3622960192</v>
      </c>
      <c r="M93" s="5"/>
      <c r="N93" s="3">
        <v>15000000</v>
      </c>
      <c r="O93" s="40"/>
      <c r="P93" s="40"/>
      <c r="Q93" s="3">
        <f t="shared" si="13"/>
        <v>3637960192</v>
      </c>
      <c r="R93" s="3">
        <v>3622960192</v>
      </c>
      <c r="S93" s="7"/>
      <c r="T93" s="30">
        <v>15000000</v>
      </c>
      <c r="U93" s="7"/>
      <c r="V93" s="7"/>
      <c r="W93" s="36"/>
      <c r="X93" s="36">
        <f t="shared" si="14"/>
        <v>0</v>
      </c>
      <c r="Y93" s="36">
        <f t="shared" si="15"/>
        <v>0</v>
      </c>
      <c r="Z93" s="36">
        <f t="shared" si="12"/>
        <v>0</v>
      </c>
      <c r="AA93" s="4"/>
      <c r="AB93" s="79"/>
    </row>
    <row r="94" spans="1:28" ht="31.2" x14ac:dyDescent="0.3">
      <c r="A94" s="7" t="s">
        <v>18</v>
      </c>
      <c r="B94" s="6">
        <v>80</v>
      </c>
      <c r="C94" s="7" t="s">
        <v>297</v>
      </c>
      <c r="D94" s="7" t="s">
        <v>297</v>
      </c>
      <c r="E94" s="5"/>
      <c r="F94" s="7" t="s">
        <v>298</v>
      </c>
      <c r="G94" s="5"/>
      <c r="H94" s="5"/>
      <c r="I94" s="7" t="s">
        <v>299</v>
      </c>
      <c r="J94" s="7" t="s">
        <v>24</v>
      </c>
      <c r="K94" s="7" t="s">
        <v>300</v>
      </c>
      <c r="L94" s="3">
        <v>416448900</v>
      </c>
      <c r="M94" s="5"/>
      <c r="N94" s="3">
        <v>7500000</v>
      </c>
      <c r="O94" s="40"/>
      <c r="P94" s="40"/>
      <c r="Q94" s="3">
        <f t="shared" si="13"/>
        <v>423948900</v>
      </c>
      <c r="R94" s="3">
        <v>416448900</v>
      </c>
      <c r="S94" s="7"/>
      <c r="T94" s="30">
        <v>7500000</v>
      </c>
      <c r="U94" s="7"/>
      <c r="V94" s="7"/>
      <c r="W94" s="36"/>
      <c r="X94" s="36">
        <f t="shared" si="14"/>
        <v>0</v>
      </c>
      <c r="Y94" s="36">
        <f t="shared" si="15"/>
        <v>0</v>
      </c>
      <c r="Z94" s="36">
        <f t="shared" si="12"/>
        <v>0</v>
      </c>
      <c r="AA94" s="4"/>
      <c r="AB94" s="79"/>
    </row>
    <row r="95" spans="1:28" ht="31.2" x14ac:dyDescent="0.3">
      <c r="A95" s="7" t="s">
        <v>18</v>
      </c>
      <c r="B95" s="6">
        <v>81</v>
      </c>
      <c r="C95" s="7" t="s">
        <v>297</v>
      </c>
      <c r="D95" s="7" t="s">
        <v>297</v>
      </c>
      <c r="E95" s="5"/>
      <c r="F95" s="7" t="s">
        <v>301</v>
      </c>
      <c r="G95" s="5"/>
      <c r="H95" s="5"/>
      <c r="I95" s="7" t="s">
        <v>302</v>
      </c>
      <c r="J95" s="7" t="s">
        <v>24</v>
      </c>
      <c r="K95" s="7" t="s">
        <v>303</v>
      </c>
      <c r="L95" s="3">
        <v>31993200</v>
      </c>
      <c r="M95" s="5"/>
      <c r="N95" s="3">
        <v>7500000</v>
      </c>
      <c r="O95" s="40"/>
      <c r="P95" s="40"/>
      <c r="Q95" s="3">
        <f t="shared" si="13"/>
        <v>39493200</v>
      </c>
      <c r="R95" s="3">
        <v>31993200</v>
      </c>
      <c r="S95" s="7"/>
      <c r="T95" s="30">
        <v>7500000</v>
      </c>
      <c r="U95" s="7"/>
      <c r="V95" s="7"/>
      <c r="W95" s="36"/>
      <c r="X95" s="36">
        <f t="shared" si="14"/>
        <v>0</v>
      </c>
      <c r="Y95" s="36">
        <f t="shared" si="15"/>
        <v>0</v>
      </c>
      <c r="Z95" s="36">
        <f t="shared" si="12"/>
        <v>0</v>
      </c>
      <c r="AA95" s="4"/>
      <c r="AB95" s="79"/>
    </row>
    <row r="96" spans="1:28" ht="31.2" x14ac:dyDescent="0.3">
      <c r="A96" s="7" t="s">
        <v>53</v>
      </c>
      <c r="B96" s="6">
        <v>82</v>
      </c>
      <c r="C96" s="7" t="s">
        <v>297</v>
      </c>
      <c r="D96" s="7" t="s">
        <v>297</v>
      </c>
      <c r="E96" s="7" t="s">
        <v>177</v>
      </c>
      <c r="F96" s="7" t="s">
        <v>304</v>
      </c>
      <c r="G96" s="7" t="s">
        <v>305</v>
      </c>
      <c r="H96" s="5"/>
      <c r="I96" s="7" t="s">
        <v>306</v>
      </c>
      <c r="J96" s="7" t="s">
        <v>24</v>
      </c>
      <c r="K96" s="7" t="s">
        <v>307</v>
      </c>
      <c r="L96" s="3">
        <v>202213000</v>
      </c>
      <c r="M96" s="3">
        <v>38269440</v>
      </c>
      <c r="N96" s="3">
        <v>7500000</v>
      </c>
      <c r="O96" s="40"/>
      <c r="P96" s="40"/>
      <c r="Q96" s="3">
        <f t="shared" si="13"/>
        <v>247982440</v>
      </c>
      <c r="R96" s="3">
        <v>202213000</v>
      </c>
      <c r="S96" s="3">
        <v>38269440</v>
      </c>
      <c r="T96" s="30">
        <v>7500000</v>
      </c>
      <c r="U96" s="7"/>
      <c r="V96" s="7"/>
      <c r="W96" s="36"/>
      <c r="X96" s="36">
        <f t="shared" si="14"/>
        <v>0</v>
      </c>
      <c r="Y96" s="36">
        <f t="shared" si="15"/>
        <v>0</v>
      </c>
      <c r="Z96" s="36">
        <f t="shared" si="12"/>
        <v>0</v>
      </c>
      <c r="AA96" s="4"/>
      <c r="AB96" s="79"/>
    </row>
    <row r="97" spans="1:28" ht="62.4" x14ac:dyDescent="0.3">
      <c r="A97" s="7" t="s">
        <v>46</v>
      </c>
      <c r="B97" s="6">
        <v>83</v>
      </c>
      <c r="C97" s="7" t="s">
        <v>297</v>
      </c>
      <c r="D97" s="7" t="s">
        <v>297</v>
      </c>
      <c r="E97" s="7" t="s">
        <v>309</v>
      </c>
      <c r="F97" s="7" t="s">
        <v>310</v>
      </c>
      <c r="G97" s="7" t="s">
        <v>311</v>
      </c>
      <c r="H97" s="5"/>
      <c r="I97" s="7" t="s">
        <v>312</v>
      </c>
      <c r="J97" s="7" t="s">
        <v>24</v>
      </c>
      <c r="K97" s="7" t="s">
        <v>313</v>
      </c>
      <c r="L97" s="3">
        <v>2870247816</v>
      </c>
      <c r="M97" s="3">
        <v>123263617</v>
      </c>
      <c r="N97" s="3">
        <v>15000000</v>
      </c>
      <c r="O97" s="40" t="s">
        <v>308</v>
      </c>
      <c r="P97" s="10">
        <v>94200000</v>
      </c>
      <c r="Q97" s="3">
        <f t="shared" si="13"/>
        <v>3102711433</v>
      </c>
      <c r="R97" s="3">
        <v>2870247816</v>
      </c>
      <c r="S97" s="3">
        <v>123263617</v>
      </c>
      <c r="T97" s="30">
        <v>15000000</v>
      </c>
      <c r="U97" s="7"/>
      <c r="V97" s="7"/>
      <c r="W97" s="36"/>
      <c r="X97" s="36">
        <f t="shared" si="14"/>
        <v>0</v>
      </c>
      <c r="Y97" s="36">
        <f t="shared" si="15"/>
        <v>0</v>
      </c>
      <c r="Z97" s="36">
        <f t="shared" si="12"/>
        <v>94200000</v>
      </c>
      <c r="AA97" s="4"/>
      <c r="AB97" s="80" t="s">
        <v>3827</v>
      </c>
    </row>
    <row r="98" spans="1:28" ht="31.2" x14ac:dyDescent="0.3">
      <c r="A98" s="7" t="s">
        <v>53</v>
      </c>
      <c r="B98" s="6">
        <v>84</v>
      </c>
      <c r="C98" s="7" t="s">
        <v>297</v>
      </c>
      <c r="D98" s="7" t="s">
        <v>297</v>
      </c>
      <c r="E98" s="5"/>
      <c r="F98" s="7" t="s">
        <v>314</v>
      </c>
      <c r="G98" s="5"/>
      <c r="H98" s="5"/>
      <c r="I98" s="7" t="s">
        <v>315</v>
      </c>
      <c r="J98" s="7" t="s">
        <v>24</v>
      </c>
      <c r="K98" s="7" t="s">
        <v>316</v>
      </c>
      <c r="L98" s="3">
        <v>5438544033</v>
      </c>
      <c r="M98" s="5"/>
      <c r="N98" s="3">
        <v>15000000</v>
      </c>
      <c r="O98" s="40"/>
      <c r="P98" s="40"/>
      <c r="Q98" s="3">
        <f t="shared" si="13"/>
        <v>5453544033</v>
      </c>
      <c r="R98" s="3">
        <v>5438544033</v>
      </c>
      <c r="S98" s="7"/>
      <c r="T98" s="72"/>
      <c r="U98" s="7"/>
      <c r="V98" s="7"/>
      <c r="W98" s="36"/>
      <c r="X98" s="36">
        <f t="shared" si="14"/>
        <v>0</v>
      </c>
      <c r="Y98" s="36">
        <f t="shared" si="15"/>
        <v>15000000</v>
      </c>
      <c r="Z98" s="36">
        <f t="shared" si="12"/>
        <v>0</v>
      </c>
      <c r="AA98" s="4"/>
      <c r="AB98" s="79"/>
    </row>
    <row r="99" spans="1:28" ht="31.2" x14ac:dyDescent="0.3">
      <c r="A99" s="7" t="s">
        <v>62</v>
      </c>
      <c r="B99" s="6">
        <v>85</v>
      </c>
      <c r="C99" s="7" t="s">
        <v>297</v>
      </c>
      <c r="D99" s="7" t="s">
        <v>297</v>
      </c>
      <c r="E99" s="5"/>
      <c r="F99" s="7" t="s">
        <v>317</v>
      </c>
      <c r="G99" s="5"/>
      <c r="H99" s="5"/>
      <c r="I99" s="7" t="s">
        <v>318</v>
      </c>
      <c r="J99" s="7" t="s">
        <v>24</v>
      </c>
      <c r="K99" s="7" t="s">
        <v>319</v>
      </c>
      <c r="L99" s="3">
        <v>3102018212</v>
      </c>
      <c r="M99" s="5"/>
      <c r="N99" s="3">
        <v>7500000</v>
      </c>
      <c r="O99" s="40"/>
      <c r="P99" s="40"/>
      <c r="Q99" s="3">
        <f t="shared" si="13"/>
        <v>3109518212</v>
      </c>
      <c r="R99" s="3">
        <v>3102018212</v>
      </c>
      <c r="S99" s="7"/>
      <c r="T99" s="30">
        <v>7500000</v>
      </c>
      <c r="U99" s="7"/>
      <c r="V99" s="7"/>
      <c r="W99" s="36"/>
      <c r="X99" s="36">
        <f t="shared" si="14"/>
        <v>0</v>
      </c>
      <c r="Y99" s="36">
        <f t="shared" si="15"/>
        <v>0</v>
      </c>
      <c r="Z99" s="36">
        <f t="shared" si="12"/>
        <v>0</v>
      </c>
      <c r="AA99" s="4"/>
      <c r="AB99" s="79"/>
    </row>
    <row r="100" spans="1:28" ht="31.2" x14ac:dyDescent="0.3">
      <c r="A100" s="7" t="s">
        <v>53</v>
      </c>
      <c r="B100" s="6">
        <v>86</v>
      </c>
      <c r="C100" s="7" t="s">
        <v>297</v>
      </c>
      <c r="D100" s="7" t="s">
        <v>297</v>
      </c>
      <c r="E100" s="5"/>
      <c r="F100" s="7" t="s">
        <v>320</v>
      </c>
      <c r="G100" s="5"/>
      <c r="H100" s="5"/>
      <c r="I100" s="7" t="s">
        <v>321</v>
      </c>
      <c r="J100" s="7" t="s">
        <v>24</v>
      </c>
      <c r="K100" s="7" t="s">
        <v>322</v>
      </c>
      <c r="L100" s="3">
        <v>3208417628</v>
      </c>
      <c r="M100" s="5"/>
      <c r="N100" s="3">
        <v>15000000</v>
      </c>
      <c r="O100" s="40"/>
      <c r="P100" s="40"/>
      <c r="Q100" s="3">
        <f t="shared" si="13"/>
        <v>3223417628</v>
      </c>
      <c r="R100" s="36">
        <v>3208417628</v>
      </c>
      <c r="S100" s="7"/>
      <c r="T100" s="30">
        <v>15000000</v>
      </c>
      <c r="U100" s="7"/>
      <c r="V100" s="7"/>
      <c r="W100" s="36"/>
      <c r="X100" s="36">
        <f t="shared" si="14"/>
        <v>0</v>
      </c>
      <c r="Y100" s="36">
        <f t="shared" si="15"/>
        <v>0</v>
      </c>
      <c r="Z100" s="36">
        <f t="shared" si="12"/>
        <v>0</v>
      </c>
      <c r="AA100" s="4"/>
      <c r="AB100" s="79"/>
    </row>
    <row r="101" spans="1:28" ht="31.2" x14ac:dyDescent="0.3">
      <c r="A101" s="7" t="s">
        <v>62</v>
      </c>
      <c r="B101" s="6">
        <v>87</v>
      </c>
      <c r="C101" s="7" t="s">
        <v>297</v>
      </c>
      <c r="D101" s="7" t="s">
        <v>297</v>
      </c>
      <c r="E101" s="5"/>
      <c r="F101" s="7" t="s">
        <v>323</v>
      </c>
      <c r="G101" s="5"/>
      <c r="H101" s="5"/>
      <c r="I101" s="7" t="s">
        <v>324</v>
      </c>
      <c r="J101" s="7" t="s">
        <v>24</v>
      </c>
      <c r="K101" s="7" t="s">
        <v>325</v>
      </c>
      <c r="L101" s="3">
        <v>127625600</v>
      </c>
      <c r="M101" s="5"/>
      <c r="N101" s="3">
        <v>7500000</v>
      </c>
      <c r="O101" s="40"/>
      <c r="P101" s="40"/>
      <c r="Q101" s="3">
        <f t="shared" si="13"/>
        <v>135125600</v>
      </c>
      <c r="R101" s="3">
        <v>127625600</v>
      </c>
      <c r="S101" s="7"/>
      <c r="T101" s="30">
        <v>7500000</v>
      </c>
      <c r="U101" s="7"/>
      <c r="V101" s="7"/>
      <c r="W101" s="36"/>
      <c r="X101" s="36">
        <f t="shared" si="14"/>
        <v>0</v>
      </c>
      <c r="Y101" s="36">
        <f t="shared" si="15"/>
        <v>0</v>
      </c>
      <c r="Z101" s="36">
        <f t="shared" si="12"/>
        <v>0</v>
      </c>
      <c r="AA101" s="4"/>
      <c r="AB101" s="79"/>
    </row>
    <row r="102" spans="1:28" ht="31.2" x14ac:dyDescent="0.3">
      <c r="A102" s="7" t="s">
        <v>62</v>
      </c>
      <c r="B102" s="6">
        <v>88</v>
      </c>
      <c r="C102" s="7" t="s">
        <v>297</v>
      </c>
      <c r="D102" s="7" t="s">
        <v>297</v>
      </c>
      <c r="E102" s="5"/>
      <c r="F102" s="7" t="s">
        <v>326</v>
      </c>
      <c r="G102" s="5"/>
      <c r="H102" s="5"/>
      <c r="I102" s="7" t="s">
        <v>327</v>
      </c>
      <c r="J102" s="7" t="s">
        <v>24</v>
      </c>
      <c r="K102" s="7" t="s">
        <v>328</v>
      </c>
      <c r="L102" s="3">
        <v>6198579980</v>
      </c>
      <c r="M102" s="5"/>
      <c r="N102" s="3">
        <v>7500000</v>
      </c>
      <c r="O102" s="40"/>
      <c r="P102" s="40"/>
      <c r="Q102" s="3">
        <f t="shared" si="13"/>
        <v>6206079980</v>
      </c>
      <c r="R102" s="3">
        <v>6198579980</v>
      </c>
      <c r="S102" s="7"/>
      <c r="T102" s="30">
        <v>7500000</v>
      </c>
      <c r="U102" s="7"/>
      <c r="V102" s="7"/>
      <c r="W102" s="36"/>
      <c r="X102" s="36">
        <f t="shared" si="14"/>
        <v>0</v>
      </c>
      <c r="Y102" s="36">
        <f t="shared" si="15"/>
        <v>0</v>
      </c>
      <c r="Z102" s="36">
        <f t="shared" si="12"/>
        <v>0</v>
      </c>
      <c r="AA102" s="4"/>
      <c r="AB102" s="79"/>
    </row>
    <row r="103" spans="1:28" ht="31.2" x14ac:dyDescent="0.3">
      <c r="A103" s="7" t="s">
        <v>53</v>
      </c>
      <c r="B103" s="6">
        <v>89</v>
      </c>
      <c r="C103" s="7" t="s">
        <v>297</v>
      </c>
      <c r="D103" s="7" t="s">
        <v>297</v>
      </c>
      <c r="E103" s="5"/>
      <c r="F103" s="7" t="s">
        <v>329</v>
      </c>
      <c r="G103" s="5"/>
      <c r="H103" s="5"/>
      <c r="I103" s="7" t="s">
        <v>330</v>
      </c>
      <c r="J103" s="7" t="s">
        <v>24</v>
      </c>
      <c r="K103" s="7" t="s">
        <v>331</v>
      </c>
      <c r="L103" s="3">
        <v>775743160</v>
      </c>
      <c r="M103" s="5"/>
      <c r="N103" s="3">
        <v>7500000</v>
      </c>
      <c r="O103" s="40"/>
      <c r="P103" s="40"/>
      <c r="Q103" s="3">
        <f t="shared" si="13"/>
        <v>783243160</v>
      </c>
      <c r="R103" s="36">
        <v>775743160</v>
      </c>
      <c r="S103" s="7"/>
      <c r="T103" s="30">
        <v>7500000</v>
      </c>
      <c r="U103" s="7"/>
      <c r="V103" s="7"/>
      <c r="W103" s="36"/>
      <c r="X103" s="36">
        <f t="shared" si="14"/>
        <v>0</v>
      </c>
      <c r="Y103" s="36">
        <f t="shared" si="15"/>
        <v>0</v>
      </c>
      <c r="Z103" s="36">
        <f t="shared" si="12"/>
        <v>0</v>
      </c>
      <c r="AA103" s="4"/>
      <c r="AB103" s="79"/>
    </row>
    <row r="104" spans="1:28" ht="31.2" x14ac:dyDescent="0.3">
      <c r="A104" s="7" t="s">
        <v>46</v>
      </c>
      <c r="B104" s="6">
        <v>90</v>
      </c>
      <c r="C104" s="7" t="s">
        <v>332</v>
      </c>
      <c r="D104" s="7" t="s">
        <v>332</v>
      </c>
      <c r="E104" s="5"/>
      <c r="F104" s="7" t="s">
        <v>333</v>
      </c>
      <c r="G104" s="5"/>
      <c r="H104" s="5"/>
      <c r="I104" s="7" t="s">
        <v>334</v>
      </c>
      <c r="J104" s="7" t="s">
        <v>24</v>
      </c>
      <c r="K104" s="7" t="s">
        <v>335</v>
      </c>
      <c r="L104" s="3">
        <v>260376114</v>
      </c>
      <c r="M104" s="5"/>
      <c r="N104" s="3">
        <v>7500000</v>
      </c>
      <c r="O104" s="40"/>
      <c r="P104" s="40"/>
      <c r="Q104" s="3">
        <f t="shared" si="13"/>
        <v>267876114</v>
      </c>
      <c r="R104" s="36">
        <v>260376114</v>
      </c>
      <c r="S104" s="7"/>
      <c r="T104" s="30">
        <v>7500000</v>
      </c>
      <c r="U104" s="7"/>
      <c r="V104" s="7"/>
      <c r="W104" s="36"/>
      <c r="X104" s="36">
        <f t="shared" si="14"/>
        <v>0</v>
      </c>
      <c r="Y104" s="36">
        <f t="shared" si="15"/>
        <v>0</v>
      </c>
      <c r="Z104" s="36">
        <f t="shared" si="12"/>
        <v>0</v>
      </c>
      <c r="AA104" s="4"/>
      <c r="AB104" s="79"/>
    </row>
    <row r="105" spans="1:28" ht="78" x14ac:dyDescent="0.3">
      <c r="A105" s="7" t="s">
        <v>53</v>
      </c>
      <c r="B105" s="6">
        <v>91</v>
      </c>
      <c r="C105" s="7" t="s">
        <v>332</v>
      </c>
      <c r="D105" s="7" t="s">
        <v>332</v>
      </c>
      <c r="E105" s="5"/>
      <c r="F105" s="7" t="s">
        <v>336</v>
      </c>
      <c r="G105" s="5"/>
      <c r="H105" s="5"/>
      <c r="I105" s="7" t="s">
        <v>337</v>
      </c>
      <c r="J105" s="7" t="s">
        <v>24</v>
      </c>
      <c r="K105" s="7" t="s">
        <v>338</v>
      </c>
      <c r="L105" s="3">
        <v>6896806936</v>
      </c>
      <c r="M105" s="5"/>
      <c r="N105" s="3">
        <v>15000000</v>
      </c>
      <c r="O105" s="40"/>
      <c r="P105" s="40"/>
      <c r="Q105" s="3">
        <f t="shared" si="13"/>
        <v>6911806936</v>
      </c>
      <c r="R105" s="3">
        <v>6896806936</v>
      </c>
      <c r="S105" s="7"/>
      <c r="T105" s="30">
        <v>15000000</v>
      </c>
      <c r="U105" s="7"/>
      <c r="V105" s="7"/>
      <c r="W105" s="36"/>
      <c r="X105" s="36">
        <f t="shared" si="14"/>
        <v>0</v>
      </c>
      <c r="Y105" s="36">
        <f t="shared" si="15"/>
        <v>0</v>
      </c>
      <c r="Z105" s="36">
        <f t="shared" si="12"/>
        <v>0</v>
      </c>
      <c r="AA105" s="4"/>
      <c r="AB105" s="79"/>
    </row>
    <row r="106" spans="1:28" ht="46.8" x14ac:dyDescent="0.3">
      <c r="A106" s="7" t="s">
        <v>18</v>
      </c>
      <c r="B106" s="6">
        <v>92</v>
      </c>
      <c r="C106" s="7" t="s">
        <v>332</v>
      </c>
      <c r="D106" s="7" t="s">
        <v>332</v>
      </c>
      <c r="E106" s="5"/>
      <c r="F106" s="7" t="s">
        <v>339</v>
      </c>
      <c r="G106" s="5"/>
      <c r="H106" s="5"/>
      <c r="I106" s="7" t="s">
        <v>340</v>
      </c>
      <c r="J106" s="7" t="s">
        <v>24</v>
      </c>
      <c r="K106" s="7" t="s">
        <v>341</v>
      </c>
      <c r="L106" s="3">
        <v>12013126452</v>
      </c>
      <c r="M106" s="5"/>
      <c r="N106" s="3">
        <v>15000000</v>
      </c>
      <c r="O106" s="40"/>
      <c r="P106" s="40"/>
      <c r="Q106" s="3">
        <f t="shared" si="13"/>
        <v>12028126452</v>
      </c>
      <c r="R106" s="3">
        <v>12013126452</v>
      </c>
      <c r="S106" s="7"/>
      <c r="T106" s="30">
        <v>15000000</v>
      </c>
      <c r="U106" s="7"/>
      <c r="V106" s="7"/>
      <c r="W106" s="36"/>
      <c r="X106" s="36">
        <f t="shared" si="14"/>
        <v>0</v>
      </c>
      <c r="Y106" s="36">
        <f t="shared" si="15"/>
        <v>0</v>
      </c>
      <c r="Z106" s="36">
        <f t="shared" si="12"/>
        <v>0</v>
      </c>
      <c r="AA106" s="4"/>
      <c r="AB106" s="79"/>
    </row>
    <row r="107" spans="1:28" ht="31.2" x14ac:dyDescent="0.3">
      <c r="A107" s="7" t="s">
        <v>53</v>
      </c>
      <c r="B107" s="6">
        <v>93</v>
      </c>
      <c r="C107" s="7" t="s">
        <v>332</v>
      </c>
      <c r="D107" s="7" t="s">
        <v>332</v>
      </c>
      <c r="E107" s="5"/>
      <c r="F107" s="7" t="s">
        <v>342</v>
      </c>
      <c r="G107" s="5"/>
      <c r="H107" s="5"/>
      <c r="I107" s="7" t="s">
        <v>343</v>
      </c>
      <c r="J107" s="7" t="s">
        <v>24</v>
      </c>
      <c r="K107" s="7" t="s">
        <v>344</v>
      </c>
      <c r="L107" s="3">
        <v>36040032</v>
      </c>
      <c r="M107" s="5"/>
      <c r="N107" s="3">
        <v>7500000</v>
      </c>
      <c r="O107" s="40"/>
      <c r="P107" s="40"/>
      <c r="Q107" s="3">
        <f t="shared" si="13"/>
        <v>43540032</v>
      </c>
      <c r="R107" s="7"/>
      <c r="S107" s="7"/>
      <c r="T107" s="72"/>
      <c r="U107" s="7"/>
      <c r="V107" s="7"/>
      <c r="W107" s="36">
        <v>36040032</v>
      </c>
      <c r="X107" s="36">
        <f t="shared" si="14"/>
        <v>0</v>
      </c>
      <c r="Y107" s="36">
        <f t="shared" si="15"/>
        <v>7500000</v>
      </c>
      <c r="Z107" s="36">
        <f t="shared" si="12"/>
        <v>0</v>
      </c>
      <c r="AA107" s="8">
        <v>36040032</v>
      </c>
      <c r="AB107" s="79"/>
    </row>
    <row r="108" spans="1:28" ht="31.2" x14ac:dyDescent="0.3">
      <c r="A108" s="7" t="s">
        <v>53</v>
      </c>
      <c r="B108" s="6">
        <v>94</v>
      </c>
      <c r="C108" s="7" t="s">
        <v>332</v>
      </c>
      <c r="D108" s="7" t="s">
        <v>332</v>
      </c>
      <c r="E108" s="5"/>
      <c r="F108" s="7" t="s">
        <v>345</v>
      </c>
      <c r="G108" s="5"/>
      <c r="H108" s="5"/>
      <c r="I108" s="7" t="s">
        <v>346</v>
      </c>
      <c r="J108" s="7" t="s">
        <v>24</v>
      </c>
      <c r="K108" s="7" t="s">
        <v>347</v>
      </c>
      <c r="L108" s="3">
        <v>204521740</v>
      </c>
      <c r="M108" s="5"/>
      <c r="N108" s="3">
        <v>7500000</v>
      </c>
      <c r="O108" s="40"/>
      <c r="P108" s="40"/>
      <c r="Q108" s="3">
        <f t="shared" si="13"/>
        <v>212021740</v>
      </c>
      <c r="R108" s="36">
        <v>204521740</v>
      </c>
      <c r="S108" s="7"/>
      <c r="T108" s="30">
        <v>7500000</v>
      </c>
      <c r="U108" s="7"/>
      <c r="V108" s="7"/>
      <c r="W108" s="36"/>
      <c r="X108" s="36">
        <f t="shared" si="14"/>
        <v>0</v>
      </c>
      <c r="Y108" s="36">
        <f t="shared" si="15"/>
        <v>0</v>
      </c>
      <c r="Z108" s="36">
        <f t="shared" si="12"/>
        <v>0</v>
      </c>
      <c r="AA108" s="4"/>
      <c r="AB108" s="79"/>
    </row>
    <row r="109" spans="1:28" ht="31.2" x14ac:dyDescent="0.3">
      <c r="A109" s="7" t="s">
        <v>53</v>
      </c>
      <c r="B109" s="6">
        <v>95</v>
      </c>
      <c r="C109" s="7" t="s">
        <v>332</v>
      </c>
      <c r="D109" s="7" t="s">
        <v>332</v>
      </c>
      <c r="E109" s="5"/>
      <c r="F109" s="7" t="s">
        <v>348</v>
      </c>
      <c r="G109" s="5"/>
      <c r="H109" s="5"/>
      <c r="I109" s="7" t="s">
        <v>349</v>
      </c>
      <c r="J109" s="7" t="s">
        <v>24</v>
      </c>
      <c r="K109" s="7" t="s">
        <v>350</v>
      </c>
      <c r="L109" s="3">
        <v>174193488</v>
      </c>
      <c r="M109" s="5"/>
      <c r="N109" s="3">
        <v>7500000</v>
      </c>
      <c r="O109" s="40"/>
      <c r="P109" s="40"/>
      <c r="Q109" s="3">
        <f t="shared" si="13"/>
        <v>181693488</v>
      </c>
      <c r="R109" s="36">
        <v>174193488</v>
      </c>
      <c r="S109" s="7"/>
      <c r="T109" s="30">
        <v>7500000</v>
      </c>
      <c r="U109" s="7"/>
      <c r="V109" s="7"/>
      <c r="W109" s="36"/>
      <c r="X109" s="36">
        <f t="shared" si="14"/>
        <v>0</v>
      </c>
      <c r="Y109" s="36">
        <f t="shared" si="15"/>
        <v>0</v>
      </c>
      <c r="Z109" s="36">
        <f t="shared" si="12"/>
        <v>0</v>
      </c>
      <c r="AA109" s="4"/>
      <c r="AB109" s="79"/>
    </row>
    <row r="110" spans="1:28" ht="31.2" x14ac:dyDescent="0.3">
      <c r="A110" s="7" t="s">
        <v>18</v>
      </c>
      <c r="B110" s="6">
        <v>96</v>
      </c>
      <c r="C110" s="7" t="s">
        <v>332</v>
      </c>
      <c r="D110" s="7" t="s">
        <v>332</v>
      </c>
      <c r="E110" s="5"/>
      <c r="F110" s="7" t="s">
        <v>351</v>
      </c>
      <c r="G110" s="5"/>
      <c r="H110" s="5"/>
      <c r="I110" s="7" t="s">
        <v>352</v>
      </c>
      <c r="J110" s="7" t="s">
        <v>24</v>
      </c>
      <c r="K110" s="7" t="s">
        <v>353</v>
      </c>
      <c r="L110" s="3">
        <v>561134642</v>
      </c>
      <c r="M110" s="5"/>
      <c r="N110" s="3">
        <v>7500000</v>
      </c>
      <c r="O110" s="40"/>
      <c r="P110" s="40"/>
      <c r="Q110" s="3">
        <f t="shared" si="13"/>
        <v>568634642</v>
      </c>
      <c r="R110" s="3">
        <v>561134642</v>
      </c>
      <c r="S110" s="7"/>
      <c r="T110" s="30">
        <v>7500000</v>
      </c>
      <c r="U110" s="7"/>
      <c r="V110" s="7"/>
      <c r="W110" s="36"/>
      <c r="X110" s="36">
        <f t="shared" si="14"/>
        <v>0</v>
      </c>
      <c r="Y110" s="36">
        <f t="shared" si="15"/>
        <v>0</v>
      </c>
      <c r="Z110" s="36">
        <f t="shared" si="12"/>
        <v>0</v>
      </c>
      <c r="AA110" s="4"/>
      <c r="AB110" s="79"/>
    </row>
    <row r="111" spans="1:28" ht="31.2" x14ac:dyDescent="0.3">
      <c r="A111" s="7" t="s">
        <v>62</v>
      </c>
      <c r="B111" s="6">
        <v>97</v>
      </c>
      <c r="C111" s="7" t="s">
        <v>332</v>
      </c>
      <c r="D111" s="7" t="s">
        <v>332</v>
      </c>
      <c r="E111" s="5"/>
      <c r="F111" s="7" t="s">
        <v>354</v>
      </c>
      <c r="G111" s="5"/>
      <c r="H111" s="5"/>
      <c r="I111" s="7" t="s">
        <v>355</v>
      </c>
      <c r="J111" s="7" t="s">
        <v>24</v>
      </c>
      <c r="K111" s="7" t="s">
        <v>356</v>
      </c>
      <c r="L111" s="3">
        <v>5030906224</v>
      </c>
      <c r="M111" s="5"/>
      <c r="N111" s="3">
        <v>15000000</v>
      </c>
      <c r="O111" s="40"/>
      <c r="P111" s="40"/>
      <c r="Q111" s="3">
        <f t="shared" si="13"/>
        <v>5045906224</v>
      </c>
      <c r="R111" s="3">
        <v>5030906224</v>
      </c>
      <c r="S111" s="7"/>
      <c r="T111" s="30">
        <v>15000000</v>
      </c>
      <c r="U111" s="7"/>
      <c r="V111" s="7"/>
      <c r="W111" s="36"/>
      <c r="X111" s="36">
        <f t="shared" si="14"/>
        <v>0</v>
      </c>
      <c r="Y111" s="36">
        <f t="shared" si="15"/>
        <v>0</v>
      </c>
      <c r="Z111" s="36">
        <f t="shared" si="12"/>
        <v>0</v>
      </c>
      <c r="AA111" s="4"/>
      <c r="AB111" s="79"/>
    </row>
    <row r="112" spans="1:28" ht="31.2" x14ac:dyDescent="0.3">
      <c r="A112" s="7" t="s">
        <v>46</v>
      </c>
      <c r="B112" s="6">
        <v>98</v>
      </c>
      <c r="C112" s="7" t="s">
        <v>357</v>
      </c>
      <c r="D112" s="7" t="s">
        <v>357</v>
      </c>
      <c r="E112" s="5"/>
      <c r="F112" s="7" t="s">
        <v>358</v>
      </c>
      <c r="G112" s="5"/>
      <c r="H112" s="5"/>
      <c r="I112" s="7" t="s">
        <v>359</v>
      </c>
      <c r="J112" s="7" t="s">
        <v>24</v>
      </c>
      <c r="K112" s="7" t="s">
        <v>360</v>
      </c>
      <c r="L112" s="3">
        <v>5668407622</v>
      </c>
      <c r="M112" s="5"/>
      <c r="N112" s="3">
        <v>15000000</v>
      </c>
      <c r="O112" s="40"/>
      <c r="P112" s="40"/>
      <c r="Q112" s="3">
        <f t="shared" si="13"/>
        <v>5683407622</v>
      </c>
      <c r="R112" s="36">
        <v>5668407622</v>
      </c>
      <c r="S112" s="7"/>
      <c r="T112" s="30">
        <v>15000000</v>
      </c>
      <c r="U112" s="7"/>
      <c r="V112" s="7"/>
      <c r="W112" s="36"/>
      <c r="X112" s="36">
        <f t="shared" si="14"/>
        <v>0</v>
      </c>
      <c r="Y112" s="36">
        <f t="shared" si="15"/>
        <v>0</v>
      </c>
      <c r="Z112" s="36">
        <f t="shared" si="12"/>
        <v>0</v>
      </c>
      <c r="AA112" s="4"/>
      <c r="AB112" s="79"/>
    </row>
    <row r="113" spans="1:28" ht="31.2" x14ac:dyDescent="0.3">
      <c r="A113" s="7" t="s">
        <v>18</v>
      </c>
      <c r="B113" s="6">
        <v>99</v>
      </c>
      <c r="C113" s="7" t="s">
        <v>357</v>
      </c>
      <c r="D113" s="7" t="s">
        <v>357</v>
      </c>
      <c r="E113" s="5"/>
      <c r="F113" s="7" t="s">
        <v>361</v>
      </c>
      <c r="G113" s="5"/>
      <c r="H113" s="5"/>
      <c r="I113" s="7" t="s">
        <v>362</v>
      </c>
      <c r="J113" s="7" t="s">
        <v>24</v>
      </c>
      <c r="K113" s="7" t="s">
        <v>363</v>
      </c>
      <c r="L113" s="3">
        <v>3310083600</v>
      </c>
      <c r="M113" s="5"/>
      <c r="N113" s="3">
        <v>7500000</v>
      </c>
      <c r="O113" s="40"/>
      <c r="P113" s="40"/>
      <c r="Q113" s="3">
        <f t="shared" si="13"/>
        <v>3317583600</v>
      </c>
      <c r="R113" s="36">
        <v>3310083600</v>
      </c>
      <c r="S113" s="7"/>
      <c r="T113" s="72"/>
      <c r="U113" s="7"/>
      <c r="V113" s="7"/>
      <c r="W113" s="36"/>
      <c r="X113" s="36">
        <f t="shared" si="14"/>
        <v>0</v>
      </c>
      <c r="Y113" s="36">
        <f t="shared" si="15"/>
        <v>7500000</v>
      </c>
      <c r="Z113" s="36">
        <f t="shared" si="12"/>
        <v>0</v>
      </c>
      <c r="AA113" s="4"/>
      <c r="AB113" s="79"/>
    </row>
    <row r="114" spans="1:28" ht="31.2" x14ac:dyDescent="0.3">
      <c r="A114" s="7" t="s">
        <v>53</v>
      </c>
      <c r="B114" s="6">
        <v>100</v>
      </c>
      <c r="C114" s="7" t="s">
        <v>357</v>
      </c>
      <c r="D114" s="7" t="s">
        <v>357</v>
      </c>
      <c r="E114" s="5"/>
      <c r="F114" s="7" t="s">
        <v>364</v>
      </c>
      <c r="G114" s="5"/>
      <c r="H114" s="5"/>
      <c r="I114" s="7" t="s">
        <v>365</v>
      </c>
      <c r="J114" s="7" t="s">
        <v>24</v>
      </c>
      <c r="K114" s="7" t="s">
        <v>366</v>
      </c>
      <c r="L114" s="3">
        <v>1175040216</v>
      </c>
      <c r="M114" s="5"/>
      <c r="N114" s="3">
        <v>7500000</v>
      </c>
      <c r="O114" s="40"/>
      <c r="P114" s="40"/>
      <c r="Q114" s="3">
        <f t="shared" si="13"/>
        <v>1182540216</v>
      </c>
      <c r="R114" s="3">
        <v>1175040216</v>
      </c>
      <c r="S114" s="7"/>
      <c r="T114" s="30">
        <v>7500000</v>
      </c>
      <c r="U114" s="7"/>
      <c r="V114" s="7"/>
      <c r="W114" s="36"/>
      <c r="X114" s="36">
        <f t="shared" si="14"/>
        <v>0</v>
      </c>
      <c r="Y114" s="36">
        <f t="shared" si="15"/>
        <v>0</v>
      </c>
      <c r="Z114" s="36">
        <f t="shared" si="12"/>
        <v>0</v>
      </c>
      <c r="AA114" s="4"/>
      <c r="AB114" s="79"/>
    </row>
    <row r="115" spans="1:28" ht="31.2" x14ac:dyDescent="0.3">
      <c r="A115" s="7" t="s">
        <v>62</v>
      </c>
      <c r="B115" s="6">
        <v>101</v>
      </c>
      <c r="C115" s="7" t="s">
        <v>357</v>
      </c>
      <c r="D115" s="7" t="s">
        <v>357</v>
      </c>
      <c r="E115" s="5"/>
      <c r="F115" s="7" t="s">
        <v>367</v>
      </c>
      <c r="G115" s="5"/>
      <c r="H115" s="5"/>
      <c r="I115" s="7" t="s">
        <v>368</v>
      </c>
      <c r="J115" s="7" t="s">
        <v>24</v>
      </c>
      <c r="K115" s="7" t="s">
        <v>369</v>
      </c>
      <c r="L115" s="3">
        <v>284424800</v>
      </c>
      <c r="M115" s="5"/>
      <c r="N115" s="3">
        <v>7500000</v>
      </c>
      <c r="O115" s="40"/>
      <c r="P115" s="40"/>
      <c r="Q115" s="3">
        <f t="shared" si="13"/>
        <v>291924800</v>
      </c>
      <c r="R115" s="3">
        <v>284424800</v>
      </c>
      <c r="S115" s="7"/>
      <c r="T115" s="30">
        <v>7500000</v>
      </c>
      <c r="U115" s="7"/>
      <c r="V115" s="7"/>
      <c r="W115" s="36"/>
      <c r="X115" s="36">
        <f t="shared" si="14"/>
        <v>0</v>
      </c>
      <c r="Y115" s="36">
        <f t="shared" si="15"/>
        <v>0</v>
      </c>
      <c r="Z115" s="36">
        <f t="shared" si="12"/>
        <v>0</v>
      </c>
      <c r="AA115" s="4"/>
      <c r="AB115" s="79"/>
    </row>
    <row r="116" spans="1:28" ht="31.2" x14ac:dyDescent="0.3">
      <c r="A116" s="7" t="s">
        <v>53</v>
      </c>
      <c r="B116" s="6">
        <v>102</v>
      </c>
      <c r="C116" s="7" t="s">
        <v>357</v>
      </c>
      <c r="D116" s="7" t="s">
        <v>357</v>
      </c>
      <c r="E116" s="5"/>
      <c r="F116" s="7" t="s">
        <v>370</v>
      </c>
      <c r="G116" s="5"/>
      <c r="H116" s="5"/>
      <c r="I116" s="7" t="s">
        <v>371</v>
      </c>
      <c r="J116" s="7" t="s">
        <v>24</v>
      </c>
      <c r="K116" s="7" t="s">
        <v>372</v>
      </c>
      <c r="L116" s="3">
        <v>3150363430</v>
      </c>
      <c r="M116" s="5"/>
      <c r="N116" s="3">
        <v>15000000</v>
      </c>
      <c r="O116" s="40"/>
      <c r="P116" s="40"/>
      <c r="Q116" s="3">
        <f t="shared" si="13"/>
        <v>3165363430</v>
      </c>
      <c r="R116" s="3">
        <v>3150363430</v>
      </c>
      <c r="S116" s="7"/>
      <c r="T116" s="30">
        <v>15000000</v>
      </c>
      <c r="U116" s="7"/>
      <c r="V116" s="7"/>
      <c r="W116" s="36"/>
      <c r="X116" s="36">
        <f t="shared" si="14"/>
        <v>0</v>
      </c>
      <c r="Y116" s="36">
        <f t="shared" si="15"/>
        <v>0</v>
      </c>
      <c r="Z116" s="36">
        <f t="shared" si="12"/>
        <v>0</v>
      </c>
      <c r="AA116" s="4"/>
      <c r="AB116" s="79"/>
    </row>
    <row r="117" spans="1:28" ht="46.8" x14ac:dyDescent="0.3">
      <c r="A117" s="7" t="s">
        <v>53</v>
      </c>
      <c r="B117" s="6">
        <v>103</v>
      </c>
      <c r="C117" s="7" t="s">
        <v>357</v>
      </c>
      <c r="D117" s="7" t="s">
        <v>357</v>
      </c>
      <c r="E117" s="7" t="s">
        <v>373</v>
      </c>
      <c r="F117" s="7" t="s">
        <v>374</v>
      </c>
      <c r="G117" s="7" t="s">
        <v>375</v>
      </c>
      <c r="H117" s="5"/>
      <c r="I117" s="7" t="s">
        <v>376</v>
      </c>
      <c r="J117" s="7" t="s">
        <v>24</v>
      </c>
      <c r="K117" s="7" t="s">
        <v>377</v>
      </c>
      <c r="L117" s="3">
        <v>1346007746</v>
      </c>
      <c r="M117" s="3">
        <v>80365824</v>
      </c>
      <c r="N117" s="3">
        <v>15000000</v>
      </c>
      <c r="O117" s="40"/>
      <c r="P117" s="40"/>
      <c r="Q117" s="3">
        <f t="shared" si="13"/>
        <v>1441373570</v>
      </c>
      <c r="R117" s="3">
        <v>1346007746</v>
      </c>
      <c r="S117" s="3">
        <v>80365824</v>
      </c>
      <c r="T117" s="30">
        <v>15000000</v>
      </c>
      <c r="U117" s="7"/>
      <c r="V117" s="7"/>
      <c r="W117" s="36"/>
      <c r="X117" s="36">
        <f t="shared" si="14"/>
        <v>0</v>
      </c>
      <c r="Y117" s="36">
        <f t="shared" si="15"/>
        <v>0</v>
      </c>
      <c r="Z117" s="36">
        <f t="shared" si="12"/>
        <v>0</v>
      </c>
      <c r="AA117" s="4"/>
      <c r="AB117" s="79"/>
    </row>
    <row r="118" spans="1:28" ht="31.2" x14ac:dyDescent="0.3">
      <c r="A118" s="7" t="s">
        <v>46</v>
      </c>
      <c r="B118" s="6">
        <v>104</v>
      </c>
      <c r="C118" s="7" t="s">
        <v>357</v>
      </c>
      <c r="D118" s="7" t="s">
        <v>357</v>
      </c>
      <c r="E118" s="5"/>
      <c r="F118" s="7" t="s">
        <v>379</v>
      </c>
      <c r="G118" s="5"/>
      <c r="H118" s="5"/>
      <c r="I118" s="7" t="s">
        <v>380</v>
      </c>
      <c r="J118" s="7" t="s">
        <v>24</v>
      </c>
      <c r="K118" s="7" t="s">
        <v>381</v>
      </c>
      <c r="L118" s="3">
        <v>2113955500</v>
      </c>
      <c r="M118" s="5"/>
      <c r="N118" s="3">
        <v>15000000</v>
      </c>
      <c r="O118" s="40" t="s">
        <v>378</v>
      </c>
      <c r="P118" s="10">
        <v>40000000</v>
      </c>
      <c r="Q118" s="3">
        <f t="shared" si="13"/>
        <v>2168955500</v>
      </c>
      <c r="R118" s="36">
        <v>2113955500</v>
      </c>
      <c r="S118" s="7"/>
      <c r="T118" s="30">
        <v>15000000</v>
      </c>
      <c r="U118" s="3">
        <v>40000000</v>
      </c>
      <c r="V118" s="7"/>
      <c r="W118" s="36"/>
      <c r="X118" s="36">
        <f t="shared" si="14"/>
        <v>0</v>
      </c>
      <c r="Y118" s="36">
        <f t="shared" si="15"/>
        <v>0</v>
      </c>
      <c r="Z118" s="36">
        <f t="shared" si="12"/>
        <v>0</v>
      </c>
      <c r="AA118" s="4"/>
      <c r="AB118" s="79"/>
    </row>
    <row r="119" spans="1:28" ht="31.2" x14ac:dyDescent="0.3">
      <c r="A119" s="7" t="s">
        <v>53</v>
      </c>
      <c r="B119" s="6">
        <v>105</v>
      </c>
      <c r="C119" s="7" t="s">
        <v>357</v>
      </c>
      <c r="D119" s="7" t="s">
        <v>357</v>
      </c>
      <c r="E119" s="7" t="s">
        <v>177</v>
      </c>
      <c r="F119" s="7" t="s">
        <v>382</v>
      </c>
      <c r="G119" s="7" t="s">
        <v>383</v>
      </c>
      <c r="H119" s="5"/>
      <c r="I119" s="7" t="s">
        <v>384</v>
      </c>
      <c r="J119" s="7" t="s">
        <v>24</v>
      </c>
      <c r="K119" s="7" t="s">
        <v>385</v>
      </c>
      <c r="L119" s="3">
        <v>897636048</v>
      </c>
      <c r="M119" s="3">
        <v>250664832</v>
      </c>
      <c r="N119" s="3">
        <v>7500000</v>
      </c>
      <c r="O119" s="40"/>
      <c r="P119" s="40"/>
      <c r="Q119" s="3">
        <f t="shared" ref="Q119:Q150" si="16">L119+M119+N119+P119</f>
        <v>1155800880</v>
      </c>
      <c r="R119" s="3">
        <v>897636048</v>
      </c>
      <c r="S119" s="3">
        <v>250664832</v>
      </c>
      <c r="T119" s="30">
        <v>7500000</v>
      </c>
      <c r="U119" s="7"/>
      <c r="V119" s="7"/>
      <c r="W119" s="36"/>
      <c r="X119" s="36">
        <f t="shared" ref="X119:X150" si="17">M119-S119</f>
        <v>0</v>
      </c>
      <c r="Y119" s="36">
        <f t="shared" ref="Y119:Y150" si="18">N119-T119</f>
        <v>0</v>
      </c>
      <c r="Z119" s="36">
        <f t="shared" si="12"/>
        <v>0</v>
      </c>
      <c r="AA119" s="4"/>
      <c r="AB119" s="79"/>
    </row>
    <row r="120" spans="1:28" ht="31.2" x14ac:dyDescent="0.3">
      <c r="A120" s="7" t="s">
        <v>62</v>
      </c>
      <c r="B120" s="6">
        <v>106</v>
      </c>
      <c r="C120" s="7" t="s">
        <v>357</v>
      </c>
      <c r="D120" s="7" t="s">
        <v>357</v>
      </c>
      <c r="E120" s="5"/>
      <c r="F120" s="7" t="s">
        <v>386</v>
      </c>
      <c r="G120" s="5"/>
      <c r="H120" s="5"/>
      <c r="I120" s="7" t="s">
        <v>387</v>
      </c>
      <c r="J120" s="7" t="s">
        <v>24</v>
      </c>
      <c r="K120" s="7" t="s">
        <v>388</v>
      </c>
      <c r="L120" s="3">
        <v>4231623100</v>
      </c>
      <c r="M120" s="5"/>
      <c r="N120" s="3">
        <v>7500000</v>
      </c>
      <c r="O120" s="40"/>
      <c r="P120" s="40"/>
      <c r="Q120" s="3">
        <f t="shared" si="16"/>
        <v>4239123100</v>
      </c>
      <c r="R120" s="3">
        <v>4231623100</v>
      </c>
      <c r="S120" s="7"/>
      <c r="T120" s="30">
        <v>7500000</v>
      </c>
      <c r="U120" s="7"/>
      <c r="V120" s="7"/>
      <c r="W120" s="36"/>
      <c r="X120" s="36">
        <f t="shared" si="17"/>
        <v>0</v>
      </c>
      <c r="Y120" s="36">
        <f t="shared" si="18"/>
        <v>0</v>
      </c>
      <c r="Z120" s="36">
        <f t="shared" si="12"/>
        <v>0</v>
      </c>
      <c r="AA120" s="4"/>
      <c r="AB120" s="79"/>
    </row>
    <row r="121" spans="1:28" ht="31.2" x14ac:dyDescent="0.3">
      <c r="A121" s="7" t="s">
        <v>18</v>
      </c>
      <c r="B121" s="6">
        <v>107</v>
      </c>
      <c r="C121" s="7" t="s">
        <v>357</v>
      </c>
      <c r="D121" s="7" t="s">
        <v>357</v>
      </c>
      <c r="E121" s="7" t="s">
        <v>389</v>
      </c>
      <c r="F121" s="7" t="s">
        <v>390</v>
      </c>
      <c r="G121" s="7" t="s">
        <v>391</v>
      </c>
      <c r="H121" s="5"/>
      <c r="I121" s="7" t="s">
        <v>392</v>
      </c>
      <c r="J121" s="7" t="s">
        <v>24</v>
      </c>
      <c r="K121" s="7" t="s">
        <v>393</v>
      </c>
      <c r="L121" s="3">
        <v>10867091933</v>
      </c>
      <c r="M121" s="3">
        <v>156002688</v>
      </c>
      <c r="N121" s="3">
        <v>15000000</v>
      </c>
      <c r="O121" s="40"/>
      <c r="P121" s="40"/>
      <c r="Q121" s="3">
        <f t="shared" si="16"/>
        <v>11038094621</v>
      </c>
      <c r="R121" s="3">
        <v>10867091933</v>
      </c>
      <c r="S121" s="3">
        <v>156002688</v>
      </c>
      <c r="T121" s="30">
        <v>15000000</v>
      </c>
      <c r="U121" s="7"/>
      <c r="V121" s="7"/>
      <c r="W121" s="36"/>
      <c r="X121" s="36">
        <f t="shared" si="17"/>
        <v>0</v>
      </c>
      <c r="Y121" s="36">
        <f t="shared" si="18"/>
        <v>0</v>
      </c>
      <c r="Z121" s="36">
        <f t="shared" si="12"/>
        <v>0</v>
      </c>
      <c r="AA121" s="4"/>
      <c r="AB121" s="79"/>
    </row>
    <row r="122" spans="1:28" ht="62.4" x14ac:dyDescent="0.3">
      <c r="A122" s="7" t="s">
        <v>53</v>
      </c>
      <c r="B122" s="6">
        <v>108</v>
      </c>
      <c r="C122" s="7" t="s">
        <v>357</v>
      </c>
      <c r="D122" s="7" t="s">
        <v>357</v>
      </c>
      <c r="E122" s="5"/>
      <c r="F122" s="7" t="s">
        <v>394</v>
      </c>
      <c r="G122" s="7" t="s">
        <v>395</v>
      </c>
      <c r="H122" s="5"/>
      <c r="I122" s="7" t="s">
        <v>396</v>
      </c>
      <c r="J122" s="7" t="s">
        <v>24</v>
      </c>
      <c r="K122" s="7" t="s">
        <v>397</v>
      </c>
      <c r="L122" s="3">
        <v>724953680</v>
      </c>
      <c r="M122" s="5"/>
      <c r="N122" s="3">
        <v>7500000</v>
      </c>
      <c r="O122" s="40"/>
      <c r="P122" s="40"/>
      <c r="Q122" s="3">
        <f t="shared" si="16"/>
        <v>732453680</v>
      </c>
      <c r="R122" s="3">
        <v>724953680</v>
      </c>
      <c r="S122" s="7"/>
      <c r="T122" s="30">
        <v>7500000</v>
      </c>
      <c r="U122" s="7"/>
      <c r="V122" s="7"/>
      <c r="W122" s="36"/>
      <c r="X122" s="36">
        <f t="shared" si="17"/>
        <v>0</v>
      </c>
      <c r="Y122" s="36">
        <f t="shared" si="18"/>
        <v>0</v>
      </c>
      <c r="Z122" s="36">
        <f t="shared" si="12"/>
        <v>0</v>
      </c>
      <c r="AA122" s="4"/>
      <c r="AB122" s="79"/>
    </row>
    <row r="123" spans="1:28" ht="31.2" x14ac:dyDescent="0.3">
      <c r="A123" s="7" t="s">
        <v>18</v>
      </c>
      <c r="B123" s="6">
        <v>109</v>
      </c>
      <c r="C123" s="7" t="s">
        <v>398</v>
      </c>
      <c r="D123" s="7" t="s">
        <v>398</v>
      </c>
      <c r="E123" s="5"/>
      <c r="F123" s="7" t="s">
        <v>399</v>
      </c>
      <c r="G123" s="7" t="s">
        <v>400</v>
      </c>
      <c r="H123" s="5"/>
      <c r="I123" s="7" t="s">
        <v>401</v>
      </c>
      <c r="J123" s="7" t="s">
        <v>24</v>
      </c>
      <c r="K123" s="7" t="s">
        <v>402</v>
      </c>
      <c r="L123" s="3">
        <v>181108800</v>
      </c>
      <c r="M123" s="5"/>
      <c r="N123" s="3">
        <v>7500000</v>
      </c>
      <c r="O123" s="40"/>
      <c r="P123" s="40"/>
      <c r="Q123" s="3">
        <f t="shared" si="16"/>
        <v>188608800</v>
      </c>
      <c r="R123" s="3">
        <v>181108800</v>
      </c>
      <c r="S123" s="7"/>
      <c r="T123" s="30">
        <v>7500000</v>
      </c>
      <c r="U123" s="7"/>
      <c r="V123" s="7"/>
      <c r="W123" s="36"/>
      <c r="X123" s="36">
        <f t="shared" si="17"/>
        <v>0</v>
      </c>
      <c r="Y123" s="36">
        <f t="shared" si="18"/>
        <v>0</v>
      </c>
      <c r="Z123" s="36">
        <f t="shared" si="12"/>
        <v>0</v>
      </c>
      <c r="AA123" s="4"/>
      <c r="AB123" s="79"/>
    </row>
    <row r="124" spans="1:28" ht="31.2" x14ac:dyDescent="0.3">
      <c r="A124" s="7" t="s">
        <v>62</v>
      </c>
      <c r="B124" s="6">
        <v>110</v>
      </c>
      <c r="C124" s="7" t="s">
        <v>398</v>
      </c>
      <c r="D124" s="7" t="s">
        <v>398</v>
      </c>
      <c r="E124" s="7" t="s">
        <v>158</v>
      </c>
      <c r="F124" s="7" t="s">
        <v>403</v>
      </c>
      <c r="G124" s="7" t="s">
        <v>404</v>
      </c>
      <c r="H124" s="5"/>
      <c r="I124" s="7" t="s">
        <v>405</v>
      </c>
      <c r="J124" s="7" t="s">
        <v>24</v>
      </c>
      <c r="K124" s="7" t="s">
        <v>406</v>
      </c>
      <c r="L124" s="3">
        <v>175354039</v>
      </c>
      <c r="M124" s="3">
        <v>21563136</v>
      </c>
      <c r="N124" s="3">
        <v>7500000</v>
      </c>
      <c r="O124" s="40"/>
      <c r="P124" s="40"/>
      <c r="Q124" s="3">
        <f t="shared" si="16"/>
        <v>204417175</v>
      </c>
      <c r="R124" s="3">
        <v>175354039</v>
      </c>
      <c r="S124" s="3">
        <v>21563136</v>
      </c>
      <c r="T124" s="30">
        <v>7500000</v>
      </c>
      <c r="U124" s="7"/>
      <c r="V124" s="7"/>
      <c r="W124" s="36"/>
      <c r="X124" s="36">
        <f t="shared" si="17"/>
        <v>0</v>
      </c>
      <c r="Y124" s="36">
        <f t="shared" si="18"/>
        <v>0</v>
      </c>
      <c r="Z124" s="36">
        <f t="shared" si="12"/>
        <v>0</v>
      </c>
      <c r="AA124" s="4"/>
      <c r="AB124" s="79"/>
    </row>
    <row r="125" spans="1:28" ht="31.2" x14ac:dyDescent="0.3">
      <c r="A125" s="7" t="s">
        <v>53</v>
      </c>
      <c r="B125" s="6">
        <v>111</v>
      </c>
      <c r="C125" s="7" t="s">
        <v>398</v>
      </c>
      <c r="D125" s="7" t="s">
        <v>398</v>
      </c>
      <c r="E125" s="5"/>
      <c r="F125" s="7" t="s">
        <v>407</v>
      </c>
      <c r="G125" s="5"/>
      <c r="H125" s="5"/>
      <c r="I125" s="7" t="s">
        <v>408</v>
      </c>
      <c r="J125" s="7" t="s">
        <v>24</v>
      </c>
      <c r="K125" s="7" t="s">
        <v>409</v>
      </c>
      <c r="L125" s="3">
        <v>4822077237</v>
      </c>
      <c r="M125" s="5"/>
      <c r="N125" s="3">
        <v>7500000</v>
      </c>
      <c r="O125" s="40"/>
      <c r="P125" s="40"/>
      <c r="Q125" s="3">
        <f t="shared" si="16"/>
        <v>4829577237</v>
      </c>
      <c r="R125" s="3">
        <v>4822077237</v>
      </c>
      <c r="S125" s="7"/>
      <c r="T125" s="72"/>
      <c r="U125" s="7"/>
      <c r="V125" s="7"/>
      <c r="W125" s="36"/>
      <c r="X125" s="36">
        <f t="shared" si="17"/>
        <v>0</v>
      </c>
      <c r="Y125" s="36">
        <f t="shared" si="18"/>
        <v>7500000</v>
      </c>
      <c r="Z125" s="36">
        <f t="shared" si="12"/>
        <v>0</v>
      </c>
      <c r="AA125" s="4"/>
      <c r="AB125" s="79"/>
    </row>
    <row r="126" spans="1:28" ht="78" x14ac:dyDescent="0.3">
      <c r="A126" s="7" t="s">
        <v>53</v>
      </c>
      <c r="B126" s="6">
        <v>112</v>
      </c>
      <c r="C126" s="7" t="s">
        <v>398</v>
      </c>
      <c r="D126" s="7" t="s">
        <v>398</v>
      </c>
      <c r="E126" s="5"/>
      <c r="F126" s="7" t="s">
        <v>410</v>
      </c>
      <c r="G126" s="5"/>
      <c r="H126" s="5"/>
      <c r="I126" s="7" t="s">
        <v>411</v>
      </c>
      <c r="J126" s="7" t="s">
        <v>24</v>
      </c>
      <c r="K126" s="7" t="s">
        <v>412</v>
      </c>
      <c r="L126" s="3">
        <v>216787032</v>
      </c>
      <c r="M126" s="5"/>
      <c r="N126" s="3">
        <v>7500000</v>
      </c>
      <c r="O126" s="40"/>
      <c r="P126" s="40"/>
      <c r="Q126" s="3">
        <f t="shared" si="16"/>
        <v>224287032</v>
      </c>
      <c r="R126" s="3">
        <v>216787032</v>
      </c>
      <c r="S126" s="7"/>
      <c r="T126" s="30">
        <v>7500000</v>
      </c>
      <c r="U126" s="7"/>
      <c r="V126" s="7"/>
      <c r="W126" s="36"/>
      <c r="X126" s="36">
        <f t="shared" si="17"/>
        <v>0</v>
      </c>
      <c r="Y126" s="36">
        <f t="shared" si="18"/>
        <v>0</v>
      </c>
      <c r="Z126" s="36">
        <f t="shared" si="12"/>
        <v>0</v>
      </c>
      <c r="AA126" s="4"/>
      <c r="AB126" s="79"/>
    </row>
    <row r="127" spans="1:28" ht="31.2" x14ac:dyDescent="0.3">
      <c r="A127" s="7" t="s">
        <v>18</v>
      </c>
      <c r="B127" s="6">
        <v>113</v>
      </c>
      <c r="C127" s="7" t="s">
        <v>398</v>
      </c>
      <c r="D127" s="7" t="s">
        <v>398</v>
      </c>
      <c r="E127" s="5"/>
      <c r="F127" s="7" t="s">
        <v>413</v>
      </c>
      <c r="G127" s="5"/>
      <c r="H127" s="5"/>
      <c r="I127" s="7" t="s">
        <v>414</v>
      </c>
      <c r="J127" s="7" t="s">
        <v>24</v>
      </c>
      <c r="K127" s="7" t="s">
        <v>415</v>
      </c>
      <c r="L127" s="3">
        <v>5253286196</v>
      </c>
      <c r="M127" s="5"/>
      <c r="N127" s="3">
        <v>15000000</v>
      </c>
      <c r="O127" s="40"/>
      <c r="P127" s="40"/>
      <c r="Q127" s="3">
        <f t="shared" si="16"/>
        <v>5268286196</v>
      </c>
      <c r="R127" s="36">
        <v>5253286196</v>
      </c>
      <c r="S127" s="7"/>
      <c r="T127" s="30">
        <v>15000000</v>
      </c>
      <c r="U127" s="7"/>
      <c r="V127" s="7"/>
      <c r="W127" s="36"/>
      <c r="X127" s="36">
        <f t="shared" si="17"/>
        <v>0</v>
      </c>
      <c r="Y127" s="36">
        <f t="shared" si="18"/>
        <v>0</v>
      </c>
      <c r="Z127" s="36">
        <f t="shared" si="12"/>
        <v>0</v>
      </c>
      <c r="AA127" s="4"/>
      <c r="AB127" s="79"/>
    </row>
    <row r="128" spans="1:28" ht="31.2" x14ac:dyDescent="0.3">
      <c r="A128" s="7" t="s">
        <v>46</v>
      </c>
      <c r="B128" s="6">
        <v>114</v>
      </c>
      <c r="C128" s="7" t="s">
        <v>398</v>
      </c>
      <c r="D128" s="7" t="s">
        <v>398</v>
      </c>
      <c r="E128" s="7" t="s">
        <v>389</v>
      </c>
      <c r="F128" s="7" t="s">
        <v>416</v>
      </c>
      <c r="G128" s="7" t="s">
        <v>417</v>
      </c>
      <c r="H128" s="5"/>
      <c r="I128" s="7" t="s">
        <v>418</v>
      </c>
      <c r="J128" s="7" t="s">
        <v>24</v>
      </c>
      <c r="K128" s="7" t="s">
        <v>419</v>
      </c>
      <c r="L128" s="3">
        <v>2790170557</v>
      </c>
      <c r="M128" s="3">
        <v>608177941</v>
      </c>
      <c r="N128" s="3">
        <v>15000000</v>
      </c>
      <c r="O128" s="40"/>
      <c r="P128" s="40"/>
      <c r="Q128" s="3">
        <f t="shared" si="16"/>
        <v>3413348498</v>
      </c>
      <c r="R128" s="36">
        <v>2790170557</v>
      </c>
      <c r="S128" s="3">
        <v>608177941</v>
      </c>
      <c r="T128" s="30">
        <v>15000000</v>
      </c>
      <c r="U128" s="7"/>
      <c r="V128" s="7"/>
      <c r="W128" s="36"/>
      <c r="X128" s="36">
        <f t="shared" si="17"/>
        <v>0</v>
      </c>
      <c r="Y128" s="36">
        <f t="shared" si="18"/>
        <v>0</v>
      </c>
      <c r="Z128" s="36">
        <f t="shared" si="12"/>
        <v>0</v>
      </c>
      <c r="AA128" s="4"/>
      <c r="AB128" s="79"/>
    </row>
    <row r="129" spans="1:28" ht="31.2" x14ac:dyDescent="0.3">
      <c r="A129" s="7" t="s">
        <v>53</v>
      </c>
      <c r="B129" s="6">
        <v>115</v>
      </c>
      <c r="C129" s="7" t="s">
        <v>398</v>
      </c>
      <c r="D129" s="7" t="s">
        <v>398</v>
      </c>
      <c r="E129" s="5"/>
      <c r="F129" s="7" t="s">
        <v>420</v>
      </c>
      <c r="G129" s="7" t="s">
        <v>421</v>
      </c>
      <c r="H129" s="5"/>
      <c r="I129" s="7" t="s">
        <v>422</v>
      </c>
      <c r="J129" s="7" t="s">
        <v>24</v>
      </c>
      <c r="K129" s="7" t="s">
        <v>423</v>
      </c>
      <c r="L129" s="3">
        <v>2695621120</v>
      </c>
      <c r="M129" s="5"/>
      <c r="N129" s="3">
        <v>15000000</v>
      </c>
      <c r="O129" s="40"/>
      <c r="P129" s="40"/>
      <c r="Q129" s="3">
        <f t="shared" si="16"/>
        <v>2710621120</v>
      </c>
      <c r="R129" s="3">
        <v>2695621120</v>
      </c>
      <c r="S129" s="7"/>
      <c r="T129" s="30">
        <v>15000000</v>
      </c>
      <c r="U129" s="7"/>
      <c r="V129" s="7"/>
      <c r="W129" s="36"/>
      <c r="X129" s="36">
        <f t="shared" si="17"/>
        <v>0</v>
      </c>
      <c r="Y129" s="36">
        <f t="shared" si="18"/>
        <v>0</v>
      </c>
      <c r="Z129" s="36">
        <f t="shared" si="12"/>
        <v>0</v>
      </c>
      <c r="AA129" s="4"/>
      <c r="AB129" s="79"/>
    </row>
    <row r="130" spans="1:28" ht="31.2" x14ac:dyDescent="0.3">
      <c r="A130" s="7" t="s">
        <v>46</v>
      </c>
      <c r="B130" s="6">
        <v>116</v>
      </c>
      <c r="C130" s="7" t="s">
        <v>398</v>
      </c>
      <c r="D130" s="7" t="s">
        <v>398</v>
      </c>
      <c r="E130" s="5"/>
      <c r="F130" s="7" t="s">
        <v>424</v>
      </c>
      <c r="G130" s="5"/>
      <c r="H130" s="5"/>
      <c r="I130" s="7" t="s">
        <v>425</v>
      </c>
      <c r="J130" s="7" t="s">
        <v>24</v>
      </c>
      <c r="K130" s="7" t="s">
        <v>426</v>
      </c>
      <c r="L130" s="3">
        <v>1190765838</v>
      </c>
      <c r="M130" s="5"/>
      <c r="N130" s="3">
        <v>15000000</v>
      </c>
      <c r="O130" s="40"/>
      <c r="P130" s="40"/>
      <c r="Q130" s="3">
        <f t="shared" si="16"/>
        <v>1205765838</v>
      </c>
      <c r="R130" s="36">
        <v>1190765838</v>
      </c>
      <c r="S130" s="7"/>
      <c r="T130" s="30">
        <v>15000000</v>
      </c>
      <c r="U130" s="7"/>
      <c r="V130" s="7"/>
      <c r="W130" s="36"/>
      <c r="X130" s="36">
        <f t="shared" si="17"/>
        <v>0</v>
      </c>
      <c r="Y130" s="36">
        <f t="shared" si="18"/>
        <v>0</v>
      </c>
      <c r="Z130" s="36">
        <f t="shared" si="12"/>
        <v>0</v>
      </c>
      <c r="AA130" s="4"/>
      <c r="AB130" s="79"/>
    </row>
    <row r="131" spans="1:28" ht="62.4" x14ac:dyDescent="0.3">
      <c r="A131" s="7" t="s">
        <v>18</v>
      </c>
      <c r="B131" s="6">
        <v>117</v>
      </c>
      <c r="C131" s="7" t="s">
        <v>398</v>
      </c>
      <c r="D131" s="7" t="s">
        <v>398</v>
      </c>
      <c r="E131" s="7" t="s">
        <v>427</v>
      </c>
      <c r="F131" s="7" t="s">
        <v>428</v>
      </c>
      <c r="G131" s="5"/>
      <c r="H131" s="7" t="s">
        <v>28</v>
      </c>
      <c r="I131" s="7" t="s">
        <v>429</v>
      </c>
      <c r="J131" s="7" t="s">
        <v>24</v>
      </c>
      <c r="K131" s="7" t="s">
        <v>430</v>
      </c>
      <c r="L131" s="3">
        <v>725498800</v>
      </c>
      <c r="M131" s="5"/>
      <c r="N131" s="3">
        <v>7500000</v>
      </c>
      <c r="O131" s="40"/>
      <c r="P131" s="40"/>
      <c r="Q131" s="3">
        <f t="shared" si="16"/>
        <v>732998800</v>
      </c>
      <c r="R131" s="36">
        <v>725498800</v>
      </c>
      <c r="S131" s="7"/>
      <c r="T131" s="30">
        <v>7500000</v>
      </c>
      <c r="U131" s="7"/>
      <c r="V131" s="68">
        <v>-193390512</v>
      </c>
      <c r="W131" s="36"/>
      <c r="X131" s="36">
        <f t="shared" si="17"/>
        <v>0</v>
      </c>
      <c r="Y131" s="36">
        <f t="shared" si="18"/>
        <v>0</v>
      </c>
      <c r="Z131" s="36">
        <f t="shared" si="12"/>
        <v>0</v>
      </c>
      <c r="AA131" s="4"/>
      <c r="AB131" s="79"/>
    </row>
    <row r="132" spans="1:28" ht="78" x14ac:dyDescent="0.3">
      <c r="A132" s="7" t="s">
        <v>46</v>
      </c>
      <c r="B132" s="6">
        <v>118</v>
      </c>
      <c r="C132" s="7" t="s">
        <v>398</v>
      </c>
      <c r="D132" s="7" t="s">
        <v>398</v>
      </c>
      <c r="E132" s="5"/>
      <c r="F132" s="7" t="s">
        <v>431</v>
      </c>
      <c r="G132" s="5"/>
      <c r="H132" s="5"/>
      <c r="I132" s="7" t="s">
        <v>432</v>
      </c>
      <c r="J132" s="7" t="s">
        <v>24</v>
      </c>
      <c r="K132" s="7" t="s">
        <v>433</v>
      </c>
      <c r="L132" s="6">
        <v>0</v>
      </c>
      <c r="M132" s="5"/>
      <c r="N132" s="3">
        <v>7500000</v>
      </c>
      <c r="O132" s="40"/>
      <c r="P132" s="40"/>
      <c r="Q132" s="3">
        <f t="shared" si="16"/>
        <v>7500000</v>
      </c>
      <c r="R132" s="6">
        <v>0</v>
      </c>
      <c r="S132" s="7"/>
      <c r="T132" s="30">
        <v>7500000</v>
      </c>
      <c r="U132" s="7"/>
      <c r="V132" s="7"/>
      <c r="W132" s="36"/>
      <c r="X132" s="36">
        <f t="shared" si="17"/>
        <v>0</v>
      </c>
      <c r="Y132" s="36">
        <f t="shared" si="18"/>
        <v>0</v>
      </c>
      <c r="Z132" s="36">
        <f t="shared" si="12"/>
        <v>0</v>
      </c>
      <c r="AA132" s="4"/>
      <c r="AB132" s="79"/>
    </row>
    <row r="133" spans="1:28" ht="31.2" x14ac:dyDescent="0.3">
      <c r="A133" s="7" t="s">
        <v>62</v>
      </c>
      <c r="B133" s="6">
        <v>119</v>
      </c>
      <c r="C133" s="7" t="s">
        <v>398</v>
      </c>
      <c r="D133" s="7" t="s">
        <v>398</v>
      </c>
      <c r="E133" s="5"/>
      <c r="F133" s="7" t="s">
        <v>434</v>
      </c>
      <c r="G133" s="5"/>
      <c r="H133" s="5"/>
      <c r="I133" s="7" t="s">
        <v>435</v>
      </c>
      <c r="J133" s="7" t="s">
        <v>24</v>
      </c>
      <c r="K133" s="7" t="s">
        <v>436</v>
      </c>
      <c r="L133" s="3">
        <v>28234674360</v>
      </c>
      <c r="M133" s="5"/>
      <c r="N133" s="3">
        <v>7500000</v>
      </c>
      <c r="O133" s="40"/>
      <c r="P133" s="40"/>
      <c r="Q133" s="3">
        <f t="shared" si="16"/>
        <v>28242174360</v>
      </c>
      <c r="R133" s="3">
        <v>28234674360</v>
      </c>
      <c r="S133" s="7"/>
      <c r="T133" s="30">
        <v>7500000</v>
      </c>
      <c r="U133" s="7"/>
      <c r="V133" s="7"/>
      <c r="W133" s="36"/>
      <c r="X133" s="36">
        <f t="shared" si="17"/>
        <v>0</v>
      </c>
      <c r="Y133" s="36">
        <f t="shared" si="18"/>
        <v>0</v>
      </c>
      <c r="Z133" s="36">
        <f t="shared" si="12"/>
        <v>0</v>
      </c>
      <c r="AA133" s="4"/>
      <c r="AB133" s="79"/>
    </row>
    <row r="134" spans="1:28" ht="31.2" x14ac:dyDescent="0.3">
      <c r="A134" s="7" t="s">
        <v>62</v>
      </c>
      <c r="B134" s="6">
        <v>120</v>
      </c>
      <c r="C134" s="7" t="s">
        <v>398</v>
      </c>
      <c r="D134" s="7" t="s">
        <v>398</v>
      </c>
      <c r="E134" s="5"/>
      <c r="F134" s="7" t="s">
        <v>437</v>
      </c>
      <c r="G134" s="5"/>
      <c r="H134" s="5"/>
      <c r="I134" s="7" t="s">
        <v>438</v>
      </c>
      <c r="J134" s="7" t="s">
        <v>24</v>
      </c>
      <c r="K134" s="7" t="s">
        <v>439</v>
      </c>
      <c r="L134" s="3">
        <v>1810252300</v>
      </c>
      <c r="M134" s="5"/>
      <c r="N134" s="3">
        <v>15000000</v>
      </c>
      <c r="O134" s="40"/>
      <c r="P134" s="40"/>
      <c r="Q134" s="3">
        <f t="shared" si="16"/>
        <v>1825252300</v>
      </c>
      <c r="R134" s="3">
        <v>1810252300</v>
      </c>
      <c r="S134" s="7"/>
      <c r="T134" s="30">
        <v>15000000</v>
      </c>
      <c r="U134" s="7"/>
      <c r="V134" s="7"/>
      <c r="W134" s="36"/>
      <c r="X134" s="36">
        <f t="shared" si="17"/>
        <v>0</v>
      </c>
      <c r="Y134" s="36">
        <f t="shared" si="18"/>
        <v>0</v>
      </c>
      <c r="Z134" s="36">
        <f t="shared" si="12"/>
        <v>0</v>
      </c>
      <c r="AA134" s="4"/>
      <c r="AB134" s="79"/>
    </row>
    <row r="135" spans="1:28" ht="31.2" x14ac:dyDescent="0.3">
      <c r="A135" s="7" t="s">
        <v>62</v>
      </c>
      <c r="B135" s="6">
        <v>121</v>
      </c>
      <c r="C135" s="7" t="s">
        <v>398</v>
      </c>
      <c r="D135" s="7" t="s">
        <v>398</v>
      </c>
      <c r="E135" s="5"/>
      <c r="F135" s="7" t="s">
        <v>440</v>
      </c>
      <c r="G135" s="5"/>
      <c r="H135" s="5"/>
      <c r="I135" s="7" t="s">
        <v>441</v>
      </c>
      <c r="J135" s="7" t="s">
        <v>24</v>
      </c>
      <c r="K135" s="7" t="s">
        <v>442</v>
      </c>
      <c r="L135" s="3">
        <v>547702548</v>
      </c>
      <c r="M135" s="5"/>
      <c r="N135" s="3">
        <v>7500000</v>
      </c>
      <c r="O135" s="40"/>
      <c r="P135" s="40"/>
      <c r="Q135" s="3">
        <f t="shared" si="16"/>
        <v>555202548</v>
      </c>
      <c r="R135" s="3">
        <v>547702548</v>
      </c>
      <c r="S135" s="7"/>
      <c r="T135" s="30">
        <v>7500000</v>
      </c>
      <c r="U135" s="7"/>
      <c r="V135" s="7"/>
      <c r="W135" s="36"/>
      <c r="X135" s="36">
        <f t="shared" si="17"/>
        <v>0</v>
      </c>
      <c r="Y135" s="36">
        <f t="shared" si="18"/>
        <v>0</v>
      </c>
      <c r="Z135" s="36">
        <f t="shared" si="12"/>
        <v>0</v>
      </c>
      <c r="AA135" s="4"/>
      <c r="AB135" s="79"/>
    </row>
    <row r="136" spans="1:28" ht="31.2" x14ac:dyDescent="0.3">
      <c r="A136" s="7" t="s">
        <v>62</v>
      </c>
      <c r="B136" s="6">
        <v>122</v>
      </c>
      <c r="C136" s="7" t="s">
        <v>398</v>
      </c>
      <c r="D136" s="7" t="s">
        <v>398</v>
      </c>
      <c r="E136" s="5"/>
      <c r="F136" s="7" t="s">
        <v>443</v>
      </c>
      <c r="G136" s="5"/>
      <c r="H136" s="5"/>
      <c r="I136" s="7" t="s">
        <v>441</v>
      </c>
      <c r="J136" s="7" t="s">
        <v>24</v>
      </c>
      <c r="K136" s="7" t="s">
        <v>444</v>
      </c>
      <c r="L136" s="3">
        <v>2570795140</v>
      </c>
      <c r="M136" s="5"/>
      <c r="N136" s="3">
        <v>7500000</v>
      </c>
      <c r="O136" s="40"/>
      <c r="P136" s="40"/>
      <c r="Q136" s="3">
        <f t="shared" si="16"/>
        <v>2578295140</v>
      </c>
      <c r="R136" s="3">
        <v>2570795140</v>
      </c>
      <c r="S136" s="7"/>
      <c r="T136" s="30">
        <v>7500000</v>
      </c>
      <c r="U136" s="7"/>
      <c r="V136" s="7"/>
      <c r="W136" s="36"/>
      <c r="X136" s="36">
        <f t="shared" si="17"/>
        <v>0</v>
      </c>
      <c r="Y136" s="36">
        <f t="shared" si="18"/>
        <v>0</v>
      </c>
      <c r="Z136" s="36">
        <f t="shared" si="12"/>
        <v>0</v>
      </c>
      <c r="AA136" s="4"/>
      <c r="AB136" s="79"/>
    </row>
    <row r="137" spans="1:28" ht="31.2" x14ac:dyDescent="0.3">
      <c r="A137" s="7" t="s">
        <v>46</v>
      </c>
      <c r="B137" s="6">
        <v>123</v>
      </c>
      <c r="C137" s="7" t="s">
        <v>398</v>
      </c>
      <c r="D137" s="7" t="s">
        <v>398</v>
      </c>
      <c r="E137" s="5"/>
      <c r="F137" s="7" t="s">
        <v>445</v>
      </c>
      <c r="G137" s="5"/>
      <c r="H137" s="5"/>
      <c r="I137" s="7" t="s">
        <v>446</v>
      </c>
      <c r="J137" s="7" t="s">
        <v>24</v>
      </c>
      <c r="K137" s="7" t="s">
        <v>447</v>
      </c>
      <c r="L137" s="3">
        <v>3746087590</v>
      </c>
      <c r="M137" s="5"/>
      <c r="N137" s="3">
        <v>7500000</v>
      </c>
      <c r="O137" s="40"/>
      <c r="P137" s="40"/>
      <c r="Q137" s="3">
        <f t="shared" si="16"/>
        <v>3753587590</v>
      </c>
      <c r="R137" s="36">
        <v>3746087590</v>
      </c>
      <c r="S137" s="7"/>
      <c r="T137" s="30">
        <v>7500000</v>
      </c>
      <c r="U137" s="7"/>
      <c r="V137" s="7"/>
      <c r="W137" s="36"/>
      <c r="X137" s="36">
        <f t="shared" si="17"/>
        <v>0</v>
      </c>
      <c r="Y137" s="36">
        <f t="shared" si="18"/>
        <v>0</v>
      </c>
      <c r="Z137" s="36">
        <f t="shared" si="12"/>
        <v>0</v>
      </c>
      <c r="AA137" s="4"/>
      <c r="AB137" s="79"/>
    </row>
    <row r="138" spans="1:28" ht="31.2" x14ac:dyDescent="0.3">
      <c r="A138" s="7" t="s">
        <v>46</v>
      </c>
      <c r="B138" s="6">
        <v>124</v>
      </c>
      <c r="C138" s="7" t="s">
        <v>398</v>
      </c>
      <c r="D138" s="7" t="s">
        <v>398</v>
      </c>
      <c r="E138" s="5"/>
      <c r="F138" s="7" t="s">
        <v>448</v>
      </c>
      <c r="G138" s="5"/>
      <c r="H138" s="5"/>
      <c r="I138" s="7" t="s">
        <v>449</v>
      </c>
      <c r="J138" s="7" t="s">
        <v>24</v>
      </c>
      <c r="K138" s="7" t="s">
        <v>450</v>
      </c>
      <c r="L138" s="3">
        <v>6045384105</v>
      </c>
      <c r="M138" s="5"/>
      <c r="N138" s="3">
        <v>15000000</v>
      </c>
      <c r="O138" s="40"/>
      <c r="P138" s="40"/>
      <c r="Q138" s="3">
        <f t="shared" si="16"/>
        <v>6060384105</v>
      </c>
      <c r="R138" s="36">
        <v>6045384105</v>
      </c>
      <c r="S138" s="7"/>
      <c r="T138" s="30">
        <v>15000000</v>
      </c>
      <c r="U138" s="7"/>
      <c r="V138" s="7"/>
      <c r="W138" s="36"/>
      <c r="X138" s="36">
        <f t="shared" si="17"/>
        <v>0</v>
      </c>
      <c r="Y138" s="36">
        <f t="shared" si="18"/>
        <v>0</v>
      </c>
      <c r="Z138" s="36">
        <f t="shared" si="12"/>
        <v>0</v>
      </c>
      <c r="AA138" s="4"/>
      <c r="AB138" s="79"/>
    </row>
    <row r="139" spans="1:28" ht="31.2" x14ac:dyDescent="0.3">
      <c r="A139" s="7" t="s">
        <v>18</v>
      </c>
      <c r="B139" s="6">
        <v>125</v>
      </c>
      <c r="C139" s="7" t="s">
        <v>398</v>
      </c>
      <c r="D139" s="7" t="s">
        <v>398</v>
      </c>
      <c r="E139" s="5"/>
      <c r="F139" s="7" t="s">
        <v>451</v>
      </c>
      <c r="G139" s="5"/>
      <c r="H139" s="7" t="s">
        <v>40</v>
      </c>
      <c r="I139" s="7" t="s">
        <v>111</v>
      </c>
      <c r="J139" s="7" t="s">
        <v>24</v>
      </c>
      <c r="K139" s="7" t="s">
        <v>452</v>
      </c>
      <c r="L139" s="6">
        <v>0</v>
      </c>
      <c r="M139" s="5"/>
      <c r="N139" s="7"/>
      <c r="O139" s="40"/>
      <c r="P139" s="40"/>
      <c r="Q139" s="3">
        <f t="shared" si="16"/>
        <v>0</v>
      </c>
      <c r="R139" s="6">
        <v>0</v>
      </c>
      <c r="S139" s="7"/>
      <c r="T139" s="72"/>
      <c r="U139" s="7"/>
      <c r="V139" s="7"/>
      <c r="W139" s="36"/>
      <c r="X139" s="36">
        <f t="shared" si="17"/>
        <v>0</v>
      </c>
      <c r="Y139" s="36">
        <f t="shared" si="18"/>
        <v>0</v>
      </c>
      <c r="Z139" s="36">
        <f t="shared" si="12"/>
        <v>0</v>
      </c>
      <c r="AA139" s="4"/>
      <c r="AB139" s="79"/>
    </row>
    <row r="140" spans="1:28" ht="31.2" x14ac:dyDescent="0.3">
      <c r="A140" s="7" t="s">
        <v>62</v>
      </c>
      <c r="B140" s="6">
        <v>126</v>
      </c>
      <c r="C140" s="7" t="s">
        <v>398</v>
      </c>
      <c r="D140" s="7" t="s">
        <v>398</v>
      </c>
      <c r="E140" s="5"/>
      <c r="F140" s="7" t="s">
        <v>453</v>
      </c>
      <c r="G140" s="5"/>
      <c r="H140" s="5"/>
      <c r="I140" s="7" t="s">
        <v>454</v>
      </c>
      <c r="J140" s="7" t="s">
        <v>24</v>
      </c>
      <c r="K140" s="7" t="s">
        <v>455</v>
      </c>
      <c r="L140" s="3">
        <v>659212100</v>
      </c>
      <c r="M140" s="5"/>
      <c r="N140" s="3">
        <v>7500000</v>
      </c>
      <c r="O140" s="40"/>
      <c r="P140" s="40"/>
      <c r="Q140" s="3">
        <f t="shared" si="16"/>
        <v>666712100</v>
      </c>
      <c r="R140" s="3">
        <v>659212100</v>
      </c>
      <c r="S140" s="7"/>
      <c r="T140" s="72"/>
      <c r="U140" s="7"/>
      <c r="V140" s="7"/>
      <c r="W140" s="36"/>
      <c r="X140" s="36">
        <f t="shared" si="17"/>
        <v>0</v>
      </c>
      <c r="Y140" s="36">
        <f t="shared" si="18"/>
        <v>7500000</v>
      </c>
      <c r="Z140" s="36">
        <f t="shared" si="12"/>
        <v>0</v>
      </c>
      <c r="AA140" s="4"/>
      <c r="AB140" s="79"/>
    </row>
    <row r="141" spans="1:28" ht="31.2" x14ac:dyDescent="0.3">
      <c r="A141" s="7" t="s">
        <v>18</v>
      </c>
      <c r="B141" s="6">
        <v>127</v>
      </c>
      <c r="C141" s="7" t="s">
        <v>398</v>
      </c>
      <c r="D141" s="7" t="s">
        <v>398</v>
      </c>
      <c r="E141" s="5"/>
      <c r="F141" s="7" t="s">
        <v>456</v>
      </c>
      <c r="G141" s="5"/>
      <c r="H141" s="5"/>
      <c r="I141" s="7" t="s">
        <v>457</v>
      </c>
      <c r="J141" s="7" t="s">
        <v>24</v>
      </c>
      <c r="K141" s="7" t="s">
        <v>458</v>
      </c>
      <c r="L141" s="3">
        <v>99800000</v>
      </c>
      <c r="M141" s="5"/>
      <c r="N141" s="3">
        <v>7500000</v>
      </c>
      <c r="O141" s="40"/>
      <c r="P141" s="40"/>
      <c r="Q141" s="3">
        <f t="shared" si="16"/>
        <v>107300000</v>
      </c>
      <c r="R141" s="3">
        <v>99800000</v>
      </c>
      <c r="S141" s="7"/>
      <c r="T141" s="30">
        <v>7500000</v>
      </c>
      <c r="U141" s="7"/>
      <c r="V141" s="7"/>
      <c r="W141" s="36"/>
      <c r="X141" s="36">
        <f t="shared" si="17"/>
        <v>0</v>
      </c>
      <c r="Y141" s="36">
        <f t="shared" si="18"/>
        <v>0</v>
      </c>
      <c r="Z141" s="36">
        <f t="shared" si="12"/>
        <v>0</v>
      </c>
      <c r="AA141" s="4"/>
      <c r="AB141" s="79"/>
    </row>
    <row r="142" spans="1:28" ht="31.2" x14ac:dyDescent="0.3">
      <c r="A142" s="7" t="s">
        <v>53</v>
      </c>
      <c r="B142" s="6">
        <v>128</v>
      </c>
      <c r="C142" s="7" t="s">
        <v>398</v>
      </c>
      <c r="D142" s="7" t="s">
        <v>398</v>
      </c>
      <c r="E142" s="7" t="s">
        <v>212</v>
      </c>
      <c r="F142" s="7" t="s">
        <v>459</v>
      </c>
      <c r="G142" s="7" t="s">
        <v>460</v>
      </c>
      <c r="H142" s="5"/>
      <c r="I142" s="7" t="s">
        <v>461</v>
      </c>
      <c r="J142" s="7" t="s">
        <v>24</v>
      </c>
      <c r="K142" s="7" t="s">
        <v>462</v>
      </c>
      <c r="L142" s="3">
        <v>3116216204</v>
      </c>
      <c r="M142" s="3">
        <v>1408896</v>
      </c>
      <c r="N142" s="3">
        <v>15000000</v>
      </c>
      <c r="O142" s="40"/>
      <c r="P142" s="40"/>
      <c r="Q142" s="3">
        <f t="shared" si="16"/>
        <v>3132625100</v>
      </c>
      <c r="R142" s="3">
        <v>3116216204</v>
      </c>
      <c r="S142" s="3">
        <v>1408896</v>
      </c>
      <c r="T142" s="30">
        <v>15000000</v>
      </c>
      <c r="U142" s="7"/>
      <c r="V142" s="7"/>
      <c r="W142" s="36"/>
      <c r="X142" s="36">
        <f t="shared" si="17"/>
        <v>0</v>
      </c>
      <c r="Y142" s="36">
        <f t="shared" si="18"/>
        <v>0</v>
      </c>
      <c r="Z142" s="36">
        <f t="shared" si="12"/>
        <v>0</v>
      </c>
      <c r="AA142" s="4"/>
      <c r="AB142" s="79"/>
    </row>
    <row r="143" spans="1:28" ht="31.2" x14ac:dyDescent="0.3">
      <c r="A143" s="7" t="s">
        <v>18</v>
      </c>
      <c r="B143" s="6">
        <v>129</v>
      </c>
      <c r="C143" s="7" t="s">
        <v>398</v>
      </c>
      <c r="D143" s="7" t="s">
        <v>398</v>
      </c>
      <c r="E143" s="5"/>
      <c r="F143" s="7" t="s">
        <v>463</v>
      </c>
      <c r="G143" s="5"/>
      <c r="H143" s="5"/>
      <c r="I143" s="7" t="s">
        <v>464</v>
      </c>
      <c r="J143" s="7" t="s">
        <v>24</v>
      </c>
      <c r="K143" s="7" t="s">
        <v>465</v>
      </c>
      <c r="L143" s="3">
        <v>2855511110</v>
      </c>
      <c r="M143" s="5"/>
      <c r="N143" s="3">
        <v>7500000</v>
      </c>
      <c r="O143" s="40"/>
      <c r="P143" s="40"/>
      <c r="Q143" s="3">
        <f t="shared" si="16"/>
        <v>2863011110</v>
      </c>
      <c r="R143" s="3">
        <v>2855511110</v>
      </c>
      <c r="S143" s="7"/>
      <c r="T143" s="72"/>
      <c r="U143" s="7"/>
      <c r="V143" s="7"/>
      <c r="W143" s="36"/>
      <c r="X143" s="36">
        <f t="shared" si="17"/>
        <v>0</v>
      </c>
      <c r="Y143" s="36">
        <f t="shared" si="18"/>
        <v>7500000</v>
      </c>
      <c r="Z143" s="36">
        <f t="shared" si="12"/>
        <v>0</v>
      </c>
      <c r="AA143" s="4"/>
      <c r="AB143" s="79"/>
    </row>
    <row r="144" spans="1:28" ht="31.2" x14ac:dyDescent="0.3">
      <c r="A144" s="7" t="s">
        <v>18</v>
      </c>
      <c r="B144" s="6">
        <v>130</v>
      </c>
      <c r="C144" s="7" t="s">
        <v>466</v>
      </c>
      <c r="D144" s="7" t="s">
        <v>466</v>
      </c>
      <c r="E144" s="5"/>
      <c r="F144" s="7" t="s">
        <v>467</v>
      </c>
      <c r="G144" s="5"/>
      <c r="H144" s="5"/>
      <c r="I144" s="7" t="s">
        <v>468</v>
      </c>
      <c r="J144" s="7" t="s">
        <v>24</v>
      </c>
      <c r="K144" s="7" t="s">
        <v>469</v>
      </c>
      <c r="L144" s="3">
        <v>442633200</v>
      </c>
      <c r="M144" s="5"/>
      <c r="N144" s="3">
        <v>7500000</v>
      </c>
      <c r="O144" s="40"/>
      <c r="P144" s="40"/>
      <c r="Q144" s="3">
        <f t="shared" si="16"/>
        <v>450133200</v>
      </c>
      <c r="R144" s="3">
        <v>442633200</v>
      </c>
      <c r="S144" s="7"/>
      <c r="T144" s="30">
        <v>7500000</v>
      </c>
      <c r="U144" s="7"/>
      <c r="V144" s="7"/>
      <c r="W144" s="36"/>
      <c r="X144" s="36">
        <f t="shared" si="17"/>
        <v>0</v>
      </c>
      <c r="Y144" s="36">
        <f t="shared" si="18"/>
        <v>0</v>
      </c>
      <c r="Z144" s="36">
        <f t="shared" ref="Z144:Z207" si="19">P144-U144</f>
        <v>0</v>
      </c>
      <c r="AA144" s="4"/>
      <c r="AB144" s="79"/>
    </row>
    <row r="145" spans="1:28" ht="31.2" x14ac:dyDescent="0.3">
      <c r="A145" s="7" t="s">
        <v>18</v>
      </c>
      <c r="B145" s="6">
        <v>131</v>
      </c>
      <c r="C145" s="7" t="s">
        <v>466</v>
      </c>
      <c r="D145" s="7" t="s">
        <v>466</v>
      </c>
      <c r="E145" s="5"/>
      <c r="F145" s="7" t="s">
        <v>470</v>
      </c>
      <c r="G145" s="5"/>
      <c r="H145" s="5"/>
      <c r="I145" s="7" t="s">
        <v>471</v>
      </c>
      <c r="J145" s="7" t="s">
        <v>24</v>
      </c>
      <c r="K145" s="7" t="s">
        <v>472</v>
      </c>
      <c r="L145" s="3">
        <v>4416075000</v>
      </c>
      <c r="M145" s="5"/>
      <c r="N145" s="3">
        <v>7500000</v>
      </c>
      <c r="O145" s="40"/>
      <c r="P145" s="40"/>
      <c r="Q145" s="3">
        <f t="shared" si="16"/>
        <v>4423575000</v>
      </c>
      <c r="R145" s="3">
        <v>4416075000</v>
      </c>
      <c r="S145" s="7"/>
      <c r="T145" s="72"/>
      <c r="U145" s="7"/>
      <c r="V145" s="7"/>
      <c r="W145" s="36"/>
      <c r="X145" s="36">
        <f t="shared" si="17"/>
        <v>0</v>
      </c>
      <c r="Y145" s="36">
        <f t="shared" si="18"/>
        <v>7500000</v>
      </c>
      <c r="Z145" s="36">
        <f t="shared" si="19"/>
        <v>0</v>
      </c>
      <c r="AA145" s="4"/>
      <c r="AB145" s="79"/>
    </row>
    <row r="146" spans="1:28" ht="31.2" x14ac:dyDescent="0.3">
      <c r="A146" s="7" t="s">
        <v>62</v>
      </c>
      <c r="B146" s="6">
        <v>132</v>
      </c>
      <c r="C146" s="7" t="s">
        <v>466</v>
      </c>
      <c r="D146" s="7" t="s">
        <v>466</v>
      </c>
      <c r="E146" s="5"/>
      <c r="F146" s="7" t="s">
        <v>473</v>
      </c>
      <c r="G146" s="5"/>
      <c r="H146" s="5"/>
      <c r="I146" s="7" t="s">
        <v>474</v>
      </c>
      <c r="J146" s="7" t="s">
        <v>24</v>
      </c>
      <c r="K146" s="7" t="s">
        <v>475</v>
      </c>
      <c r="L146" s="3">
        <v>371583574</v>
      </c>
      <c r="M146" s="5"/>
      <c r="N146" s="3">
        <v>7500000</v>
      </c>
      <c r="O146" s="40"/>
      <c r="P146" s="40"/>
      <c r="Q146" s="3">
        <f t="shared" si="16"/>
        <v>379083574</v>
      </c>
      <c r="R146" s="3">
        <v>371583574</v>
      </c>
      <c r="S146" s="7"/>
      <c r="T146" s="30">
        <v>7500000</v>
      </c>
      <c r="U146" s="7"/>
      <c r="V146" s="7"/>
      <c r="W146" s="36"/>
      <c r="X146" s="36">
        <f t="shared" si="17"/>
        <v>0</v>
      </c>
      <c r="Y146" s="36">
        <f t="shared" si="18"/>
        <v>0</v>
      </c>
      <c r="Z146" s="36">
        <f t="shared" si="19"/>
        <v>0</v>
      </c>
      <c r="AA146" s="4"/>
      <c r="AB146" s="79"/>
    </row>
    <row r="147" spans="1:28" ht="31.2" x14ac:dyDescent="0.3">
      <c r="A147" s="7" t="s">
        <v>62</v>
      </c>
      <c r="B147" s="6">
        <v>133</v>
      </c>
      <c r="C147" s="7" t="s">
        <v>466</v>
      </c>
      <c r="D147" s="7" t="s">
        <v>466</v>
      </c>
      <c r="E147" s="5"/>
      <c r="F147" s="7" t="s">
        <v>476</v>
      </c>
      <c r="G147" s="5"/>
      <c r="H147" s="5"/>
      <c r="I147" s="7" t="s">
        <v>477</v>
      </c>
      <c r="J147" s="7" t="s">
        <v>24</v>
      </c>
      <c r="K147" s="7" t="s">
        <v>478</v>
      </c>
      <c r="L147" s="3">
        <v>374522488</v>
      </c>
      <c r="M147" s="5"/>
      <c r="N147" s="3">
        <v>7500000</v>
      </c>
      <c r="O147" s="40"/>
      <c r="P147" s="40"/>
      <c r="Q147" s="3">
        <f t="shared" si="16"/>
        <v>382022488</v>
      </c>
      <c r="R147" s="3">
        <v>374522488</v>
      </c>
      <c r="S147" s="7"/>
      <c r="T147" s="30">
        <v>7500000</v>
      </c>
      <c r="U147" s="7"/>
      <c r="V147" s="7"/>
      <c r="W147" s="36"/>
      <c r="X147" s="36">
        <f t="shared" si="17"/>
        <v>0</v>
      </c>
      <c r="Y147" s="36">
        <f t="shared" si="18"/>
        <v>0</v>
      </c>
      <c r="Z147" s="36">
        <f t="shared" si="19"/>
        <v>0</v>
      </c>
      <c r="AA147" s="4"/>
      <c r="AB147" s="79"/>
    </row>
    <row r="148" spans="1:28" ht="31.2" x14ac:dyDescent="0.3">
      <c r="A148" s="7" t="s">
        <v>53</v>
      </c>
      <c r="B148" s="6">
        <v>134</v>
      </c>
      <c r="C148" s="7" t="s">
        <v>466</v>
      </c>
      <c r="D148" s="7" t="s">
        <v>466</v>
      </c>
      <c r="E148" s="5"/>
      <c r="F148" s="7" t="s">
        <v>479</v>
      </c>
      <c r="G148" s="5"/>
      <c r="H148" s="5"/>
      <c r="I148" s="7" t="s">
        <v>480</v>
      </c>
      <c r="J148" s="7" t="s">
        <v>24</v>
      </c>
      <c r="K148" s="7" t="s">
        <v>481</v>
      </c>
      <c r="L148" s="3">
        <v>1958914892</v>
      </c>
      <c r="M148" s="5"/>
      <c r="N148" s="3">
        <v>7500000</v>
      </c>
      <c r="O148" s="40"/>
      <c r="P148" s="40"/>
      <c r="Q148" s="3">
        <f t="shared" si="16"/>
        <v>1966414892</v>
      </c>
      <c r="R148" s="3">
        <v>1958914892</v>
      </c>
      <c r="S148" s="7"/>
      <c r="T148" s="30">
        <v>7500000</v>
      </c>
      <c r="U148" s="7"/>
      <c r="V148" s="7"/>
      <c r="W148" s="36"/>
      <c r="X148" s="36">
        <f t="shared" si="17"/>
        <v>0</v>
      </c>
      <c r="Y148" s="36">
        <f t="shared" si="18"/>
        <v>0</v>
      </c>
      <c r="Z148" s="36">
        <f t="shared" si="19"/>
        <v>0</v>
      </c>
      <c r="AA148" s="4"/>
      <c r="AB148" s="79"/>
    </row>
    <row r="149" spans="1:28" ht="31.2" x14ac:dyDescent="0.3">
      <c r="A149" s="7" t="s">
        <v>53</v>
      </c>
      <c r="B149" s="6">
        <v>135</v>
      </c>
      <c r="C149" s="7" t="s">
        <v>466</v>
      </c>
      <c r="D149" s="7" t="s">
        <v>466</v>
      </c>
      <c r="E149" s="5"/>
      <c r="F149" s="7" t="s">
        <v>482</v>
      </c>
      <c r="G149" s="5"/>
      <c r="H149" s="5"/>
      <c r="I149" s="7" t="s">
        <v>483</v>
      </c>
      <c r="J149" s="7" t="s">
        <v>24</v>
      </c>
      <c r="K149" s="7" t="s">
        <v>484</v>
      </c>
      <c r="L149" s="3">
        <v>2065538000</v>
      </c>
      <c r="M149" s="5"/>
      <c r="N149" s="3">
        <v>7500000</v>
      </c>
      <c r="O149" s="40"/>
      <c r="P149" s="40"/>
      <c r="Q149" s="3">
        <f t="shared" si="16"/>
        <v>2073038000</v>
      </c>
      <c r="R149" s="3">
        <v>2065538000</v>
      </c>
      <c r="S149" s="7"/>
      <c r="T149" s="30">
        <v>7500000</v>
      </c>
      <c r="U149" s="7"/>
      <c r="V149" s="7"/>
      <c r="W149" s="36"/>
      <c r="X149" s="36">
        <f t="shared" si="17"/>
        <v>0</v>
      </c>
      <c r="Y149" s="36">
        <f t="shared" si="18"/>
        <v>0</v>
      </c>
      <c r="Z149" s="36">
        <f t="shared" si="19"/>
        <v>0</v>
      </c>
      <c r="AA149" s="4"/>
      <c r="AB149" s="79"/>
    </row>
    <row r="150" spans="1:28" ht="31.2" x14ac:dyDescent="0.3">
      <c r="A150" s="7" t="s">
        <v>46</v>
      </c>
      <c r="B150" s="6">
        <v>136</v>
      </c>
      <c r="C150" s="7" t="s">
        <v>485</v>
      </c>
      <c r="D150" s="7" t="s">
        <v>485</v>
      </c>
      <c r="E150" s="5"/>
      <c r="F150" s="7" t="s">
        <v>486</v>
      </c>
      <c r="G150" s="5"/>
      <c r="H150" s="5"/>
      <c r="I150" s="7" t="s">
        <v>487</v>
      </c>
      <c r="J150" s="7" t="s">
        <v>24</v>
      </c>
      <c r="K150" s="7" t="s">
        <v>488</v>
      </c>
      <c r="L150" s="3">
        <v>1293714744</v>
      </c>
      <c r="M150" s="5"/>
      <c r="N150" s="3">
        <v>7500000</v>
      </c>
      <c r="O150" s="40"/>
      <c r="P150" s="40"/>
      <c r="Q150" s="3">
        <f t="shared" si="16"/>
        <v>1301214744</v>
      </c>
      <c r="R150" s="36">
        <v>1293714744</v>
      </c>
      <c r="S150" s="7"/>
      <c r="T150" s="30">
        <v>7500000</v>
      </c>
      <c r="U150" s="7"/>
      <c r="V150" s="7"/>
      <c r="W150" s="36"/>
      <c r="X150" s="36">
        <f t="shared" si="17"/>
        <v>0</v>
      </c>
      <c r="Y150" s="36">
        <f t="shared" si="18"/>
        <v>0</v>
      </c>
      <c r="Z150" s="36">
        <f t="shared" si="19"/>
        <v>0</v>
      </c>
      <c r="AA150" s="4"/>
      <c r="AB150" s="79"/>
    </row>
    <row r="151" spans="1:28" ht="31.2" x14ac:dyDescent="0.3">
      <c r="A151" s="7" t="s">
        <v>46</v>
      </c>
      <c r="B151" s="6">
        <v>137</v>
      </c>
      <c r="C151" s="7" t="s">
        <v>489</v>
      </c>
      <c r="D151" s="7" t="s">
        <v>490</v>
      </c>
      <c r="E151" s="5"/>
      <c r="F151" s="7" t="s">
        <v>491</v>
      </c>
      <c r="G151" s="5"/>
      <c r="H151" s="7" t="s">
        <v>492</v>
      </c>
      <c r="I151" s="7" t="s">
        <v>493</v>
      </c>
      <c r="J151" s="7" t="s">
        <v>24</v>
      </c>
      <c r="K151" s="7" t="s">
        <v>494</v>
      </c>
      <c r="L151" s="3">
        <v>4217619670</v>
      </c>
      <c r="M151" s="5"/>
      <c r="N151" s="3">
        <v>15000000</v>
      </c>
      <c r="O151" s="40"/>
      <c r="P151" s="40"/>
      <c r="Q151" s="3">
        <f t="shared" ref="Q151:Q182" si="20">L151+M151+N151+P151</f>
        <v>4232619670</v>
      </c>
      <c r="R151" s="3">
        <v>4217619670</v>
      </c>
      <c r="S151" s="7"/>
      <c r="T151" s="30">
        <v>15000000</v>
      </c>
      <c r="U151" s="7"/>
      <c r="V151" s="7"/>
      <c r="W151" s="36"/>
      <c r="X151" s="36">
        <f t="shared" ref="X151:X182" si="21">M151-S151</f>
        <v>0</v>
      </c>
      <c r="Y151" s="36">
        <f t="shared" ref="Y151:Y182" si="22">N151-T151</f>
        <v>0</v>
      </c>
      <c r="Z151" s="36">
        <f t="shared" si="19"/>
        <v>0</v>
      </c>
      <c r="AA151" s="4"/>
      <c r="AB151" s="79"/>
    </row>
    <row r="152" spans="1:28" ht="31.2" x14ac:dyDescent="0.3">
      <c r="A152" s="7" t="s">
        <v>46</v>
      </c>
      <c r="B152" s="6">
        <v>138</v>
      </c>
      <c r="C152" s="7" t="s">
        <v>489</v>
      </c>
      <c r="D152" s="7" t="s">
        <v>495</v>
      </c>
      <c r="E152" s="7" t="s">
        <v>389</v>
      </c>
      <c r="F152" s="7" t="s">
        <v>496</v>
      </c>
      <c r="G152" s="7" t="s">
        <v>497</v>
      </c>
      <c r="H152" s="5"/>
      <c r="I152" s="7" t="s">
        <v>498</v>
      </c>
      <c r="J152" s="7" t="s">
        <v>24</v>
      </c>
      <c r="K152" s="7" t="s">
        <v>499</v>
      </c>
      <c r="L152" s="3">
        <v>3194338952</v>
      </c>
      <c r="M152" s="3">
        <v>41139648</v>
      </c>
      <c r="N152" s="3">
        <v>15000000</v>
      </c>
      <c r="O152" s="40"/>
      <c r="P152" s="40"/>
      <c r="Q152" s="3">
        <f t="shared" si="20"/>
        <v>3250478600</v>
      </c>
      <c r="R152" s="3">
        <v>3194338952</v>
      </c>
      <c r="S152" s="3">
        <v>41139648</v>
      </c>
      <c r="T152" s="72"/>
      <c r="U152" s="7"/>
      <c r="V152" s="7"/>
      <c r="W152" s="36"/>
      <c r="X152" s="36">
        <f t="shared" si="21"/>
        <v>0</v>
      </c>
      <c r="Y152" s="36">
        <f t="shared" si="22"/>
        <v>15000000</v>
      </c>
      <c r="Z152" s="36">
        <f t="shared" si="19"/>
        <v>0</v>
      </c>
      <c r="AA152" s="4"/>
      <c r="AB152" s="79"/>
    </row>
    <row r="153" spans="1:28" ht="31.2" x14ac:dyDescent="0.3">
      <c r="A153" s="7" t="s">
        <v>53</v>
      </c>
      <c r="B153" s="6">
        <v>139</v>
      </c>
      <c r="C153" s="7" t="s">
        <v>489</v>
      </c>
      <c r="D153" s="7" t="s">
        <v>500</v>
      </c>
      <c r="E153" s="5"/>
      <c r="F153" s="7" t="s">
        <v>501</v>
      </c>
      <c r="G153" s="5"/>
      <c r="H153" s="5"/>
      <c r="I153" s="7" t="s">
        <v>502</v>
      </c>
      <c r="J153" s="7" t="s">
        <v>24</v>
      </c>
      <c r="K153" s="7" t="s">
        <v>503</v>
      </c>
      <c r="L153" s="3">
        <v>1616275160</v>
      </c>
      <c r="M153" s="5"/>
      <c r="N153" s="3">
        <v>7500000</v>
      </c>
      <c r="O153" s="40"/>
      <c r="P153" s="40"/>
      <c r="Q153" s="3">
        <f t="shared" si="20"/>
        <v>1623775160</v>
      </c>
      <c r="R153" s="3">
        <v>1616275160</v>
      </c>
      <c r="S153" s="7"/>
      <c r="T153" s="30">
        <v>7500000</v>
      </c>
      <c r="U153" s="7"/>
      <c r="V153" s="7"/>
      <c r="W153" s="36"/>
      <c r="X153" s="36">
        <f t="shared" si="21"/>
        <v>0</v>
      </c>
      <c r="Y153" s="36">
        <f t="shared" si="22"/>
        <v>0</v>
      </c>
      <c r="Z153" s="36">
        <f t="shared" si="19"/>
        <v>0</v>
      </c>
      <c r="AA153" s="4"/>
      <c r="AB153" s="79"/>
    </row>
    <row r="154" spans="1:28" ht="46.8" x14ac:dyDescent="0.3">
      <c r="A154" s="7" t="s">
        <v>18</v>
      </c>
      <c r="B154" s="6">
        <v>140</v>
      </c>
      <c r="C154" s="7" t="s">
        <v>489</v>
      </c>
      <c r="D154" s="7" t="s">
        <v>504</v>
      </c>
      <c r="E154" s="5"/>
      <c r="F154" s="7" t="s">
        <v>506</v>
      </c>
      <c r="G154" s="7" t="s">
        <v>395</v>
      </c>
      <c r="H154" s="5"/>
      <c r="I154" s="7" t="s">
        <v>507</v>
      </c>
      <c r="J154" s="7" t="s">
        <v>24</v>
      </c>
      <c r="K154" s="7" t="s">
        <v>508</v>
      </c>
      <c r="L154" s="3">
        <v>3156816400</v>
      </c>
      <c r="M154" s="5"/>
      <c r="N154" s="3">
        <v>15000000</v>
      </c>
      <c r="O154" s="7" t="s">
        <v>505</v>
      </c>
      <c r="P154" s="3">
        <v>18000000</v>
      </c>
      <c r="Q154" s="3">
        <f t="shared" si="20"/>
        <v>3189816400</v>
      </c>
      <c r="R154" s="3">
        <v>3156816400</v>
      </c>
      <c r="S154" s="7"/>
      <c r="T154" s="30">
        <v>15000000</v>
      </c>
      <c r="U154" s="7"/>
      <c r="V154" s="7"/>
      <c r="W154" s="36"/>
      <c r="X154" s="36">
        <f t="shared" si="21"/>
        <v>0</v>
      </c>
      <c r="Y154" s="36">
        <f t="shared" si="22"/>
        <v>0</v>
      </c>
      <c r="Z154" s="36">
        <f t="shared" si="19"/>
        <v>18000000</v>
      </c>
      <c r="AA154" s="4"/>
      <c r="AB154" s="83"/>
    </row>
    <row r="155" spans="1:28" ht="31.2" x14ac:dyDescent="0.3">
      <c r="A155" s="7" t="s">
        <v>18</v>
      </c>
      <c r="B155" s="6">
        <v>141</v>
      </c>
      <c r="C155" s="7" t="s">
        <v>489</v>
      </c>
      <c r="D155" s="7" t="s">
        <v>509</v>
      </c>
      <c r="E155" s="5"/>
      <c r="F155" s="7" t="s">
        <v>510</v>
      </c>
      <c r="G155" s="5"/>
      <c r="H155" s="5"/>
      <c r="I155" s="7" t="s">
        <v>511</v>
      </c>
      <c r="J155" s="7" t="s">
        <v>24</v>
      </c>
      <c r="K155" s="7" t="s">
        <v>512</v>
      </c>
      <c r="L155" s="3">
        <v>1739119796</v>
      </c>
      <c r="M155" s="5"/>
      <c r="N155" s="3">
        <v>7500000</v>
      </c>
      <c r="O155" s="40"/>
      <c r="P155" s="40"/>
      <c r="Q155" s="3">
        <f t="shared" si="20"/>
        <v>1746619796</v>
      </c>
      <c r="R155" s="3">
        <v>1739119796</v>
      </c>
      <c r="S155" s="7"/>
      <c r="T155" s="30">
        <v>7500000</v>
      </c>
      <c r="U155" s="7"/>
      <c r="V155" s="7"/>
      <c r="W155" s="36"/>
      <c r="X155" s="36">
        <f t="shared" si="21"/>
        <v>0</v>
      </c>
      <c r="Y155" s="36">
        <f t="shared" si="22"/>
        <v>0</v>
      </c>
      <c r="Z155" s="36">
        <f t="shared" si="19"/>
        <v>0</v>
      </c>
      <c r="AA155" s="4"/>
      <c r="AB155" s="79"/>
    </row>
    <row r="156" spans="1:28" ht="31.2" x14ac:dyDescent="0.3">
      <c r="A156" s="7" t="s">
        <v>18</v>
      </c>
      <c r="B156" s="6">
        <v>142</v>
      </c>
      <c r="C156" s="7" t="s">
        <v>489</v>
      </c>
      <c r="D156" s="7" t="s">
        <v>513</v>
      </c>
      <c r="E156" s="5"/>
      <c r="F156" s="7" t="s">
        <v>514</v>
      </c>
      <c r="G156" s="5"/>
      <c r="H156" s="5"/>
      <c r="I156" s="7" t="s">
        <v>515</v>
      </c>
      <c r="J156" s="7" t="s">
        <v>24</v>
      </c>
      <c r="K156" s="7" t="s">
        <v>250</v>
      </c>
      <c r="L156" s="3">
        <v>1019168200</v>
      </c>
      <c r="M156" s="5"/>
      <c r="N156" s="3">
        <v>7500000</v>
      </c>
      <c r="O156" s="40"/>
      <c r="P156" s="40"/>
      <c r="Q156" s="3">
        <f t="shared" si="20"/>
        <v>1026668200</v>
      </c>
      <c r="R156" s="3">
        <v>1019168200</v>
      </c>
      <c r="S156" s="7"/>
      <c r="T156" s="30">
        <v>7500000</v>
      </c>
      <c r="U156" s="7"/>
      <c r="V156" s="7"/>
      <c r="W156" s="36"/>
      <c r="X156" s="36">
        <f t="shared" si="21"/>
        <v>0</v>
      </c>
      <c r="Y156" s="36">
        <f t="shared" si="22"/>
        <v>0</v>
      </c>
      <c r="Z156" s="36">
        <f t="shared" si="19"/>
        <v>0</v>
      </c>
      <c r="AA156" s="4"/>
      <c r="AB156" s="79"/>
    </row>
    <row r="157" spans="1:28" ht="31.2" x14ac:dyDescent="0.3">
      <c r="A157" s="7" t="s">
        <v>18</v>
      </c>
      <c r="B157" s="6">
        <v>143</v>
      </c>
      <c r="C157" s="7" t="s">
        <v>489</v>
      </c>
      <c r="D157" s="7" t="s">
        <v>516</v>
      </c>
      <c r="E157" s="7" t="s">
        <v>158</v>
      </c>
      <c r="F157" s="7" t="s">
        <v>517</v>
      </c>
      <c r="G157" s="7" t="s">
        <v>518</v>
      </c>
      <c r="H157" s="5"/>
      <c r="I157" s="7" t="s">
        <v>519</v>
      </c>
      <c r="J157" s="7" t="s">
        <v>24</v>
      </c>
      <c r="K157" s="7" t="s">
        <v>520</v>
      </c>
      <c r="L157" s="3">
        <v>7965890968</v>
      </c>
      <c r="M157" s="3">
        <v>161187840</v>
      </c>
      <c r="N157" s="3">
        <v>15000000</v>
      </c>
      <c r="O157" s="40"/>
      <c r="P157" s="40"/>
      <c r="Q157" s="3">
        <f t="shared" si="20"/>
        <v>8142078808</v>
      </c>
      <c r="R157" s="3">
        <v>7965890968</v>
      </c>
      <c r="S157" s="7"/>
      <c r="T157" s="30">
        <v>15000000</v>
      </c>
      <c r="U157" s="7"/>
      <c r="V157" s="7"/>
      <c r="W157" s="36"/>
      <c r="X157" s="36">
        <f t="shared" si="21"/>
        <v>161187840</v>
      </c>
      <c r="Y157" s="36">
        <f t="shared" si="22"/>
        <v>0</v>
      </c>
      <c r="Z157" s="36">
        <f t="shared" si="19"/>
        <v>0</v>
      </c>
      <c r="AA157" s="4"/>
      <c r="AB157" s="79"/>
    </row>
    <row r="158" spans="1:28" ht="31.2" x14ac:dyDescent="0.3">
      <c r="A158" s="7" t="s">
        <v>18</v>
      </c>
      <c r="B158" s="6">
        <v>144</v>
      </c>
      <c r="C158" s="7" t="s">
        <v>489</v>
      </c>
      <c r="D158" s="7" t="s">
        <v>521</v>
      </c>
      <c r="E158" s="5"/>
      <c r="F158" s="7" t="s">
        <v>522</v>
      </c>
      <c r="G158" s="7" t="s">
        <v>27</v>
      </c>
      <c r="H158" s="5"/>
      <c r="I158" s="7" t="s">
        <v>523</v>
      </c>
      <c r="J158" s="7" t="s">
        <v>24</v>
      </c>
      <c r="K158" s="7" t="s">
        <v>369</v>
      </c>
      <c r="L158" s="3">
        <v>9907256382</v>
      </c>
      <c r="M158" s="5"/>
      <c r="N158" s="3">
        <v>15000000</v>
      </c>
      <c r="O158" s="40" t="s">
        <v>308</v>
      </c>
      <c r="P158" s="10">
        <v>5600000</v>
      </c>
      <c r="Q158" s="3">
        <f t="shared" si="20"/>
        <v>9927856382</v>
      </c>
      <c r="R158" s="3">
        <v>9907256382</v>
      </c>
      <c r="S158" s="7"/>
      <c r="T158" s="30">
        <v>15000000</v>
      </c>
      <c r="U158" s="7"/>
      <c r="V158" s="7"/>
      <c r="W158" s="36"/>
      <c r="X158" s="36">
        <f t="shared" si="21"/>
        <v>0</v>
      </c>
      <c r="Y158" s="36">
        <f t="shared" si="22"/>
        <v>0</v>
      </c>
      <c r="Z158" s="36">
        <f t="shared" si="19"/>
        <v>5600000</v>
      </c>
      <c r="AA158" s="4"/>
      <c r="AB158" s="80" t="s">
        <v>3822</v>
      </c>
    </row>
    <row r="159" spans="1:28" ht="31.2" x14ac:dyDescent="0.3">
      <c r="A159" s="7" t="s">
        <v>18</v>
      </c>
      <c r="B159" s="6">
        <v>145</v>
      </c>
      <c r="C159" s="7" t="s">
        <v>489</v>
      </c>
      <c r="D159" s="7" t="s">
        <v>524</v>
      </c>
      <c r="E159" s="5"/>
      <c r="F159" s="7" t="s">
        <v>525</v>
      </c>
      <c r="G159" s="5"/>
      <c r="H159" s="5"/>
      <c r="I159" s="7" t="s">
        <v>526</v>
      </c>
      <c r="J159" s="7" t="s">
        <v>24</v>
      </c>
      <c r="K159" s="7" t="s">
        <v>527</v>
      </c>
      <c r="L159" s="3">
        <v>1620845726</v>
      </c>
      <c r="M159" s="5"/>
      <c r="N159" s="3">
        <v>7500000</v>
      </c>
      <c r="O159" s="40"/>
      <c r="P159" s="40"/>
      <c r="Q159" s="3">
        <f t="shared" si="20"/>
        <v>1628345726</v>
      </c>
      <c r="R159" s="3">
        <v>1620845726</v>
      </c>
      <c r="S159" s="7"/>
      <c r="T159" s="30">
        <v>7500000</v>
      </c>
      <c r="U159" s="7"/>
      <c r="V159" s="7"/>
      <c r="W159" s="36"/>
      <c r="X159" s="36">
        <f t="shared" si="21"/>
        <v>0</v>
      </c>
      <c r="Y159" s="36">
        <f t="shared" si="22"/>
        <v>0</v>
      </c>
      <c r="Z159" s="36">
        <f t="shared" si="19"/>
        <v>0</v>
      </c>
      <c r="AA159" s="4"/>
      <c r="AB159" s="79"/>
    </row>
    <row r="160" spans="1:28" ht="31.2" x14ac:dyDescent="0.3">
      <c r="A160" s="7" t="s">
        <v>62</v>
      </c>
      <c r="B160" s="6">
        <v>146</v>
      </c>
      <c r="C160" s="7" t="s">
        <v>489</v>
      </c>
      <c r="D160" s="7" t="s">
        <v>528</v>
      </c>
      <c r="E160" s="5"/>
      <c r="F160" s="7" t="s">
        <v>530</v>
      </c>
      <c r="G160" s="5"/>
      <c r="H160" s="5"/>
      <c r="I160" s="7" t="s">
        <v>531</v>
      </c>
      <c r="J160" s="7" t="s">
        <v>24</v>
      </c>
      <c r="K160" s="7" t="s">
        <v>532</v>
      </c>
      <c r="L160" s="3">
        <v>3395712926</v>
      </c>
      <c r="M160" s="5"/>
      <c r="N160" s="3">
        <v>15000000</v>
      </c>
      <c r="O160" s="7" t="s">
        <v>529</v>
      </c>
      <c r="P160" s="3">
        <v>30000000</v>
      </c>
      <c r="Q160" s="3">
        <f t="shared" si="20"/>
        <v>3440712926</v>
      </c>
      <c r="R160" s="7"/>
      <c r="S160" s="7"/>
      <c r="T160" s="30">
        <v>15000000</v>
      </c>
      <c r="U160" s="7"/>
      <c r="V160" s="7"/>
      <c r="W160" s="36">
        <v>3395712926</v>
      </c>
      <c r="X160" s="36">
        <f t="shared" si="21"/>
        <v>0</v>
      </c>
      <c r="Y160" s="36">
        <f t="shared" si="22"/>
        <v>0</v>
      </c>
      <c r="Z160" s="36">
        <f t="shared" si="19"/>
        <v>30000000</v>
      </c>
      <c r="AA160" s="10">
        <v>3395712926</v>
      </c>
      <c r="AB160" s="83"/>
    </row>
    <row r="161" spans="1:28" ht="31.2" x14ac:dyDescent="0.3">
      <c r="A161" s="7" t="s">
        <v>62</v>
      </c>
      <c r="B161" s="6">
        <v>147</v>
      </c>
      <c r="C161" s="7" t="s">
        <v>489</v>
      </c>
      <c r="D161" s="7" t="s">
        <v>533</v>
      </c>
      <c r="E161" s="5"/>
      <c r="F161" s="7" t="s">
        <v>534</v>
      </c>
      <c r="G161" s="5"/>
      <c r="H161" s="5"/>
      <c r="I161" s="7" t="s">
        <v>535</v>
      </c>
      <c r="J161" s="7" t="s">
        <v>24</v>
      </c>
      <c r="K161" s="7" t="s">
        <v>536</v>
      </c>
      <c r="L161" s="3">
        <v>1686837440</v>
      </c>
      <c r="M161" s="5"/>
      <c r="N161" s="3">
        <v>7500000</v>
      </c>
      <c r="O161" s="40"/>
      <c r="P161" s="40"/>
      <c r="Q161" s="3">
        <f t="shared" si="20"/>
        <v>1694337440</v>
      </c>
      <c r="R161" s="3">
        <v>1686837440</v>
      </c>
      <c r="S161" s="7"/>
      <c r="T161" s="30">
        <v>7500000</v>
      </c>
      <c r="U161" s="7"/>
      <c r="V161" s="7"/>
      <c r="W161" s="36"/>
      <c r="X161" s="36">
        <f t="shared" si="21"/>
        <v>0</v>
      </c>
      <c r="Y161" s="36">
        <f t="shared" si="22"/>
        <v>0</v>
      </c>
      <c r="Z161" s="36">
        <f t="shared" si="19"/>
        <v>0</v>
      </c>
      <c r="AA161" s="4"/>
      <c r="AB161" s="79"/>
    </row>
    <row r="162" spans="1:28" ht="31.2" x14ac:dyDescent="0.3">
      <c r="A162" s="7" t="s">
        <v>53</v>
      </c>
      <c r="B162" s="6">
        <v>148</v>
      </c>
      <c r="C162" s="7" t="s">
        <v>537</v>
      </c>
      <c r="D162" s="7" t="s">
        <v>538</v>
      </c>
      <c r="E162" s="5"/>
      <c r="F162" s="7" t="s">
        <v>539</v>
      </c>
      <c r="G162" s="5"/>
      <c r="H162" s="5"/>
      <c r="I162" s="7" t="s">
        <v>540</v>
      </c>
      <c r="J162" s="7" t="s">
        <v>24</v>
      </c>
      <c r="K162" s="7" t="s">
        <v>541</v>
      </c>
      <c r="L162" s="3">
        <v>437187740</v>
      </c>
      <c r="M162" s="5"/>
      <c r="N162" s="3">
        <v>7500000</v>
      </c>
      <c r="O162" s="40"/>
      <c r="P162" s="40"/>
      <c r="Q162" s="3">
        <f t="shared" si="20"/>
        <v>444687740</v>
      </c>
      <c r="R162" s="3">
        <v>437187740</v>
      </c>
      <c r="S162" s="7"/>
      <c r="T162" s="72"/>
      <c r="U162" s="7"/>
      <c r="V162" s="7"/>
      <c r="W162" s="36"/>
      <c r="X162" s="36">
        <f t="shared" si="21"/>
        <v>0</v>
      </c>
      <c r="Y162" s="36">
        <f t="shared" si="22"/>
        <v>7500000</v>
      </c>
      <c r="Z162" s="36">
        <f t="shared" si="19"/>
        <v>0</v>
      </c>
      <c r="AA162" s="4"/>
      <c r="AB162" s="79"/>
    </row>
    <row r="163" spans="1:28" ht="31.2" x14ac:dyDescent="0.3">
      <c r="A163" s="7" t="s">
        <v>46</v>
      </c>
      <c r="B163" s="6">
        <v>149</v>
      </c>
      <c r="C163" s="7" t="s">
        <v>537</v>
      </c>
      <c r="D163" s="7" t="s">
        <v>542</v>
      </c>
      <c r="E163" s="5"/>
      <c r="F163" s="7" t="s">
        <v>543</v>
      </c>
      <c r="G163" s="5"/>
      <c r="H163" s="5"/>
      <c r="I163" s="7" t="s">
        <v>544</v>
      </c>
      <c r="J163" s="7" t="s">
        <v>24</v>
      </c>
      <c r="K163" s="7" t="s">
        <v>545</v>
      </c>
      <c r="L163" s="3">
        <v>1573408200</v>
      </c>
      <c r="M163" s="5"/>
      <c r="N163" s="3">
        <v>7500000</v>
      </c>
      <c r="O163" s="40"/>
      <c r="P163" s="40"/>
      <c r="Q163" s="3">
        <f t="shared" si="20"/>
        <v>1580908200</v>
      </c>
      <c r="R163" s="36">
        <v>1573408200</v>
      </c>
      <c r="S163" s="7"/>
      <c r="T163" s="30">
        <v>7500000</v>
      </c>
      <c r="U163" s="7"/>
      <c r="V163" s="7"/>
      <c r="W163" s="36"/>
      <c r="X163" s="36">
        <f t="shared" si="21"/>
        <v>0</v>
      </c>
      <c r="Y163" s="36">
        <f t="shared" si="22"/>
        <v>0</v>
      </c>
      <c r="Z163" s="36">
        <f t="shared" si="19"/>
        <v>0</v>
      </c>
      <c r="AA163" s="4"/>
      <c r="AB163" s="79"/>
    </row>
    <row r="164" spans="1:28" ht="31.2" x14ac:dyDescent="0.3">
      <c r="A164" s="7" t="s">
        <v>62</v>
      </c>
      <c r="B164" s="6">
        <v>150</v>
      </c>
      <c r="C164" s="7" t="s">
        <v>546</v>
      </c>
      <c r="D164" s="7" t="s">
        <v>547</v>
      </c>
      <c r="E164" s="5"/>
      <c r="F164" s="7" t="s">
        <v>548</v>
      </c>
      <c r="G164" s="5"/>
      <c r="H164" s="5"/>
      <c r="I164" s="7" t="s">
        <v>549</v>
      </c>
      <c r="J164" s="7" t="s">
        <v>24</v>
      </c>
      <c r="K164" s="7" t="s">
        <v>550</v>
      </c>
      <c r="L164" s="3">
        <v>861004700</v>
      </c>
      <c r="M164" s="5"/>
      <c r="N164" s="3">
        <v>7500000</v>
      </c>
      <c r="O164" s="40"/>
      <c r="P164" s="40"/>
      <c r="Q164" s="3">
        <f t="shared" si="20"/>
        <v>868504700</v>
      </c>
      <c r="R164" s="3">
        <v>861004700</v>
      </c>
      <c r="S164" s="7"/>
      <c r="T164" s="30">
        <v>7500000</v>
      </c>
      <c r="U164" s="7"/>
      <c r="V164" s="7"/>
      <c r="W164" s="36"/>
      <c r="X164" s="36">
        <f t="shared" si="21"/>
        <v>0</v>
      </c>
      <c r="Y164" s="36">
        <f t="shared" si="22"/>
        <v>0</v>
      </c>
      <c r="Z164" s="36">
        <f t="shared" si="19"/>
        <v>0</v>
      </c>
      <c r="AA164" s="4"/>
      <c r="AB164" s="79"/>
    </row>
    <row r="165" spans="1:28" ht="31.2" x14ac:dyDescent="0.3">
      <c r="A165" s="7" t="s">
        <v>18</v>
      </c>
      <c r="B165" s="6">
        <v>151</v>
      </c>
      <c r="C165" s="7" t="s">
        <v>546</v>
      </c>
      <c r="D165" s="7" t="s">
        <v>551</v>
      </c>
      <c r="E165" s="5"/>
      <c r="F165" s="7" t="s">
        <v>552</v>
      </c>
      <c r="G165" s="5"/>
      <c r="H165" s="5"/>
      <c r="I165" s="7" t="s">
        <v>553</v>
      </c>
      <c r="J165" s="7" t="s">
        <v>24</v>
      </c>
      <c r="K165" s="7" t="s">
        <v>554</v>
      </c>
      <c r="L165" s="3">
        <v>151014160</v>
      </c>
      <c r="M165" s="5"/>
      <c r="N165" s="3">
        <v>7500000</v>
      </c>
      <c r="O165" s="40"/>
      <c r="P165" s="40"/>
      <c r="Q165" s="3">
        <f t="shared" si="20"/>
        <v>158514160</v>
      </c>
      <c r="R165" s="3">
        <v>151014160</v>
      </c>
      <c r="S165" s="7"/>
      <c r="T165" s="30">
        <v>7500000</v>
      </c>
      <c r="U165" s="7"/>
      <c r="V165" s="7"/>
      <c r="W165" s="36"/>
      <c r="X165" s="36">
        <f t="shared" si="21"/>
        <v>0</v>
      </c>
      <c r="Y165" s="36">
        <f t="shared" si="22"/>
        <v>0</v>
      </c>
      <c r="Z165" s="36">
        <f t="shared" si="19"/>
        <v>0</v>
      </c>
      <c r="AA165" s="4"/>
      <c r="AB165" s="79"/>
    </row>
    <row r="166" spans="1:28" s="98" customFormat="1" ht="31.2" x14ac:dyDescent="0.3">
      <c r="A166" s="89" t="s">
        <v>18</v>
      </c>
      <c r="B166" s="99">
        <v>152</v>
      </c>
      <c r="C166" s="89" t="s">
        <v>555</v>
      </c>
      <c r="D166" s="89" t="s">
        <v>556</v>
      </c>
      <c r="E166" s="89" t="s">
        <v>389</v>
      </c>
      <c r="F166" s="89" t="s">
        <v>558</v>
      </c>
      <c r="G166" s="89" t="s">
        <v>400</v>
      </c>
      <c r="H166" s="100"/>
      <c r="I166" s="89" t="s">
        <v>559</v>
      </c>
      <c r="J166" s="89" t="s">
        <v>24</v>
      </c>
      <c r="K166" s="89" t="s">
        <v>560</v>
      </c>
      <c r="L166" s="93">
        <v>2958066419</v>
      </c>
      <c r="M166" s="93">
        <v>403742592</v>
      </c>
      <c r="N166" s="93">
        <v>15000000</v>
      </c>
      <c r="O166" s="91" t="s">
        <v>557</v>
      </c>
      <c r="P166" s="103">
        <v>45066673</v>
      </c>
      <c r="Q166" s="93">
        <f t="shared" si="20"/>
        <v>3421875684</v>
      </c>
      <c r="R166" s="93">
        <v>2958066419</v>
      </c>
      <c r="S166" s="93">
        <v>403742592</v>
      </c>
      <c r="T166" s="94">
        <v>15000000</v>
      </c>
      <c r="U166" s="89"/>
      <c r="V166" s="89"/>
      <c r="W166" s="95"/>
      <c r="X166" s="95">
        <f t="shared" si="21"/>
        <v>0</v>
      </c>
      <c r="Y166" s="95">
        <f t="shared" si="22"/>
        <v>0</v>
      </c>
      <c r="Z166" s="95">
        <f t="shared" si="19"/>
        <v>45066673</v>
      </c>
      <c r="AA166" s="96"/>
      <c r="AB166" s="97" t="s">
        <v>3852</v>
      </c>
    </row>
    <row r="167" spans="1:28" ht="31.2" x14ac:dyDescent="0.3">
      <c r="A167" s="7" t="s">
        <v>46</v>
      </c>
      <c r="B167" s="6">
        <v>153</v>
      </c>
      <c r="C167" s="7" t="s">
        <v>555</v>
      </c>
      <c r="D167" s="7" t="s">
        <v>561</v>
      </c>
      <c r="E167" s="7" t="s">
        <v>158</v>
      </c>
      <c r="F167" s="7" t="s">
        <v>562</v>
      </c>
      <c r="G167" s="7" t="s">
        <v>563</v>
      </c>
      <c r="H167" s="5"/>
      <c r="I167" s="7" t="s">
        <v>564</v>
      </c>
      <c r="J167" s="7" t="s">
        <v>24</v>
      </c>
      <c r="K167" s="7" t="s">
        <v>565</v>
      </c>
      <c r="L167" s="3">
        <v>3584065926</v>
      </c>
      <c r="M167" s="3">
        <v>76538880</v>
      </c>
      <c r="N167" s="3">
        <v>7500000</v>
      </c>
      <c r="O167" s="40"/>
      <c r="P167" s="40"/>
      <c r="Q167" s="3">
        <f t="shared" si="20"/>
        <v>3668104806</v>
      </c>
      <c r="R167" s="36">
        <v>3584065926</v>
      </c>
      <c r="S167" s="3">
        <v>76538880</v>
      </c>
      <c r="T167" s="30">
        <v>7500000</v>
      </c>
      <c r="U167" s="7"/>
      <c r="V167" s="7"/>
      <c r="W167" s="36"/>
      <c r="X167" s="36">
        <f t="shared" si="21"/>
        <v>0</v>
      </c>
      <c r="Y167" s="36">
        <f t="shared" si="22"/>
        <v>0</v>
      </c>
      <c r="Z167" s="36">
        <f t="shared" si="19"/>
        <v>0</v>
      </c>
      <c r="AA167" s="4"/>
      <c r="AB167" s="79"/>
    </row>
    <row r="168" spans="1:28" ht="31.2" x14ac:dyDescent="0.3">
      <c r="A168" s="7" t="s">
        <v>18</v>
      </c>
      <c r="B168" s="6">
        <v>154</v>
      </c>
      <c r="C168" s="7" t="s">
        <v>555</v>
      </c>
      <c r="D168" s="7" t="s">
        <v>566</v>
      </c>
      <c r="E168" s="5"/>
      <c r="F168" s="7" t="s">
        <v>567</v>
      </c>
      <c r="G168" s="5"/>
      <c r="H168" s="5"/>
      <c r="I168" s="7" t="s">
        <v>568</v>
      </c>
      <c r="J168" s="7" t="s">
        <v>24</v>
      </c>
      <c r="K168" s="7" t="s">
        <v>569</v>
      </c>
      <c r="L168" s="3">
        <v>628833560</v>
      </c>
      <c r="M168" s="5"/>
      <c r="N168" s="3">
        <v>7500000</v>
      </c>
      <c r="O168" s="40"/>
      <c r="P168" s="40"/>
      <c r="Q168" s="3">
        <f t="shared" si="20"/>
        <v>636333560</v>
      </c>
      <c r="R168" s="3">
        <v>628833560</v>
      </c>
      <c r="S168" s="7"/>
      <c r="T168" s="30">
        <v>7500000</v>
      </c>
      <c r="U168" s="7"/>
      <c r="V168" s="7"/>
      <c r="W168" s="36"/>
      <c r="X168" s="36">
        <f t="shared" si="21"/>
        <v>0</v>
      </c>
      <c r="Y168" s="36">
        <f t="shared" si="22"/>
        <v>0</v>
      </c>
      <c r="Z168" s="36">
        <f t="shared" si="19"/>
        <v>0</v>
      </c>
      <c r="AA168" s="4"/>
      <c r="AB168" s="79"/>
    </row>
    <row r="169" spans="1:28" ht="31.2" x14ac:dyDescent="0.3">
      <c r="A169" s="7" t="s">
        <v>62</v>
      </c>
      <c r="B169" s="6">
        <v>155</v>
      </c>
      <c r="C169" s="7" t="s">
        <v>555</v>
      </c>
      <c r="D169" s="7" t="s">
        <v>570</v>
      </c>
      <c r="E169" s="5"/>
      <c r="F169" s="7" t="s">
        <v>571</v>
      </c>
      <c r="G169" s="5"/>
      <c r="H169" s="5"/>
      <c r="I169" s="7" t="s">
        <v>572</v>
      </c>
      <c r="J169" s="7" t="s">
        <v>24</v>
      </c>
      <c r="K169" s="7" t="s">
        <v>573</v>
      </c>
      <c r="L169" s="3">
        <v>1176606588</v>
      </c>
      <c r="M169" s="5"/>
      <c r="N169" s="3">
        <v>15000000</v>
      </c>
      <c r="O169" s="40"/>
      <c r="P169" s="40"/>
      <c r="Q169" s="3">
        <f t="shared" si="20"/>
        <v>1191606588</v>
      </c>
      <c r="R169" s="3">
        <v>1176606588</v>
      </c>
      <c r="S169" s="7"/>
      <c r="T169" s="30">
        <v>15000000</v>
      </c>
      <c r="U169" s="7"/>
      <c r="V169" s="7"/>
      <c r="W169" s="36"/>
      <c r="X169" s="36">
        <f t="shared" si="21"/>
        <v>0</v>
      </c>
      <c r="Y169" s="36">
        <f t="shared" si="22"/>
        <v>0</v>
      </c>
      <c r="Z169" s="36">
        <f t="shared" si="19"/>
        <v>0</v>
      </c>
      <c r="AA169" s="4"/>
      <c r="AB169" s="79"/>
    </row>
    <row r="170" spans="1:28" ht="31.2" x14ac:dyDescent="0.3">
      <c r="A170" s="7" t="s">
        <v>53</v>
      </c>
      <c r="B170" s="6">
        <v>156</v>
      </c>
      <c r="C170" s="7" t="s">
        <v>574</v>
      </c>
      <c r="D170" s="7" t="s">
        <v>575</v>
      </c>
      <c r="E170" s="5"/>
      <c r="F170" s="7" t="s">
        <v>576</v>
      </c>
      <c r="G170" s="5"/>
      <c r="H170" s="5"/>
      <c r="I170" s="7" t="s">
        <v>577</v>
      </c>
      <c r="J170" s="7" t="s">
        <v>24</v>
      </c>
      <c r="K170" s="7" t="s">
        <v>578</v>
      </c>
      <c r="L170" s="3">
        <v>4803560172</v>
      </c>
      <c r="M170" s="5"/>
      <c r="N170" s="3">
        <v>7500000</v>
      </c>
      <c r="O170" s="40"/>
      <c r="P170" s="40"/>
      <c r="Q170" s="3">
        <f t="shared" si="20"/>
        <v>4811060172</v>
      </c>
      <c r="R170" s="3">
        <v>4803560172</v>
      </c>
      <c r="S170" s="7"/>
      <c r="T170" s="30">
        <v>7500000</v>
      </c>
      <c r="U170" s="7"/>
      <c r="V170" s="7"/>
      <c r="W170" s="36"/>
      <c r="X170" s="36">
        <f t="shared" si="21"/>
        <v>0</v>
      </c>
      <c r="Y170" s="36">
        <f t="shared" si="22"/>
        <v>0</v>
      </c>
      <c r="Z170" s="36">
        <f t="shared" si="19"/>
        <v>0</v>
      </c>
      <c r="AA170" s="4"/>
      <c r="AB170" s="79"/>
    </row>
    <row r="171" spans="1:28" ht="31.2" x14ac:dyDescent="0.3">
      <c r="A171" s="7" t="s">
        <v>53</v>
      </c>
      <c r="B171" s="6">
        <v>157</v>
      </c>
      <c r="C171" s="7" t="s">
        <v>574</v>
      </c>
      <c r="D171" s="7" t="s">
        <v>579</v>
      </c>
      <c r="E171" s="7" t="s">
        <v>389</v>
      </c>
      <c r="F171" s="7" t="s">
        <v>580</v>
      </c>
      <c r="G171" s="7" t="s">
        <v>21</v>
      </c>
      <c r="H171" s="5"/>
      <c r="I171" s="7" t="s">
        <v>581</v>
      </c>
      <c r="J171" s="7" t="s">
        <v>24</v>
      </c>
      <c r="K171" s="7" t="s">
        <v>582</v>
      </c>
      <c r="L171" s="3">
        <v>1901994350</v>
      </c>
      <c r="M171" s="3">
        <v>63527270</v>
      </c>
      <c r="N171" s="3">
        <v>15000000</v>
      </c>
      <c r="O171" s="40" t="s">
        <v>264</v>
      </c>
      <c r="P171" s="10">
        <v>90000000</v>
      </c>
      <c r="Q171" s="3">
        <f t="shared" si="20"/>
        <v>2070521620</v>
      </c>
      <c r="R171" s="3">
        <v>1901994350</v>
      </c>
      <c r="S171" s="3">
        <v>63527270</v>
      </c>
      <c r="T171" s="30">
        <v>15000000</v>
      </c>
      <c r="U171" s="3">
        <v>90000000</v>
      </c>
      <c r="V171" s="7"/>
      <c r="W171" s="36"/>
      <c r="X171" s="36">
        <f t="shared" si="21"/>
        <v>0</v>
      </c>
      <c r="Y171" s="36">
        <f t="shared" si="22"/>
        <v>0</v>
      </c>
      <c r="Z171" s="36">
        <f t="shared" si="19"/>
        <v>0</v>
      </c>
      <c r="AA171" s="4"/>
      <c r="AB171" s="79"/>
    </row>
    <row r="172" spans="1:28" ht="31.2" x14ac:dyDescent="0.3">
      <c r="A172" s="7" t="s">
        <v>62</v>
      </c>
      <c r="B172" s="6">
        <v>158</v>
      </c>
      <c r="C172" s="7" t="s">
        <v>574</v>
      </c>
      <c r="D172" s="7" t="s">
        <v>583</v>
      </c>
      <c r="E172" s="5"/>
      <c r="F172" s="7" t="s">
        <v>584</v>
      </c>
      <c r="G172" s="5"/>
      <c r="H172" s="5"/>
      <c r="I172" s="7" t="s">
        <v>585</v>
      </c>
      <c r="J172" s="7" t="s">
        <v>24</v>
      </c>
      <c r="K172" s="7" t="s">
        <v>586</v>
      </c>
      <c r="L172" s="3">
        <v>3339426044</v>
      </c>
      <c r="M172" s="5"/>
      <c r="N172" s="3">
        <v>7500000</v>
      </c>
      <c r="O172" s="40"/>
      <c r="P172" s="40"/>
      <c r="Q172" s="3">
        <f t="shared" si="20"/>
        <v>3346926044</v>
      </c>
      <c r="R172" s="3">
        <v>3339426044</v>
      </c>
      <c r="S172" s="7"/>
      <c r="T172" s="30">
        <v>7500000</v>
      </c>
      <c r="U172" s="7"/>
      <c r="V172" s="7"/>
      <c r="W172" s="36"/>
      <c r="X172" s="36">
        <f t="shared" si="21"/>
        <v>0</v>
      </c>
      <c r="Y172" s="36">
        <f t="shared" si="22"/>
        <v>0</v>
      </c>
      <c r="Z172" s="36">
        <f t="shared" si="19"/>
        <v>0</v>
      </c>
      <c r="AA172" s="4"/>
      <c r="AB172" s="79"/>
    </row>
    <row r="173" spans="1:28" ht="31.2" x14ac:dyDescent="0.3">
      <c r="A173" s="7" t="s">
        <v>46</v>
      </c>
      <c r="B173" s="6">
        <v>159</v>
      </c>
      <c r="C173" s="7" t="s">
        <v>574</v>
      </c>
      <c r="D173" s="7" t="s">
        <v>587</v>
      </c>
      <c r="E173" s="5"/>
      <c r="F173" s="7" t="s">
        <v>588</v>
      </c>
      <c r="G173" s="5"/>
      <c r="H173" s="5"/>
      <c r="I173" s="7" t="s">
        <v>589</v>
      </c>
      <c r="J173" s="7" t="s">
        <v>24</v>
      </c>
      <c r="K173" s="7" t="s">
        <v>590</v>
      </c>
      <c r="L173" s="3">
        <v>1480854756</v>
      </c>
      <c r="M173" s="5"/>
      <c r="N173" s="3">
        <v>15000000</v>
      </c>
      <c r="O173" s="40"/>
      <c r="P173" s="40"/>
      <c r="Q173" s="3">
        <f t="shared" si="20"/>
        <v>1495854756</v>
      </c>
      <c r="R173" s="36">
        <v>1480854756</v>
      </c>
      <c r="S173" s="7"/>
      <c r="T173" s="30">
        <v>15000000</v>
      </c>
      <c r="U173" s="7"/>
      <c r="V173" s="7"/>
      <c r="W173" s="36"/>
      <c r="X173" s="36">
        <f t="shared" si="21"/>
        <v>0</v>
      </c>
      <c r="Y173" s="36">
        <f t="shared" si="22"/>
        <v>0</v>
      </c>
      <c r="Z173" s="36">
        <f t="shared" si="19"/>
        <v>0</v>
      </c>
      <c r="AA173" s="4"/>
      <c r="AB173" s="79"/>
    </row>
    <row r="174" spans="1:28" ht="31.2" x14ac:dyDescent="0.3">
      <c r="A174" s="7" t="s">
        <v>53</v>
      </c>
      <c r="B174" s="6">
        <v>160</v>
      </c>
      <c r="C174" s="7" t="s">
        <v>591</v>
      </c>
      <c r="D174" s="7" t="s">
        <v>592</v>
      </c>
      <c r="E174" s="7" t="s">
        <v>593</v>
      </c>
      <c r="F174" s="7" t="s">
        <v>594</v>
      </c>
      <c r="G174" s="7" t="s">
        <v>595</v>
      </c>
      <c r="H174" s="5"/>
      <c r="I174" s="7" t="s">
        <v>596</v>
      </c>
      <c r="J174" s="7" t="s">
        <v>24</v>
      </c>
      <c r="K174" s="7" t="s">
        <v>597</v>
      </c>
      <c r="L174" s="3">
        <v>4073141200</v>
      </c>
      <c r="M174" s="3">
        <v>43408140</v>
      </c>
      <c r="N174" s="3">
        <v>7500000</v>
      </c>
      <c r="O174" s="40"/>
      <c r="P174" s="40"/>
      <c r="Q174" s="3">
        <f t="shared" si="20"/>
        <v>4124049340</v>
      </c>
      <c r="R174" s="3">
        <v>4073141200</v>
      </c>
      <c r="S174" s="7"/>
      <c r="T174" s="30">
        <v>7500000</v>
      </c>
      <c r="U174" s="7"/>
      <c r="V174" s="7"/>
      <c r="W174" s="36"/>
      <c r="X174" s="36">
        <f t="shared" si="21"/>
        <v>43408140</v>
      </c>
      <c r="Y174" s="36">
        <f t="shared" si="22"/>
        <v>0</v>
      </c>
      <c r="Z174" s="36">
        <f t="shared" si="19"/>
        <v>0</v>
      </c>
      <c r="AA174" s="4"/>
      <c r="AB174" s="79"/>
    </row>
    <row r="175" spans="1:28" ht="31.2" x14ac:dyDescent="0.3">
      <c r="A175" s="7" t="s">
        <v>62</v>
      </c>
      <c r="B175" s="6">
        <v>161</v>
      </c>
      <c r="C175" s="7" t="s">
        <v>591</v>
      </c>
      <c r="D175" s="7" t="s">
        <v>598</v>
      </c>
      <c r="E175" s="5"/>
      <c r="F175" s="7" t="s">
        <v>599</v>
      </c>
      <c r="G175" s="5"/>
      <c r="H175" s="5"/>
      <c r="I175" s="7" t="s">
        <v>600</v>
      </c>
      <c r="J175" s="7" t="s">
        <v>24</v>
      </c>
      <c r="K175" s="7" t="s">
        <v>601</v>
      </c>
      <c r="L175" s="6">
        <v>0</v>
      </c>
      <c r="M175" s="5"/>
      <c r="N175" s="3">
        <v>7500000</v>
      </c>
      <c r="O175" s="40"/>
      <c r="P175" s="40"/>
      <c r="Q175" s="3">
        <f t="shared" si="20"/>
        <v>7500000</v>
      </c>
      <c r="R175" s="6">
        <v>0</v>
      </c>
      <c r="S175" s="7"/>
      <c r="T175" s="30">
        <v>7500000</v>
      </c>
      <c r="U175" s="7"/>
      <c r="V175" s="7"/>
      <c r="W175" s="36"/>
      <c r="X175" s="36">
        <f t="shared" si="21"/>
        <v>0</v>
      </c>
      <c r="Y175" s="36">
        <f t="shared" si="22"/>
        <v>0</v>
      </c>
      <c r="Z175" s="36">
        <f t="shared" si="19"/>
        <v>0</v>
      </c>
      <c r="AA175" s="4"/>
      <c r="AB175" s="79"/>
    </row>
    <row r="176" spans="1:28" ht="31.2" x14ac:dyDescent="0.3">
      <c r="A176" s="7" t="s">
        <v>18</v>
      </c>
      <c r="B176" s="6">
        <v>162</v>
      </c>
      <c r="C176" s="7" t="s">
        <v>591</v>
      </c>
      <c r="D176" s="7" t="s">
        <v>602</v>
      </c>
      <c r="E176" s="7" t="s">
        <v>158</v>
      </c>
      <c r="F176" s="7" t="s">
        <v>603</v>
      </c>
      <c r="G176" s="7" t="s">
        <v>604</v>
      </c>
      <c r="H176" s="5"/>
      <c r="I176" s="7" t="s">
        <v>605</v>
      </c>
      <c r="J176" s="7" t="s">
        <v>24</v>
      </c>
      <c r="K176" s="7" t="s">
        <v>606</v>
      </c>
      <c r="L176" s="3">
        <v>1042237976</v>
      </c>
      <c r="M176" s="3">
        <v>271713024</v>
      </c>
      <c r="N176" s="3">
        <v>15000000</v>
      </c>
      <c r="O176" s="40"/>
      <c r="P176" s="40"/>
      <c r="Q176" s="3">
        <f t="shared" si="20"/>
        <v>1328951000</v>
      </c>
      <c r="R176" s="36">
        <v>1042237976</v>
      </c>
      <c r="S176" s="3">
        <v>271713024</v>
      </c>
      <c r="T176" s="30">
        <v>15000000</v>
      </c>
      <c r="U176" s="7"/>
      <c r="V176" s="7"/>
      <c r="W176" s="36"/>
      <c r="X176" s="36">
        <f t="shared" si="21"/>
        <v>0</v>
      </c>
      <c r="Y176" s="36">
        <f t="shared" si="22"/>
        <v>0</v>
      </c>
      <c r="Z176" s="36">
        <f t="shared" si="19"/>
        <v>0</v>
      </c>
      <c r="AA176" s="4"/>
      <c r="AB176" s="79"/>
    </row>
    <row r="177" spans="1:28" ht="31.2" x14ac:dyDescent="0.3">
      <c r="A177" s="7" t="s">
        <v>18</v>
      </c>
      <c r="B177" s="6">
        <v>163</v>
      </c>
      <c r="C177" s="7" t="s">
        <v>591</v>
      </c>
      <c r="D177" s="7" t="s">
        <v>607</v>
      </c>
      <c r="E177" s="5"/>
      <c r="F177" s="7" t="s">
        <v>608</v>
      </c>
      <c r="G177" s="5"/>
      <c r="H177" s="5"/>
      <c r="I177" s="7" t="s">
        <v>609</v>
      </c>
      <c r="J177" s="7" t="s">
        <v>24</v>
      </c>
      <c r="K177" s="7" t="s">
        <v>610</v>
      </c>
      <c r="L177" s="3">
        <v>725476290</v>
      </c>
      <c r="M177" s="5"/>
      <c r="N177" s="3">
        <v>7500000</v>
      </c>
      <c r="O177" s="40"/>
      <c r="P177" s="40"/>
      <c r="Q177" s="3">
        <f t="shared" si="20"/>
        <v>732976290</v>
      </c>
      <c r="R177" s="36">
        <v>725476290</v>
      </c>
      <c r="S177" s="7"/>
      <c r="T177" s="72"/>
      <c r="U177" s="7"/>
      <c r="V177" s="7"/>
      <c r="W177" s="36"/>
      <c r="X177" s="36">
        <f t="shared" si="21"/>
        <v>0</v>
      </c>
      <c r="Y177" s="36">
        <f t="shared" si="22"/>
        <v>7500000</v>
      </c>
      <c r="Z177" s="36">
        <f t="shared" si="19"/>
        <v>0</v>
      </c>
      <c r="AA177" s="4"/>
      <c r="AB177" s="79"/>
    </row>
    <row r="178" spans="1:28" ht="31.2" x14ac:dyDescent="0.3">
      <c r="A178" s="7" t="s">
        <v>46</v>
      </c>
      <c r="B178" s="6">
        <v>164</v>
      </c>
      <c r="C178" s="7" t="s">
        <v>591</v>
      </c>
      <c r="D178" s="7" t="s">
        <v>611</v>
      </c>
      <c r="E178" s="7" t="s">
        <v>158</v>
      </c>
      <c r="F178" s="7" t="s">
        <v>612</v>
      </c>
      <c r="G178" s="7" t="s">
        <v>613</v>
      </c>
      <c r="H178" s="5"/>
      <c r="I178" s="7" t="s">
        <v>614</v>
      </c>
      <c r="J178" s="7" t="s">
        <v>24</v>
      </c>
      <c r="K178" s="7" t="s">
        <v>615</v>
      </c>
      <c r="L178" s="3">
        <v>3565502327</v>
      </c>
      <c r="M178" s="3">
        <v>450846720</v>
      </c>
      <c r="N178" s="3">
        <v>15000000</v>
      </c>
      <c r="O178" s="40"/>
      <c r="P178" s="40"/>
      <c r="Q178" s="3">
        <f t="shared" si="20"/>
        <v>4031349047</v>
      </c>
      <c r="R178" s="3">
        <v>3565502327</v>
      </c>
      <c r="S178" s="3">
        <v>450846720</v>
      </c>
      <c r="T178" s="30">
        <v>15000000</v>
      </c>
      <c r="U178" s="7"/>
      <c r="V178" s="7"/>
      <c r="W178" s="36"/>
      <c r="X178" s="36">
        <f t="shared" si="21"/>
        <v>0</v>
      </c>
      <c r="Y178" s="36">
        <f t="shared" si="22"/>
        <v>0</v>
      </c>
      <c r="Z178" s="36">
        <f t="shared" si="19"/>
        <v>0</v>
      </c>
      <c r="AA178" s="4"/>
      <c r="AB178" s="79"/>
    </row>
    <row r="179" spans="1:28" ht="31.2" x14ac:dyDescent="0.3">
      <c r="A179" s="7" t="s">
        <v>53</v>
      </c>
      <c r="B179" s="6">
        <v>165</v>
      </c>
      <c r="C179" s="7" t="s">
        <v>591</v>
      </c>
      <c r="D179" s="7" t="s">
        <v>616</v>
      </c>
      <c r="E179" s="7" t="s">
        <v>389</v>
      </c>
      <c r="F179" s="7" t="s">
        <v>617</v>
      </c>
      <c r="G179" s="7" t="s">
        <v>618</v>
      </c>
      <c r="H179" s="5"/>
      <c r="I179" s="7" t="s">
        <v>619</v>
      </c>
      <c r="J179" s="7" t="s">
        <v>24</v>
      </c>
      <c r="K179" s="7" t="s">
        <v>620</v>
      </c>
      <c r="L179" s="3">
        <v>1192465080</v>
      </c>
      <c r="M179" s="3">
        <v>287020800</v>
      </c>
      <c r="N179" s="3">
        <v>15000000</v>
      </c>
      <c r="O179" s="40"/>
      <c r="P179" s="40"/>
      <c r="Q179" s="3">
        <f t="shared" si="20"/>
        <v>1494485880</v>
      </c>
      <c r="R179" s="3">
        <v>1192465080</v>
      </c>
      <c r="S179" s="3">
        <v>287020800</v>
      </c>
      <c r="T179" s="30">
        <v>15000000</v>
      </c>
      <c r="U179" s="7"/>
      <c r="V179" s="7"/>
      <c r="W179" s="36"/>
      <c r="X179" s="36">
        <f t="shared" si="21"/>
        <v>0</v>
      </c>
      <c r="Y179" s="36">
        <f t="shared" si="22"/>
        <v>0</v>
      </c>
      <c r="Z179" s="36">
        <f t="shared" si="19"/>
        <v>0</v>
      </c>
      <c r="AA179" s="4"/>
      <c r="AB179" s="79"/>
    </row>
    <row r="180" spans="1:28" ht="31.2" x14ac:dyDescent="0.3">
      <c r="A180" s="7" t="s">
        <v>62</v>
      </c>
      <c r="B180" s="6">
        <v>166</v>
      </c>
      <c r="C180" s="7" t="s">
        <v>591</v>
      </c>
      <c r="D180" s="7" t="s">
        <v>621</v>
      </c>
      <c r="E180" s="5"/>
      <c r="F180" s="7" t="s">
        <v>622</v>
      </c>
      <c r="G180" s="5"/>
      <c r="H180" s="5"/>
      <c r="I180" s="7" t="s">
        <v>623</v>
      </c>
      <c r="J180" s="7" t="s">
        <v>24</v>
      </c>
      <c r="K180" s="7" t="s">
        <v>624</v>
      </c>
      <c r="L180" s="3">
        <v>1818691780</v>
      </c>
      <c r="M180" s="5"/>
      <c r="N180" s="3">
        <v>7500000</v>
      </c>
      <c r="O180" s="40"/>
      <c r="P180" s="40"/>
      <c r="Q180" s="3">
        <f t="shared" si="20"/>
        <v>1826191780</v>
      </c>
      <c r="R180" s="3">
        <v>1818691780</v>
      </c>
      <c r="S180" s="7"/>
      <c r="T180" s="30">
        <v>7500000</v>
      </c>
      <c r="U180" s="7"/>
      <c r="V180" s="7"/>
      <c r="W180" s="36"/>
      <c r="X180" s="36">
        <f t="shared" si="21"/>
        <v>0</v>
      </c>
      <c r="Y180" s="36">
        <f t="shared" si="22"/>
        <v>0</v>
      </c>
      <c r="Z180" s="36">
        <f t="shared" si="19"/>
        <v>0</v>
      </c>
      <c r="AA180" s="4"/>
      <c r="AB180" s="79"/>
    </row>
    <row r="181" spans="1:28" ht="31.2" x14ac:dyDescent="0.3">
      <c r="A181" s="7" t="s">
        <v>62</v>
      </c>
      <c r="B181" s="6">
        <v>167</v>
      </c>
      <c r="C181" s="7" t="s">
        <v>625</v>
      </c>
      <c r="D181" s="7" t="s">
        <v>626</v>
      </c>
      <c r="E181" s="7" t="s">
        <v>627</v>
      </c>
      <c r="F181" s="7" t="s">
        <v>628</v>
      </c>
      <c r="G181" s="7" t="s">
        <v>629</v>
      </c>
      <c r="H181" s="5"/>
      <c r="I181" s="7" t="s">
        <v>630</v>
      </c>
      <c r="J181" s="7" t="s">
        <v>24</v>
      </c>
      <c r="K181" s="7" t="s">
        <v>631</v>
      </c>
      <c r="L181" s="3">
        <v>3670953400</v>
      </c>
      <c r="M181" s="3">
        <v>858857640</v>
      </c>
      <c r="N181" s="3">
        <v>7500000</v>
      </c>
      <c r="O181" s="40"/>
      <c r="P181" s="40"/>
      <c r="Q181" s="3">
        <f t="shared" si="20"/>
        <v>4537311040</v>
      </c>
      <c r="R181" s="3">
        <v>3670953400</v>
      </c>
      <c r="S181" s="7"/>
      <c r="T181" s="30">
        <v>7500000</v>
      </c>
      <c r="U181" s="7"/>
      <c r="V181" s="7"/>
      <c r="W181" s="36"/>
      <c r="X181" s="36">
        <f t="shared" si="21"/>
        <v>858857640</v>
      </c>
      <c r="Y181" s="36">
        <f t="shared" si="22"/>
        <v>0</v>
      </c>
      <c r="Z181" s="36">
        <f t="shared" si="19"/>
        <v>0</v>
      </c>
      <c r="AA181" s="4"/>
      <c r="AB181" s="79"/>
    </row>
    <row r="182" spans="1:28" ht="31.2" x14ac:dyDescent="0.3">
      <c r="A182" s="7" t="s">
        <v>53</v>
      </c>
      <c r="B182" s="6">
        <v>168</v>
      </c>
      <c r="C182" s="7" t="s">
        <v>625</v>
      </c>
      <c r="D182" s="7" t="s">
        <v>632</v>
      </c>
      <c r="E182" s="5"/>
      <c r="F182" s="7" t="s">
        <v>633</v>
      </c>
      <c r="G182" s="5"/>
      <c r="H182" s="5"/>
      <c r="I182" s="7" t="s">
        <v>634</v>
      </c>
      <c r="J182" s="7" t="s">
        <v>24</v>
      </c>
      <c r="K182" s="7" t="s">
        <v>635</v>
      </c>
      <c r="L182" s="3">
        <v>8433071600</v>
      </c>
      <c r="M182" s="5"/>
      <c r="N182" s="3">
        <v>7500000</v>
      </c>
      <c r="O182" s="40"/>
      <c r="P182" s="40"/>
      <c r="Q182" s="3">
        <f t="shared" si="20"/>
        <v>8440571600</v>
      </c>
      <c r="R182" s="3">
        <v>8433071600</v>
      </c>
      <c r="S182" s="7"/>
      <c r="T182" s="72"/>
      <c r="U182" s="7"/>
      <c r="V182" s="7"/>
      <c r="W182" s="36"/>
      <c r="X182" s="36">
        <f t="shared" si="21"/>
        <v>0</v>
      </c>
      <c r="Y182" s="36">
        <f t="shared" si="22"/>
        <v>7500000</v>
      </c>
      <c r="Z182" s="36">
        <f t="shared" si="19"/>
        <v>0</v>
      </c>
      <c r="AA182" s="4"/>
      <c r="AB182" s="79"/>
    </row>
    <row r="183" spans="1:28" ht="46.8" x14ac:dyDescent="0.3">
      <c r="A183" s="7" t="s">
        <v>18</v>
      </c>
      <c r="B183" s="6">
        <v>169</v>
      </c>
      <c r="C183" s="7" t="s">
        <v>625</v>
      </c>
      <c r="D183" s="7" t="s">
        <v>636</v>
      </c>
      <c r="E183" s="7" t="s">
        <v>638</v>
      </c>
      <c r="F183" s="7" t="s">
        <v>639</v>
      </c>
      <c r="G183" s="7" t="s">
        <v>640</v>
      </c>
      <c r="H183" s="5"/>
      <c r="I183" s="7" t="s">
        <v>641</v>
      </c>
      <c r="J183" s="7" t="s">
        <v>24</v>
      </c>
      <c r="K183" s="7" t="s">
        <v>642</v>
      </c>
      <c r="L183" s="3">
        <v>5988544304</v>
      </c>
      <c r="M183" s="3">
        <v>118968048</v>
      </c>
      <c r="N183" s="3">
        <v>15000000</v>
      </c>
      <c r="O183" s="40" t="s">
        <v>637</v>
      </c>
      <c r="P183" s="10">
        <v>36000000</v>
      </c>
      <c r="Q183" s="3">
        <f t="shared" ref="Q183:Q214" si="23">L183+M183+N183+P183</f>
        <v>6158512352</v>
      </c>
      <c r="R183" s="3">
        <v>5988544304</v>
      </c>
      <c r="S183" s="3">
        <v>118968048</v>
      </c>
      <c r="T183" s="30">
        <v>15000000</v>
      </c>
      <c r="U183" s="3">
        <v>36000000</v>
      </c>
      <c r="V183" s="7"/>
      <c r="W183" s="36"/>
      <c r="X183" s="36">
        <f t="shared" ref="X183:X214" si="24">M183-S183</f>
        <v>0</v>
      </c>
      <c r="Y183" s="36">
        <f t="shared" ref="Y183:Y214" si="25">N183-T183</f>
        <v>0</v>
      </c>
      <c r="Z183" s="36">
        <f t="shared" si="19"/>
        <v>0</v>
      </c>
      <c r="AA183" s="4"/>
      <c r="AB183" s="79"/>
    </row>
    <row r="184" spans="1:28" ht="31.2" x14ac:dyDescent="0.3">
      <c r="A184" s="7" t="s">
        <v>53</v>
      </c>
      <c r="B184" s="6">
        <v>170</v>
      </c>
      <c r="C184" s="7" t="s">
        <v>625</v>
      </c>
      <c r="D184" s="7" t="s">
        <v>643</v>
      </c>
      <c r="E184" s="7" t="s">
        <v>644</v>
      </c>
      <c r="F184" s="7" t="s">
        <v>645</v>
      </c>
      <c r="G184" s="7" t="s">
        <v>646</v>
      </c>
      <c r="H184" s="5"/>
      <c r="I184" s="7" t="s">
        <v>647</v>
      </c>
      <c r="J184" s="7" t="s">
        <v>24</v>
      </c>
      <c r="K184" s="7" t="s">
        <v>648</v>
      </c>
      <c r="L184" s="3">
        <v>2032992492</v>
      </c>
      <c r="M184" s="3">
        <v>46891008</v>
      </c>
      <c r="N184" s="3">
        <v>15000000</v>
      </c>
      <c r="O184" s="40"/>
      <c r="P184" s="40"/>
      <c r="Q184" s="3">
        <f t="shared" si="23"/>
        <v>2094883500</v>
      </c>
      <c r="R184" s="3">
        <v>2032992492</v>
      </c>
      <c r="S184" s="7"/>
      <c r="T184" s="30">
        <v>15000000</v>
      </c>
      <c r="U184" s="7"/>
      <c r="V184" s="7"/>
      <c r="W184" s="36"/>
      <c r="X184" s="36">
        <f t="shared" si="24"/>
        <v>46891008</v>
      </c>
      <c r="Y184" s="36">
        <f t="shared" si="25"/>
        <v>0</v>
      </c>
      <c r="Z184" s="36">
        <f t="shared" si="19"/>
        <v>0</v>
      </c>
      <c r="AA184" s="4"/>
      <c r="AB184" s="79"/>
    </row>
    <row r="185" spans="1:28" ht="31.2" x14ac:dyDescent="0.3">
      <c r="A185" s="7" t="s">
        <v>62</v>
      </c>
      <c r="B185" s="6">
        <v>171</v>
      </c>
      <c r="C185" s="7" t="s">
        <v>625</v>
      </c>
      <c r="D185" s="7" t="s">
        <v>649</v>
      </c>
      <c r="E185" s="5"/>
      <c r="F185" s="7" t="s">
        <v>650</v>
      </c>
      <c r="G185" s="5"/>
      <c r="H185" s="5"/>
      <c r="I185" s="7" t="s">
        <v>651</v>
      </c>
      <c r="J185" s="7" t="s">
        <v>24</v>
      </c>
      <c r="K185" s="7" t="s">
        <v>652</v>
      </c>
      <c r="L185" s="3">
        <v>3992486323</v>
      </c>
      <c r="M185" s="5"/>
      <c r="N185" s="3">
        <v>7500000</v>
      </c>
      <c r="O185" s="40"/>
      <c r="P185" s="40"/>
      <c r="Q185" s="3">
        <f t="shared" si="23"/>
        <v>3999986323</v>
      </c>
      <c r="R185" s="3">
        <v>3992486323</v>
      </c>
      <c r="S185" s="7"/>
      <c r="T185" s="30">
        <v>7500000</v>
      </c>
      <c r="U185" s="7"/>
      <c r="V185" s="7"/>
      <c r="W185" s="36"/>
      <c r="X185" s="36">
        <f t="shared" si="24"/>
        <v>0</v>
      </c>
      <c r="Y185" s="36">
        <f t="shared" si="25"/>
        <v>0</v>
      </c>
      <c r="Z185" s="36">
        <f t="shared" si="19"/>
        <v>0</v>
      </c>
      <c r="AA185" s="4"/>
      <c r="AB185" s="79"/>
    </row>
    <row r="186" spans="1:28" ht="31.2" x14ac:dyDescent="0.3">
      <c r="A186" s="7" t="s">
        <v>18</v>
      </c>
      <c r="B186" s="6">
        <v>172</v>
      </c>
      <c r="C186" s="7" t="s">
        <v>625</v>
      </c>
      <c r="D186" s="7" t="s">
        <v>653</v>
      </c>
      <c r="E186" s="5"/>
      <c r="F186" s="7" t="s">
        <v>654</v>
      </c>
      <c r="G186" s="5"/>
      <c r="H186" s="5"/>
      <c r="I186" s="7" t="s">
        <v>655</v>
      </c>
      <c r="J186" s="7" t="s">
        <v>24</v>
      </c>
      <c r="K186" s="7" t="s">
        <v>656</v>
      </c>
      <c r="L186" s="3">
        <v>729829000</v>
      </c>
      <c r="M186" s="5"/>
      <c r="N186" s="3">
        <v>7500000</v>
      </c>
      <c r="O186" s="40"/>
      <c r="P186" s="40"/>
      <c r="Q186" s="3">
        <f t="shared" si="23"/>
        <v>737329000</v>
      </c>
      <c r="R186" s="3">
        <v>729829000</v>
      </c>
      <c r="S186" s="7"/>
      <c r="T186" s="30">
        <v>7500000</v>
      </c>
      <c r="U186" s="7"/>
      <c r="V186" s="7"/>
      <c r="W186" s="36"/>
      <c r="X186" s="36">
        <f t="shared" si="24"/>
        <v>0</v>
      </c>
      <c r="Y186" s="36">
        <f t="shared" si="25"/>
        <v>0</v>
      </c>
      <c r="Z186" s="36">
        <f t="shared" si="19"/>
        <v>0</v>
      </c>
      <c r="AA186" s="4"/>
      <c r="AB186" s="79"/>
    </row>
    <row r="187" spans="1:28" ht="31.2" x14ac:dyDescent="0.3">
      <c r="A187" s="7" t="s">
        <v>53</v>
      </c>
      <c r="B187" s="6">
        <v>173</v>
      </c>
      <c r="C187" s="7" t="s">
        <v>625</v>
      </c>
      <c r="D187" s="7" t="s">
        <v>657</v>
      </c>
      <c r="E187" s="5"/>
      <c r="F187" s="7" t="s">
        <v>658</v>
      </c>
      <c r="G187" s="5"/>
      <c r="H187" s="5"/>
      <c r="I187" s="7" t="s">
        <v>659</v>
      </c>
      <c r="J187" s="7" t="s">
        <v>24</v>
      </c>
      <c r="K187" s="7" t="s">
        <v>660</v>
      </c>
      <c r="L187" s="3">
        <v>124266760</v>
      </c>
      <c r="M187" s="5"/>
      <c r="N187" s="3">
        <v>7500000</v>
      </c>
      <c r="O187" s="40"/>
      <c r="P187" s="40"/>
      <c r="Q187" s="3">
        <f t="shared" si="23"/>
        <v>131766760</v>
      </c>
      <c r="R187" s="3">
        <v>124266760</v>
      </c>
      <c r="S187" s="7"/>
      <c r="T187" s="30">
        <v>7500000</v>
      </c>
      <c r="U187" s="7"/>
      <c r="V187" s="7"/>
      <c r="W187" s="36"/>
      <c r="X187" s="36">
        <f t="shared" si="24"/>
        <v>0</v>
      </c>
      <c r="Y187" s="36">
        <f t="shared" si="25"/>
        <v>0</v>
      </c>
      <c r="Z187" s="36">
        <f t="shared" si="19"/>
        <v>0</v>
      </c>
      <c r="AA187" s="4"/>
      <c r="AB187" s="79"/>
    </row>
    <row r="188" spans="1:28" ht="31.2" x14ac:dyDescent="0.3">
      <c r="A188" s="7" t="s">
        <v>18</v>
      </c>
      <c r="B188" s="6">
        <v>174</v>
      </c>
      <c r="C188" s="7" t="s">
        <v>625</v>
      </c>
      <c r="D188" s="7" t="s">
        <v>661</v>
      </c>
      <c r="E188" s="5"/>
      <c r="F188" s="7" t="s">
        <v>662</v>
      </c>
      <c r="G188" s="5"/>
      <c r="H188" s="5"/>
      <c r="I188" s="7" t="s">
        <v>663</v>
      </c>
      <c r="J188" s="7" t="s">
        <v>24</v>
      </c>
      <c r="K188" s="7" t="s">
        <v>664</v>
      </c>
      <c r="L188" s="6">
        <v>0</v>
      </c>
      <c r="M188" s="5"/>
      <c r="N188" s="3">
        <v>7500000</v>
      </c>
      <c r="O188" s="40"/>
      <c r="P188" s="40"/>
      <c r="Q188" s="3">
        <f t="shared" si="23"/>
        <v>7500000</v>
      </c>
      <c r="R188" s="6">
        <v>0</v>
      </c>
      <c r="S188" s="7"/>
      <c r="T188" s="72"/>
      <c r="U188" s="7"/>
      <c r="V188" s="7"/>
      <c r="W188" s="36"/>
      <c r="X188" s="36">
        <f t="shared" si="24"/>
        <v>0</v>
      </c>
      <c r="Y188" s="36">
        <f t="shared" si="25"/>
        <v>7500000</v>
      </c>
      <c r="Z188" s="36">
        <f t="shared" si="19"/>
        <v>0</v>
      </c>
      <c r="AA188" s="4"/>
      <c r="AB188" s="79"/>
    </row>
    <row r="189" spans="1:28" ht="62.4" x14ac:dyDescent="0.3">
      <c r="A189" s="7" t="s">
        <v>62</v>
      </c>
      <c r="B189" s="6">
        <v>175</v>
      </c>
      <c r="C189" s="7" t="s">
        <v>625</v>
      </c>
      <c r="D189" s="7" t="s">
        <v>665</v>
      </c>
      <c r="E189" s="7" t="s">
        <v>666</v>
      </c>
      <c r="F189" s="7" t="s">
        <v>667</v>
      </c>
      <c r="G189" s="7" t="s">
        <v>668</v>
      </c>
      <c r="H189" s="5"/>
      <c r="I189" s="7" t="s">
        <v>669</v>
      </c>
      <c r="J189" s="7" t="s">
        <v>24</v>
      </c>
      <c r="K189" s="7" t="s">
        <v>670</v>
      </c>
      <c r="L189" s="3">
        <v>2265222670</v>
      </c>
      <c r="M189" s="3">
        <v>552867384</v>
      </c>
      <c r="N189" s="3">
        <v>7500000</v>
      </c>
      <c r="O189" s="40"/>
      <c r="P189" s="40"/>
      <c r="Q189" s="3">
        <f t="shared" si="23"/>
        <v>2825590054</v>
      </c>
      <c r="R189" s="7"/>
      <c r="S189" s="7"/>
      <c r="T189" s="72"/>
      <c r="U189" s="7"/>
      <c r="V189" s="7"/>
      <c r="W189" s="36">
        <v>2265222670</v>
      </c>
      <c r="X189" s="36">
        <f t="shared" si="24"/>
        <v>552867384</v>
      </c>
      <c r="Y189" s="36">
        <f t="shared" si="25"/>
        <v>7500000</v>
      </c>
      <c r="Z189" s="36">
        <f t="shared" si="19"/>
        <v>0</v>
      </c>
      <c r="AA189" s="10">
        <v>2818090054</v>
      </c>
      <c r="AB189" s="79"/>
    </row>
    <row r="190" spans="1:28" ht="31.2" x14ac:dyDescent="0.3">
      <c r="A190" s="7" t="s">
        <v>53</v>
      </c>
      <c r="B190" s="6">
        <v>176</v>
      </c>
      <c r="C190" s="7" t="s">
        <v>625</v>
      </c>
      <c r="D190" s="7" t="s">
        <v>671</v>
      </c>
      <c r="E190" s="5"/>
      <c r="F190" s="7" t="s">
        <v>672</v>
      </c>
      <c r="G190" s="5"/>
      <c r="H190" s="5"/>
      <c r="I190" s="7" t="s">
        <v>673</v>
      </c>
      <c r="J190" s="7" t="s">
        <v>24</v>
      </c>
      <c r="K190" s="7" t="s">
        <v>674</v>
      </c>
      <c r="L190" s="3">
        <v>10643430</v>
      </c>
      <c r="M190" s="5"/>
      <c r="N190" s="3">
        <v>7500000</v>
      </c>
      <c r="O190" s="40"/>
      <c r="P190" s="40"/>
      <c r="Q190" s="3">
        <f t="shared" si="23"/>
        <v>18143430</v>
      </c>
      <c r="R190" s="3">
        <v>10643430</v>
      </c>
      <c r="S190" s="7"/>
      <c r="T190" s="30">
        <v>7500000</v>
      </c>
      <c r="U190" s="7"/>
      <c r="V190" s="7"/>
      <c r="W190" s="36"/>
      <c r="X190" s="36">
        <f t="shared" si="24"/>
        <v>0</v>
      </c>
      <c r="Y190" s="36">
        <f t="shared" si="25"/>
        <v>0</v>
      </c>
      <c r="Z190" s="36">
        <f t="shared" si="19"/>
        <v>0</v>
      </c>
      <c r="AA190" s="4"/>
      <c r="AB190" s="79"/>
    </row>
    <row r="191" spans="1:28" ht="31.2" x14ac:dyDescent="0.3">
      <c r="A191" s="7" t="s">
        <v>62</v>
      </c>
      <c r="B191" s="6">
        <v>177</v>
      </c>
      <c r="C191" s="7" t="s">
        <v>625</v>
      </c>
      <c r="D191" s="7" t="s">
        <v>675</v>
      </c>
      <c r="E191" s="5"/>
      <c r="F191" s="7" t="s">
        <v>676</v>
      </c>
      <c r="G191" s="5"/>
      <c r="H191" s="5"/>
      <c r="I191" s="7" t="s">
        <v>677</v>
      </c>
      <c r="J191" s="7" t="s">
        <v>24</v>
      </c>
      <c r="K191" s="7" t="s">
        <v>678</v>
      </c>
      <c r="L191" s="3">
        <v>8918600276</v>
      </c>
      <c r="M191" s="5"/>
      <c r="N191" s="3">
        <v>15000000</v>
      </c>
      <c r="O191" s="40"/>
      <c r="P191" s="40"/>
      <c r="Q191" s="3">
        <f t="shared" si="23"/>
        <v>8933600276</v>
      </c>
      <c r="R191" s="3">
        <v>8918600276</v>
      </c>
      <c r="S191" s="7"/>
      <c r="T191" s="30">
        <v>15000000</v>
      </c>
      <c r="U191" s="7"/>
      <c r="V191" s="7"/>
      <c r="W191" s="36"/>
      <c r="X191" s="36">
        <f t="shared" si="24"/>
        <v>0</v>
      </c>
      <c r="Y191" s="36">
        <f t="shared" si="25"/>
        <v>0</v>
      </c>
      <c r="Z191" s="36">
        <f t="shared" si="19"/>
        <v>0</v>
      </c>
      <c r="AA191" s="4"/>
      <c r="AB191" s="79"/>
    </row>
    <row r="192" spans="1:28" ht="31.2" x14ac:dyDescent="0.3">
      <c r="A192" s="7" t="s">
        <v>62</v>
      </c>
      <c r="B192" s="6">
        <v>178</v>
      </c>
      <c r="C192" s="7" t="s">
        <v>625</v>
      </c>
      <c r="D192" s="7" t="s">
        <v>679</v>
      </c>
      <c r="E192" s="7" t="s">
        <v>389</v>
      </c>
      <c r="F192" s="7" t="s">
        <v>680</v>
      </c>
      <c r="G192" s="7" t="s">
        <v>681</v>
      </c>
      <c r="H192" s="5"/>
      <c r="I192" s="7" t="s">
        <v>682</v>
      </c>
      <c r="J192" s="7" t="s">
        <v>24</v>
      </c>
      <c r="K192" s="7" t="s">
        <v>683</v>
      </c>
      <c r="L192" s="3">
        <v>1981953376</v>
      </c>
      <c r="M192" s="3">
        <v>93049344</v>
      </c>
      <c r="N192" s="3">
        <v>15000000</v>
      </c>
      <c r="O192" s="40"/>
      <c r="P192" s="40"/>
      <c r="Q192" s="3">
        <f t="shared" si="23"/>
        <v>2090002720</v>
      </c>
      <c r="R192" s="3">
        <v>1981953376</v>
      </c>
      <c r="S192" s="3">
        <v>93049344</v>
      </c>
      <c r="T192" s="30">
        <v>15000000</v>
      </c>
      <c r="U192" s="7"/>
      <c r="V192" s="7"/>
      <c r="W192" s="36"/>
      <c r="X192" s="36">
        <f t="shared" si="24"/>
        <v>0</v>
      </c>
      <c r="Y192" s="36">
        <f t="shared" si="25"/>
        <v>0</v>
      </c>
      <c r="Z192" s="36">
        <f t="shared" si="19"/>
        <v>0</v>
      </c>
      <c r="AA192" s="4"/>
      <c r="AB192" s="79"/>
    </row>
    <row r="193" spans="1:28" ht="31.2" x14ac:dyDescent="0.3">
      <c r="A193" s="7" t="s">
        <v>18</v>
      </c>
      <c r="B193" s="6">
        <v>179</v>
      </c>
      <c r="C193" s="7" t="s">
        <v>625</v>
      </c>
      <c r="D193" s="7" t="s">
        <v>684</v>
      </c>
      <c r="E193" s="5"/>
      <c r="F193" s="7" t="s">
        <v>375</v>
      </c>
      <c r="G193" s="5"/>
      <c r="H193" s="5"/>
      <c r="I193" s="7" t="s">
        <v>685</v>
      </c>
      <c r="J193" s="7" t="s">
        <v>24</v>
      </c>
      <c r="K193" s="7" t="s">
        <v>109</v>
      </c>
      <c r="L193" s="3">
        <v>10000000</v>
      </c>
      <c r="M193" s="5"/>
      <c r="N193" s="3">
        <v>15000000</v>
      </c>
      <c r="O193" s="40"/>
      <c r="P193" s="40"/>
      <c r="Q193" s="3">
        <f t="shared" si="23"/>
        <v>25000000</v>
      </c>
      <c r="R193" s="36">
        <v>10000000</v>
      </c>
      <c r="S193" s="7"/>
      <c r="T193" s="30">
        <v>15000000</v>
      </c>
      <c r="U193" s="7"/>
      <c r="V193" s="7"/>
      <c r="W193" s="36"/>
      <c r="X193" s="36">
        <f t="shared" si="24"/>
        <v>0</v>
      </c>
      <c r="Y193" s="36">
        <f t="shared" si="25"/>
        <v>0</v>
      </c>
      <c r="Z193" s="36">
        <f t="shared" si="19"/>
        <v>0</v>
      </c>
      <c r="AA193" s="4"/>
      <c r="AB193" s="79"/>
    </row>
    <row r="194" spans="1:28" ht="31.2" x14ac:dyDescent="0.3">
      <c r="A194" s="7" t="s">
        <v>18</v>
      </c>
      <c r="B194" s="6">
        <v>180</v>
      </c>
      <c r="C194" s="7" t="s">
        <v>625</v>
      </c>
      <c r="D194" s="7" t="s">
        <v>686</v>
      </c>
      <c r="E194" s="5"/>
      <c r="F194" s="7" t="s">
        <v>687</v>
      </c>
      <c r="G194" s="5"/>
      <c r="H194" s="5"/>
      <c r="I194" s="7" t="s">
        <v>688</v>
      </c>
      <c r="J194" s="7" t="s">
        <v>24</v>
      </c>
      <c r="K194" s="7" t="s">
        <v>689</v>
      </c>
      <c r="L194" s="3">
        <v>10000000</v>
      </c>
      <c r="M194" s="5"/>
      <c r="N194" s="3">
        <v>15000000</v>
      </c>
      <c r="O194" s="40"/>
      <c r="P194" s="40"/>
      <c r="Q194" s="3">
        <f t="shared" si="23"/>
        <v>25000000</v>
      </c>
      <c r="R194" s="36">
        <v>10000000</v>
      </c>
      <c r="S194" s="7"/>
      <c r="T194" s="30">
        <v>15000000</v>
      </c>
      <c r="U194" s="7"/>
      <c r="V194" s="7"/>
      <c r="W194" s="36"/>
      <c r="X194" s="36">
        <f t="shared" si="24"/>
        <v>0</v>
      </c>
      <c r="Y194" s="36">
        <f t="shared" si="25"/>
        <v>0</v>
      </c>
      <c r="Z194" s="36">
        <f t="shared" si="19"/>
        <v>0</v>
      </c>
      <c r="AA194" s="4"/>
      <c r="AB194" s="79"/>
    </row>
    <row r="195" spans="1:28" ht="46.8" x14ac:dyDescent="0.3">
      <c r="A195" s="7" t="s">
        <v>18</v>
      </c>
      <c r="B195" s="6">
        <v>181</v>
      </c>
      <c r="C195" s="7" t="s">
        <v>625</v>
      </c>
      <c r="D195" s="7" t="s">
        <v>690</v>
      </c>
      <c r="E195" s="7" t="s">
        <v>389</v>
      </c>
      <c r="F195" s="7" t="s">
        <v>692</v>
      </c>
      <c r="G195" s="7" t="s">
        <v>693</v>
      </c>
      <c r="H195" s="5"/>
      <c r="I195" s="7" t="s">
        <v>694</v>
      </c>
      <c r="J195" s="7" t="s">
        <v>24</v>
      </c>
      <c r="K195" s="7" t="s">
        <v>695</v>
      </c>
      <c r="L195" s="3">
        <v>14532544980</v>
      </c>
      <c r="M195" s="3">
        <v>643772000</v>
      </c>
      <c r="N195" s="3">
        <v>15000000</v>
      </c>
      <c r="O195" s="40" t="s">
        <v>691</v>
      </c>
      <c r="P195" s="10">
        <v>48000000</v>
      </c>
      <c r="Q195" s="3">
        <f t="shared" si="23"/>
        <v>15239316980</v>
      </c>
      <c r="R195" s="3">
        <v>14532544980</v>
      </c>
      <c r="S195" s="3">
        <v>643772000</v>
      </c>
      <c r="T195" s="30">
        <v>15000000</v>
      </c>
      <c r="U195" s="3">
        <v>48000000</v>
      </c>
      <c r="V195" s="7"/>
      <c r="W195" s="36"/>
      <c r="X195" s="36">
        <f t="shared" si="24"/>
        <v>0</v>
      </c>
      <c r="Y195" s="36">
        <f t="shared" si="25"/>
        <v>0</v>
      </c>
      <c r="Z195" s="36">
        <f t="shared" si="19"/>
        <v>0</v>
      </c>
      <c r="AA195" s="4"/>
      <c r="AB195" s="79"/>
    </row>
    <row r="196" spans="1:28" ht="62.4" x14ac:dyDescent="0.3">
      <c r="A196" s="7" t="s">
        <v>18</v>
      </c>
      <c r="B196" s="6">
        <v>182</v>
      </c>
      <c r="C196" s="7" t="s">
        <v>696</v>
      </c>
      <c r="D196" s="7" t="s">
        <v>697</v>
      </c>
      <c r="E196" s="7" t="s">
        <v>698</v>
      </c>
      <c r="F196" s="7" t="s">
        <v>167</v>
      </c>
      <c r="G196" s="7" t="s">
        <v>699</v>
      </c>
      <c r="H196" s="5"/>
      <c r="I196" s="7" t="s">
        <v>700</v>
      </c>
      <c r="J196" s="7" t="s">
        <v>24</v>
      </c>
      <c r="K196" s="7" t="s">
        <v>701</v>
      </c>
      <c r="L196" s="3">
        <v>336768568</v>
      </c>
      <c r="M196" s="3">
        <v>141798254</v>
      </c>
      <c r="N196" s="3">
        <v>7500000</v>
      </c>
      <c r="O196" s="40"/>
      <c r="P196" s="40"/>
      <c r="Q196" s="3">
        <f t="shared" si="23"/>
        <v>486066822</v>
      </c>
      <c r="R196" s="3">
        <v>336768568</v>
      </c>
      <c r="S196" s="3">
        <v>116040254</v>
      </c>
      <c r="T196" s="30">
        <v>7500000</v>
      </c>
      <c r="U196" s="7"/>
      <c r="V196" s="7"/>
      <c r="W196" s="36"/>
      <c r="X196" s="36">
        <f t="shared" si="24"/>
        <v>25758000</v>
      </c>
      <c r="Y196" s="36">
        <f t="shared" si="25"/>
        <v>0</v>
      </c>
      <c r="Z196" s="36">
        <f t="shared" si="19"/>
        <v>0</v>
      </c>
      <c r="AA196" s="4"/>
      <c r="AB196" s="79"/>
    </row>
    <row r="197" spans="1:28" ht="31.2" x14ac:dyDescent="0.3">
      <c r="A197" s="7" t="s">
        <v>18</v>
      </c>
      <c r="B197" s="6">
        <v>183</v>
      </c>
      <c r="C197" s="7" t="s">
        <v>696</v>
      </c>
      <c r="D197" s="7" t="s">
        <v>702</v>
      </c>
      <c r="E197" s="5"/>
      <c r="F197" s="7" t="s">
        <v>703</v>
      </c>
      <c r="G197" s="5"/>
      <c r="H197" s="5"/>
      <c r="I197" s="7" t="s">
        <v>704</v>
      </c>
      <c r="J197" s="7" t="s">
        <v>24</v>
      </c>
      <c r="K197" s="7" t="s">
        <v>705</v>
      </c>
      <c r="L197" s="3">
        <v>1710548356</v>
      </c>
      <c r="M197" s="5"/>
      <c r="N197" s="3">
        <v>7500000</v>
      </c>
      <c r="O197" s="40"/>
      <c r="P197" s="40"/>
      <c r="Q197" s="3">
        <f t="shared" si="23"/>
        <v>1718048356</v>
      </c>
      <c r="R197" s="3">
        <v>1710548356</v>
      </c>
      <c r="S197" s="7"/>
      <c r="T197" s="72"/>
      <c r="U197" s="7"/>
      <c r="V197" s="7"/>
      <c r="W197" s="36"/>
      <c r="X197" s="36">
        <f t="shared" si="24"/>
        <v>0</v>
      </c>
      <c r="Y197" s="36">
        <f t="shared" si="25"/>
        <v>7500000</v>
      </c>
      <c r="Z197" s="36">
        <f t="shared" si="19"/>
        <v>0</v>
      </c>
      <c r="AA197" s="4"/>
      <c r="AB197" s="79"/>
    </row>
    <row r="198" spans="1:28" ht="31.2" x14ac:dyDescent="0.3">
      <c r="A198" s="7" t="s">
        <v>18</v>
      </c>
      <c r="B198" s="6">
        <v>184</v>
      </c>
      <c r="C198" s="7" t="s">
        <v>696</v>
      </c>
      <c r="D198" s="7" t="s">
        <v>706</v>
      </c>
      <c r="E198" s="5"/>
      <c r="F198" s="7" t="s">
        <v>707</v>
      </c>
      <c r="G198" s="5"/>
      <c r="H198" s="5"/>
      <c r="I198" s="7" t="s">
        <v>708</v>
      </c>
      <c r="J198" s="7" t="s">
        <v>24</v>
      </c>
      <c r="K198" s="7" t="s">
        <v>709</v>
      </c>
      <c r="L198" s="3">
        <v>2940512944</v>
      </c>
      <c r="M198" s="5"/>
      <c r="N198" s="3">
        <v>7500000</v>
      </c>
      <c r="O198" s="40"/>
      <c r="P198" s="40"/>
      <c r="Q198" s="3">
        <f t="shared" si="23"/>
        <v>2948012944</v>
      </c>
      <c r="R198" s="3">
        <v>2940512944</v>
      </c>
      <c r="S198" s="7"/>
      <c r="T198" s="30">
        <v>7500000</v>
      </c>
      <c r="U198" s="7"/>
      <c r="V198" s="7"/>
      <c r="W198" s="36"/>
      <c r="X198" s="36">
        <f t="shared" si="24"/>
        <v>0</v>
      </c>
      <c r="Y198" s="36">
        <f t="shared" si="25"/>
        <v>0</v>
      </c>
      <c r="Z198" s="36">
        <f t="shared" si="19"/>
        <v>0</v>
      </c>
      <c r="AA198" s="4"/>
      <c r="AB198" s="79"/>
    </row>
    <row r="199" spans="1:28" ht="31.2" x14ac:dyDescent="0.3">
      <c r="A199" s="7" t="s">
        <v>18</v>
      </c>
      <c r="B199" s="6">
        <v>185</v>
      </c>
      <c r="C199" s="7" t="s">
        <v>696</v>
      </c>
      <c r="D199" s="7" t="s">
        <v>710</v>
      </c>
      <c r="E199" s="5"/>
      <c r="F199" s="7" t="s">
        <v>404</v>
      </c>
      <c r="G199" s="5"/>
      <c r="H199" s="5"/>
      <c r="I199" s="7" t="s">
        <v>711</v>
      </c>
      <c r="J199" s="7" t="s">
        <v>24</v>
      </c>
      <c r="K199" s="7" t="s">
        <v>712</v>
      </c>
      <c r="L199" s="3">
        <v>1486137360</v>
      </c>
      <c r="M199" s="5"/>
      <c r="N199" s="3">
        <v>7500000</v>
      </c>
      <c r="O199" s="40"/>
      <c r="P199" s="40"/>
      <c r="Q199" s="3">
        <f t="shared" si="23"/>
        <v>1493637360</v>
      </c>
      <c r="R199" s="36">
        <v>1486137360</v>
      </c>
      <c r="S199" s="7"/>
      <c r="T199" s="30">
        <v>7500000</v>
      </c>
      <c r="U199" s="7"/>
      <c r="V199" s="7"/>
      <c r="W199" s="36"/>
      <c r="X199" s="36">
        <f t="shared" si="24"/>
        <v>0</v>
      </c>
      <c r="Y199" s="36">
        <f t="shared" si="25"/>
        <v>0</v>
      </c>
      <c r="Z199" s="36">
        <f t="shared" si="19"/>
        <v>0</v>
      </c>
      <c r="AA199" s="4"/>
      <c r="AB199" s="79"/>
    </row>
    <row r="200" spans="1:28" ht="31.2" x14ac:dyDescent="0.3">
      <c r="A200" s="7" t="s">
        <v>18</v>
      </c>
      <c r="B200" s="6">
        <v>186</v>
      </c>
      <c r="C200" s="7" t="s">
        <v>696</v>
      </c>
      <c r="D200" s="7" t="s">
        <v>713</v>
      </c>
      <c r="E200" s="5"/>
      <c r="F200" s="7" t="s">
        <v>179</v>
      </c>
      <c r="G200" s="5"/>
      <c r="H200" s="5"/>
      <c r="I200" s="7" t="s">
        <v>714</v>
      </c>
      <c r="J200" s="7" t="s">
        <v>24</v>
      </c>
      <c r="K200" s="7" t="s">
        <v>715</v>
      </c>
      <c r="L200" s="3">
        <v>7125152398</v>
      </c>
      <c r="M200" s="5"/>
      <c r="N200" s="3">
        <v>15000000</v>
      </c>
      <c r="O200" s="40"/>
      <c r="P200" s="40"/>
      <c r="Q200" s="3">
        <f t="shared" si="23"/>
        <v>7140152398</v>
      </c>
      <c r="R200" s="3">
        <v>7125152398</v>
      </c>
      <c r="S200" s="7"/>
      <c r="T200" s="30">
        <v>15000000</v>
      </c>
      <c r="U200" s="7"/>
      <c r="V200" s="7"/>
      <c r="W200" s="36"/>
      <c r="X200" s="36">
        <f t="shared" si="24"/>
        <v>0</v>
      </c>
      <c r="Y200" s="36">
        <f t="shared" si="25"/>
        <v>0</v>
      </c>
      <c r="Z200" s="36">
        <f t="shared" si="19"/>
        <v>0</v>
      </c>
      <c r="AA200" s="4"/>
      <c r="AB200" s="79"/>
    </row>
    <row r="201" spans="1:28" ht="62.4" x14ac:dyDescent="0.3">
      <c r="A201" s="7" t="s">
        <v>18</v>
      </c>
      <c r="B201" s="6">
        <v>187</v>
      </c>
      <c r="C201" s="7" t="s">
        <v>696</v>
      </c>
      <c r="D201" s="7" t="s">
        <v>716</v>
      </c>
      <c r="E201" s="7" t="s">
        <v>717</v>
      </c>
      <c r="F201" s="7" t="s">
        <v>718</v>
      </c>
      <c r="G201" s="7" t="s">
        <v>719</v>
      </c>
      <c r="H201" s="5"/>
      <c r="I201" s="7" t="s">
        <v>720</v>
      </c>
      <c r="J201" s="7" t="s">
        <v>24</v>
      </c>
      <c r="K201" s="7" t="s">
        <v>721</v>
      </c>
      <c r="L201" s="3">
        <v>6715150664</v>
      </c>
      <c r="M201" s="3">
        <v>15861376</v>
      </c>
      <c r="N201" s="3">
        <v>15000000</v>
      </c>
      <c r="O201" s="40"/>
      <c r="P201" s="40"/>
      <c r="Q201" s="3">
        <f t="shared" si="23"/>
        <v>6746012040</v>
      </c>
      <c r="R201" s="3">
        <v>6715150664</v>
      </c>
      <c r="S201" s="3">
        <v>15861376</v>
      </c>
      <c r="T201" s="30">
        <v>15000000</v>
      </c>
      <c r="U201" s="7"/>
      <c r="V201" s="7"/>
      <c r="W201" s="36"/>
      <c r="X201" s="36">
        <f t="shared" si="24"/>
        <v>0</v>
      </c>
      <c r="Y201" s="36">
        <f t="shared" si="25"/>
        <v>0</v>
      </c>
      <c r="Z201" s="36">
        <f t="shared" si="19"/>
        <v>0</v>
      </c>
      <c r="AA201" s="4"/>
      <c r="AB201" s="79"/>
    </row>
    <row r="202" spans="1:28" ht="31.2" x14ac:dyDescent="0.3">
      <c r="A202" s="7" t="s">
        <v>18</v>
      </c>
      <c r="B202" s="6">
        <v>188</v>
      </c>
      <c r="C202" s="7" t="s">
        <v>696</v>
      </c>
      <c r="D202" s="7" t="s">
        <v>722</v>
      </c>
      <c r="E202" s="5"/>
      <c r="F202" s="7" t="s">
        <v>723</v>
      </c>
      <c r="G202" s="7" t="s">
        <v>724</v>
      </c>
      <c r="H202" s="5"/>
      <c r="I202" s="7" t="s">
        <v>725</v>
      </c>
      <c r="J202" s="7" t="s">
        <v>24</v>
      </c>
      <c r="K202" s="7" t="s">
        <v>726</v>
      </c>
      <c r="L202" s="3">
        <v>5835879930</v>
      </c>
      <c r="M202" s="5"/>
      <c r="N202" s="3">
        <v>15000000</v>
      </c>
      <c r="O202" s="40"/>
      <c r="P202" s="40"/>
      <c r="Q202" s="3">
        <f t="shared" si="23"/>
        <v>5850879930</v>
      </c>
      <c r="R202" s="3">
        <v>5835879930</v>
      </c>
      <c r="S202" s="7"/>
      <c r="T202" s="30">
        <v>15000000</v>
      </c>
      <c r="U202" s="7"/>
      <c r="V202" s="7"/>
      <c r="W202" s="36"/>
      <c r="X202" s="36">
        <f t="shared" si="24"/>
        <v>0</v>
      </c>
      <c r="Y202" s="36">
        <f t="shared" si="25"/>
        <v>0</v>
      </c>
      <c r="Z202" s="36">
        <f t="shared" si="19"/>
        <v>0</v>
      </c>
      <c r="AA202" s="4"/>
      <c r="AB202" s="79"/>
    </row>
    <row r="203" spans="1:28" ht="31.2" x14ac:dyDescent="0.3">
      <c r="A203" s="7" t="s">
        <v>18</v>
      </c>
      <c r="B203" s="6">
        <v>189</v>
      </c>
      <c r="C203" s="7" t="s">
        <v>696</v>
      </c>
      <c r="D203" s="7" t="s">
        <v>727</v>
      </c>
      <c r="E203" s="5"/>
      <c r="F203" s="7" t="s">
        <v>728</v>
      </c>
      <c r="G203" s="5"/>
      <c r="H203" s="5"/>
      <c r="I203" s="7" t="s">
        <v>729</v>
      </c>
      <c r="J203" s="7" t="s">
        <v>24</v>
      </c>
      <c r="K203" s="7" t="s">
        <v>730</v>
      </c>
      <c r="L203" s="3">
        <v>3789029120</v>
      </c>
      <c r="M203" s="5"/>
      <c r="N203" s="3">
        <v>15000000</v>
      </c>
      <c r="O203" s="40" t="s">
        <v>637</v>
      </c>
      <c r="P203" s="10">
        <v>24000000</v>
      </c>
      <c r="Q203" s="3">
        <f t="shared" si="23"/>
        <v>3828029120</v>
      </c>
      <c r="R203" s="3">
        <v>3789029120</v>
      </c>
      <c r="S203" s="7"/>
      <c r="T203" s="30">
        <v>15000000</v>
      </c>
      <c r="U203" s="3">
        <v>24000000</v>
      </c>
      <c r="V203" s="7"/>
      <c r="W203" s="36"/>
      <c r="X203" s="36">
        <f t="shared" si="24"/>
        <v>0</v>
      </c>
      <c r="Y203" s="36">
        <f t="shared" si="25"/>
        <v>0</v>
      </c>
      <c r="Z203" s="36">
        <f t="shared" si="19"/>
        <v>0</v>
      </c>
      <c r="AA203" s="4"/>
      <c r="AB203" s="79"/>
    </row>
    <row r="204" spans="1:28" ht="31.2" x14ac:dyDescent="0.3">
      <c r="A204" s="7" t="s">
        <v>18</v>
      </c>
      <c r="B204" s="6">
        <v>190</v>
      </c>
      <c r="C204" s="7" t="s">
        <v>696</v>
      </c>
      <c r="D204" s="7" t="s">
        <v>731</v>
      </c>
      <c r="E204" s="7" t="s">
        <v>389</v>
      </c>
      <c r="F204" s="7" t="s">
        <v>732</v>
      </c>
      <c r="G204" s="7" t="s">
        <v>733</v>
      </c>
      <c r="H204" s="5"/>
      <c r="I204" s="7" t="s">
        <v>734</v>
      </c>
      <c r="J204" s="7" t="s">
        <v>24</v>
      </c>
      <c r="K204" s="7" t="s">
        <v>735</v>
      </c>
      <c r="L204" s="3">
        <v>3874838388</v>
      </c>
      <c r="M204" s="3">
        <v>219379565</v>
      </c>
      <c r="N204" s="3">
        <v>15000000</v>
      </c>
      <c r="O204" s="40"/>
      <c r="P204" s="40"/>
      <c r="Q204" s="3">
        <f t="shared" si="23"/>
        <v>4109217953</v>
      </c>
      <c r="R204" s="3">
        <v>3874838388</v>
      </c>
      <c r="S204" s="3">
        <v>219379565</v>
      </c>
      <c r="T204" s="30">
        <v>15000000</v>
      </c>
      <c r="U204" s="7"/>
      <c r="V204" s="7"/>
      <c r="W204" s="36"/>
      <c r="X204" s="36">
        <f t="shared" si="24"/>
        <v>0</v>
      </c>
      <c r="Y204" s="36">
        <f t="shared" si="25"/>
        <v>0</v>
      </c>
      <c r="Z204" s="36">
        <f t="shared" si="19"/>
        <v>0</v>
      </c>
      <c r="AA204" s="4"/>
      <c r="AB204" s="79"/>
    </row>
    <row r="205" spans="1:28" ht="31.2" x14ac:dyDescent="0.3">
      <c r="A205" s="7" t="s">
        <v>46</v>
      </c>
      <c r="B205" s="6">
        <v>191</v>
      </c>
      <c r="C205" s="7" t="s">
        <v>696</v>
      </c>
      <c r="D205" s="7" t="s">
        <v>736</v>
      </c>
      <c r="E205" s="7" t="s">
        <v>34</v>
      </c>
      <c r="F205" s="7" t="s">
        <v>737</v>
      </c>
      <c r="G205" s="7" t="s">
        <v>738</v>
      </c>
      <c r="H205" s="5"/>
      <c r="I205" s="7" t="s">
        <v>739</v>
      </c>
      <c r="J205" s="7" t="s">
        <v>24</v>
      </c>
      <c r="K205" s="7" t="s">
        <v>740</v>
      </c>
      <c r="L205" s="3">
        <v>1674305520</v>
      </c>
      <c r="M205" s="3">
        <v>74625408</v>
      </c>
      <c r="N205" s="3">
        <v>7500000</v>
      </c>
      <c r="O205" s="40"/>
      <c r="P205" s="40"/>
      <c r="Q205" s="3">
        <f t="shared" si="23"/>
        <v>1756430928</v>
      </c>
      <c r="R205" s="3">
        <v>1674305520</v>
      </c>
      <c r="S205" s="3">
        <v>74625408</v>
      </c>
      <c r="T205" s="30">
        <v>7500000</v>
      </c>
      <c r="U205" s="7"/>
      <c r="V205" s="7"/>
      <c r="W205" s="36"/>
      <c r="X205" s="36">
        <f t="shared" si="24"/>
        <v>0</v>
      </c>
      <c r="Y205" s="36">
        <f t="shared" si="25"/>
        <v>0</v>
      </c>
      <c r="Z205" s="36">
        <f t="shared" si="19"/>
        <v>0</v>
      </c>
      <c r="AA205" s="4"/>
      <c r="AB205" s="79"/>
    </row>
    <row r="206" spans="1:28" ht="31.2" x14ac:dyDescent="0.3">
      <c r="A206" s="7" t="s">
        <v>46</v>
      </c>
      <c r="B206" s="6">
        <v>192</v>
      </c>
      <c r="C206" s="7" t="s">
        <v>696</v>
      </c>
      <c r="D206" s="7" t="s">
        <v>741</v>
      </c>
      <c r="E206" s="5"/>
      <c r="F206" s="7" t="s">
        <v>742</v>
      </c>
      <c r="G206" s="5"/>
      <c r="H206" s="5"/>
      <c r="I206" s="7" t="s">
        <v>743</v>
      </c>
      <c r="J206" s="7" t="s">
        <v>24</v>
      </c>
      <c r="K206" s="7" t="s">
        <v>744</v>
      </c>
      <c r="L206" s="3">
        <v>3072481912</v>
      </c>
      <c r="M206" s="5"/>
      <c r="N206" s="3">
        <v>15000000</v>
      </c>
      <c r="O206" s="40"/>
      <c r="P206" s="40"/>
      <c r="Q206" s="3">
        <f t="shared" si="23"/>
        <v>3087481912</v>
      </c>
      <c r="R206" s="3">
        <v>3072481912</v>
      </c>
      <c r="S206" s="7"/>
      <c r="T206" s="30">
        <v>15000000</v>
      </c>
      <c r="U206" s="7"/>
      <c r="V206" s="7"/>
      <c r="W206" s="36"/>
      <c r="X206" s="36">
        <f t="shared" si="24"/>
        <v>0</v>
      </c>
      <c r="Y206" s="36">
        <f t="shared" si="25"/>
        <v>0</v>
      </c>
      <c r="Z206" s="36">
        <f t="shared" si="19"/>
        <v>0</v>
      </c>
      <c r="AA206" s="4"/>
      <c r="AB206" s="79"/>
    </row>
    <row r="207" spans="1:28" ht="46.8" x14ac:dyDescent="0.3">
      <c r="A207" s="7" t="s">
        <v>46</v>
      </c>
      <c r="B207" s="6">
        <v>193</v>
      </c>
      <c r="C207" s="7" t="s">
        <v>696</v>
      </c>
      <c r="D207" s="7" t="s">
        <v>745</v>
      </c>
      <c r="E207" s="7" t="s">
        <v>746</v>
      </c>
      <c r="F207" s="7" t="s">
        <v>747</v>
      </c>
      <c r="G207" s="7" t="s">
        <v>748</v>
      </c>
      <c r="H207" s="5"/>
      <c r="I207" s="7" t="s">
        <v>749</v>
      </c>
      <c r="J207" s="7" t="s">
        <v>24</v>
      </c>
      <c r="K207" s="7" t="s">
        <v>750</v>
      </c>
      <c r="L207" s="3">
        <v>3088268220</v>
      </c>
      <c r="M207" s="3">
        <v>903427190</v>
      </c>
      <c r="N207" s="3">
        <v>15000000</v>
      </c>
      <c r="O207" s="40"/>
      <c r="P207" s="40"/>
      <c r="Q207" s="3">
        <f t="shared" si="23"/>
        <v>4006695410</v>
      </c>
      <c r="R207" s="3">
        <v>3088268220</v>
      </c>
      <c r="S207" s="3">
        <v>903427190</v>
      </c>
      <c r="T207" s="30">
        <v>15000000</v>
      </c>
      <c r="U207" s="7"/>
      <c r="V207" s="7"/>
      <c r="W207" s="36"/>
      <c r="X207" s="36">
        <f t="shared" si="24"/>
        <v>0</v>
      </c>
      <c r="Y207" s="36">
        <f t="shared" si="25"/>
        <v>0</v>
      </c>
      <c r="Z207" s="36">
        <f t="shared" si="19"/>
        <v>0</v>
      </c>
      <c r="AA207" s="4"/>
      <c r="AB207" s="79"/>
    </row>
    <row r="208" spans="1:28" ht="31.2" x14ac:dyDescent="0.3">
      <c r="A208" s="7" t="s">
        <v>46</v>
      </c>
      <c r="B208" s="6">
        <v>194</v>
      </c>
      <c r="C208" s="7" t="s">
        <v>696</v>
      </c>
      <c r="D208" s="7" t="s">
        <v>751</v>
      </c>
      <c r="E208" s="7" t="s">
        <v>34</v>
      </c>
      <c r="F208" s="7" t="s">
        <v>752</v>
      </c>
      <c r="G208" s="7" t="s">
        <v>703</v>
      </c>
      <c r="H208" s="5"/>
      <c r="I208" s="7" t="s">
        <v>753</v>
      </c>
      <c r="J208" s="7" t="s">
        <v>24</v>
      </c>
      <c r="K208" s="7" t="s">
        <v>754</v>
      </c>
      <c r="L208" s="3">
        <v>1894603455</v>
      </c>
      <c r="M208" s="3">
        <v>66971520</v>
      </c>
      <c r="N208" s="3">
        <v>7500000</v>
      </c>
      <c r="O208" s="40"/>
      <c r="P208" s="40"/>
      <c r="Q208" s="3">
        <f t="shared" si="23"/>
        <v>1969074975</v>
      </c>
      <c r="R208" s="3">
        <v>1894603455</v>
      </c>
      <c r="S208" s="3">
        <v>66971520</v>
      </c>
      <c r="T208" s="30">
        <v>7500000</v>
      </c>
      <c r="U208" s="7"/>
      <c r="V208" s="7"/>
      <c r="W208" s="36"/>
      <c r="X208" s="36">
        <f t="shared" si="24"/>
        <v>0</v>
      </c>
      <c r="Y208" s="36">
        <f t="shared" si="25"/>
        <v>0</v>
      </c>
      <c r="Z208" s="36">
        <f t="shared" ref="Z208:Z273" si="26">P208-U208</f>
        <v>0</v>
      </c>
      <c r="AA208" s="4"/>
      <c r="AB208" s="79"/>
    </row>
    <row r="209" spans="1:28" ht="31.2" x14ac:dyDescent="0.3">
      <c r="A209" s="7" t="s">
        <v>46</v>
      </c>
      <c r="B209" s="6">
        <v>195</v>
      </c>
      <c r="C209" s="7" t="s">
        <v>696</v>
      </c>
      <c r="D209" s="7" t="s">
        <v>755</v>
      </c>
      <c r="E209" s="5"/>
      <c r="F209" s="7" t="s">
        <v>756</v>
      </c>
      <c r="G209" s="5"/>
      <c r="H209" s="5"/>
      <c r="I209" s="7" t="s">
        <v>757</v>
      </c>
      <c r="J209" s="7" t="s">
        <v>24</v>
      </c>
      <c r="K209" s="7" t="s">
        <v>758</v>
      </c>
      <c r="L209" s="3">
        <v>2562353764</v>
      </c>
      <c r="M209" s="5"/>
      <c r="N209" s="3">
        <v>15000000</v>
      </c>
      <c r="O209" s="40"/>
      <c r="P209" s="40"/>
      <c r="Q209" s="3">
        <f t="shared" si="23"/>
        <v>2577353764</v>
      </c>
      <c r="R209" s="3">
        <v>2562353764</v>
      </c>
      <c r="S209" s="7"/>
      <c r="T209" s="30">
        <v>15000000</v>
      </c>
      <c r="U209" s="7"/>
      <c r="V209" s="7"/>
      <c r="W209" s="36"/>
      <c r="X209" s="36">
        <f t="shared" si="24"/>
        <v>0</v>
      </c>
      <c r="Y209" s="36">
        <f t="shared" si="25"/>
        <v>0</v>
      </c>
      <c r="Z209" s="36">
        <f t="shared" si="26"/>
        <v>0</v>
      </c>
      <c r="AA209" s="4"/>
      <c r="AB209" s="79"/>
    </row>
    <row r="210" spans="1:28" ht="31.2" x14ac:dyDescent="0.3">
      <c r="A210" s="7" t="s">
        <v>46</v>
      </c>
      <c r="B210" s="6">
        <v>196</v>
      </c>
      <c r="C210" s="7" t="s">
        <v>696</v>
      </c>
      <c r="D210" s="7" t="s">
        <v>759</v>
      </c>
      <c r="E210" s="5"/>
      <c r="F210" s="7" t="s">
        <v>760</v>
      </c>
      <c r="G210" s="5"/>
      <c r="H210" s="5"/>
      <c r="I210" s="7" t="s">
        <v>761</v>
      </c>
      <c r="J210" s="7" t="s">
        <v>24</v>
      </c>
      <c r="K210" s="7" t="s">
        <v>762</v>
      </c>
      <c r="L210" s="3">
        <v>2203826444</v>
      </c>
      <c r="M210" s="5"/>
      <c r="N210" s="3">
        <v>7500000</v>
      </c>
      <c r="O210" s="40"/>
      <c r="P210" s="40"/>
      <c r="Q210" s="3">
        <f t="shared" si="23"/>
        <v>2211326444</v>
      </c>
      <c r="R210" s="3">
        <v>2203826444</v>
      </c>
      <c r="S210" s="7"/>
      <c r="T210" s="30">
        <v>7500000</v>
      </c>
      <c r="U210" s="7"/>
      <c r="V210" s="7"/>
      <c r="W210" s="36"/>
      <c r="X210" s="36">
        <f t="shared" si="24"/>
        <v>0</v>
      </c>
      <c r="Y210" s="36">
        <f t="shared" si="25"/>
        <v>0</v>
      </c>
      <c r="Z210" s="36">
        <f t="shared" si="26"/>
        <v>0</v>
      </c>
      <c r="AA210" s="4"/>
      <c r="AB210" s="79"/>
    </row>
    <row r="211" spans="1:28" ht="31.2" x14ac:dyDescent="0.3">
      <c r="A211" s="7" t="s">
        <v>46</v>
      </c>
      <c r="B211" s="6">
        <v>197</v>
      </c>
      <c r="C211" s="7" t="s">
        <v>696</v>
      </c>
      <c r="D211" s="7" t="s">
        <v>763</v>
      </c>
      <c r="E211" s="7" t="s">
        <v>764</v>
      </c>
      <c r="F211" s="7" t="s">
        <v>765</v>
      </c>
      <c r="G211" s="7" t="s">
        <v>766</v>
      </c>
      <c r="H211" s="5"/>
      <c r="I211" s="7" t="s">
        <v>767</v>
      </c>
      <c r="J211" s="7" t="s">
        <v>24</v>
      </c>
      <c r="K211" s="7" t="s">
        <v>768</v>
      </c>
      <c r="L211" s="3">
        <v>3074543364</v>
      </c>
      <c r="M211" s="3">
        <v>808489752</v>
      </c>
      <c r="N211" s="3">
        <v>7500000</v>
      </c>
      <c r="O211" s="40"/>
      <c r="P211" s="40"/>
      <c r="Q211" s="3">
        <f t="shared" si="23"/>
        <v>3890533116</v>
      </c>
      <c r="R211" s="3">
        <v>3074543364</v>
      </c>
      <c r="S211" s="3">
        <v>808489752</v>
      </c>
      <c r="T211" s="72"/>
      <c r="U211" s="7"/>
      <c r="V211" s="7"/>
      <c r="W211" s="36"/>
      <c r="X211" s="36">
        <f t="shared" si="24"/>
        <v>0</v>
      </c>
      <c r="Y211" s="36">
        <f t="shared" si="25"/>
        <v>7500000</v>
      </c>
      <c r="Z211" s="36">
        <f t="shared" si="26"/>
        <v>0</v>
      </c>
      <c r="AA211" s="4"/>
      <c r="AB211" s="79"/>
    </row>
    <row r="212" spans="1:28" ht="78" x14ac:dyDescent="0.3">
      <c r="A212" s="7" t="s">
        <v>46</v>
      </c>
      <c r="B212" s="6">
        <v>198</v>
      </c>
      <c r="C212" s="7" t="s">
        <v>696</v>
      </c>
      <c r="D212" s="7" t="s">
        <v>769</v>
      </c>
      <c r="E212" s="5"/>
      <c r="F212" s="7" t="s">
        <v>770</v>
      </c>
      <c r="G212" s="5"/>
      <c r="H212" s="7" t="s">
        <v>28</v>
      </c>
      <c r="I212" s="7" t="s">
        <v>771</v>
      </c>
      <c r="J212" s="7" t="s">
        <v>24</v>
      </c>
      <c r="K212" s="7" t="s">
        <v>726</v>
      </c>
      <c r="L212" s="6">
        <v>0</v>
      </c>
      <c r="M212" s="5"/>
      <c r="N212" s="7"/>
      <c r="O212" s="40"/>
      <c r="P212" s="40"/>
      <c r="Q212" s="3">
        <f t="shared" si="23"/>
        <v>0</v>
      </c>
      <c r="R212" s="6">
        <v>0</v>
      </c>
      <c r="S212" s="7"/>
      <c r="T212" s="72"/>
      <c r="U212" s="7"/>
      <c r="V212" s="7"/>
      <c r="W212" s="36"/>
      <c r="X212" s="36">
        <f t="shared" si="24"/>
        <v>0</v>
      </c>
      <c r="Y212" s="36">
        <f t="shared" si="25"/>
        <v>0</v>
      </c>
      <c r="Z212" s="36">
        <f t="shared" si="26"/>
        <v>0</v>
      </c>
      <c r="AA212" s="4"/>
      <c r="AB212" s="79"/>
    </row>
    <row r="213" spans="1:28" ht="31.2" x14ac:dyDescent="0.3">
      <c r="A213" s="7" t="s">
        <v>46</v>
      </c>
      <c r="B213" s="6">
        <v>199</v>
      </c>
      <c r="C213" s="7" t="s">
        <v>696</v>
      </c>
      <c r="D213" s="7" t="s">
        <v>772</v>
      </c>
      <c r="E213" s="7" t="s">
        <v>389</v>
      </c>
      <c r="F213" s="7" t="s">
        <v>774</v>
      </c>
      <c r="G213" s="7" t="s">
        <v>775</v>
      </c>
      <c r="H213" s="5"/>
      <c r="I213" s="7" t="s">
        <v>776</v>
      </c>
      <c r="J213" s="7" t="s">
        <v>24</v>
      </c>
      <c r="K213" s="7" t="s">
        <v>777</v>
      </c>
      <c r="L213" s="3">
        <v>11308899100</v>
      </c>
      <c r="M213" s="3">
        <v>243896000</v>
      </c>
      <c r="N213" s="3">
        <v>15000000</v>
      </c>
      <c r="O213" s="40" t="s">
        <v>773</v>
      </c>
      <c r="P213" s="10">
        <v>72000000</v>
      </c>
      <c r="Q213" s="3">
        <f t="shared" si="23"/>
        <v>11639795100</v>
      </c>
      <c r="R213" s="3">
        <v>11308899100</v>
      </c>
      <c r="S213" s="3">
        <v>243896000</v>
      </c>
      <c r="T213" s="30">
        <v>15000000</v>
      </c>
      <c r="U213" s="3">
        <v>72000000</v>
      </c>
      <c r="V213" s="7"/>
      <c r="W213" s="36"/>
      <c r="X213" s="36">
        <f t="shared" si="24"/>
        <v>0</v>
      </c>
      <c r="Y213" s="36">
        <f t="shared" si="25"/>
        <v>0</v>
      </c>
      <c r="Z213" s="36">
        <f t="shared" si="26"/>
        <v>0</v>
      </c>
      <c r="AA213" s="4"/>
      <c r="AB213" s="79"/>
    </row>
    <row r="214" spans="1:28" ht="31.2" x14ac:dyDescent="0.3">
      <c r="A214" s="7" t="s">
        <v>46</v>
      </c>
      <c r="B214" s="6">
        <v>200</v>
      </c>
      <c r="C214" s="7" t="s">
        <v>696</v>
      </c>
      <c r="D214" s="7" t="s">
        <v>778</v>
      </c>
      <c r="E214" s="5"/>
      <c r="F214" s="7" t="s">
        <v>779</v>
      </c>
      <c r="G214" s="5"/>
      <c r="H214" s="5"/>
      <c r="I214" s="7" t="s">
        <v>780</v>
      </c>
      <c r="J214" s="7" t="s">
        <v>24</v>
      </c>
      <c r="K214" s="7" t="s">
        <v>781</v>
      </c>
      <c r="L214" s="3">
        <v>3220790384</v>
      </c>
      <c r="M214" s="5"/>
      <c r="N214" s="3">
        <v>7500000</v>
      </c>
      <c r="O214" s="40"/>
      <c r="P214" s="40"/>
      <c r="Q214" s="3">
        <f t="shared" si="23"/>
        <v>3228290384</v>
      </c>
      <c r="R214" s="3">
        <v>3220790384</v>
      </c>
      <c r="S214" s="7"/>
      <c r="T214" s="30">
        <v>7500000</v>
      </c>
      <c r="U214" s="7"/>
      <c r="V214" s="7"/>
      <c r="W214" s="36"/>
      <c r="X214" s="36">
        <f t="shared" si="24"/>
        <v>0</v>
      </c>
      <c r="Y214" s="36">
        <f t="shared" si="25"/>
        <v>0</v>
      </c>
      <c r="Z214" s="36">
        <f t="shared" si="26"/>
        <v>0</v>
      </c>
      <c r="AA214" s="4"/>
      <c r="AB214" s="79"/>
    </row>
    <row r="215" spans="1:28" ht="31.2" x14ac:dyDescent="0.3">
      <c r="A215" s="7" t="s">
        <v>46</v>
      </c>
      <c r="B215" s="6">
        <v>201</v>
      </c>
      <c r="C215" s="7" t="s">
        <v>696</v>
      </c>
      <c r="D215" s="7" t="s">
        <v>782</v>
      </c>
      <c r="E215" s="7" t="s">
        <v>783</v>
      </c>
      <c r="F215" s="7" t="s">
        <v>784</v>
      </c>
      <c r="G215" s="7" t="s">
        <v>785</v>
      </c>
      <c r="H215" s="5"/>
      <c r="I215" s="7" t="s">
        <v>786</v>
      </c>
      <c r="J215" s="7" t="s">
        <v>24</v>
      </c>
      <c r="K215" s="7" t="s">
        <v>787</v>
      </c>
      <c r="L215" s="3">
        <v>910302386</v>
      </c>
      <c r="M215" s="3">
        <v>152432640</v>
      </c>
      <c r="N215" s="3">
        <v>7500000</v>
      </c>
      <c r="O215" s="40"/>
      <c r="P215" s="40"/>
      <c r="Q215" s="3">
        <f t="shared" ref="Q215:Q246" si="27">L215+M215+N215+P215</f>
        <v>1070235026</v>
      </c>
      <c r="R215" s="3">
        <v>910302386</v>
      </c>
      <c r="S215" s="7"/>
      <c r="T215" s="30">
        <v>7500000</v>
      </c>
      <c r="U215" s="7"/>
      <c r="V215" s="7"/>
      <c r="W215" s="36"/>
      <c r="X215" s="36">
        <f t="shared" ref="X215:X246" si="28">M215-S215</f>
        <v>152432640</v>
      </c>
      <c r="Y215" s="36">
        <f t="shared" ref="Y215:Y246" si="29">N215-T215</f>
        <v>0</v>
      </c>
      <c r="Z215" s="36">
        <f t="shared" si="26"/>
        <v>0</v>
      </c>
      <c r="AA215" s="4"/>
      <c r="AB215" s="79"/>
    </row>
    <row r="216" spans="1:28" ht="31.2" x14ac:dyDescent="0.3">
      <c r="A216" s="7" t="s">
        <v>46</v>
      </c>
      <c r="B216" s="6">
        <v>202</v>
      </c>
      <c r="C216" s="7" t="s">
        <v>696</v>
      </c>
      <c r="D216" s="7" t="s">
        <v>788</v>
      </c>
      <c r="E216" s="5"/>
      <c r="F216" s="7" t="s">
        <v>789</v>
      </c>
      <c r="G216" s="5"/>
      <c r="H216" s="5"/>
      <c r="I216" s="7" t="s">
        <v>790</v>
      </c>
      <c r="J216" s="7" t="s">
        <v>24</v>
      </c>
      <c r="K216" s="7" t="s">
        <v>791</v>
      </c>
      <c r="L216" s="3">
        <v>1185868242</v>
      </c>
      <c r="M216" s="5"/>
      <c r="N216" s="3">
        <v>7500000</v>
      </c>
      <c r="O216" s="40"/>
      <c r="P216" s="40"/>
      <c r="Q216" s="3">
        <f t="shared" si="27"/>
        <v>1193368242</v>
      </c>
      <c r="R216" s="3">
        <v>1185868242</v>
      </c>
      <c r="S216" s="7"/>
      <c r="T216" s="30">
        <v>7500000</v>
      </c>
      <c r="U216" s="7"/>
      <c r="V216" s="7"/>
      <c r="W216" s="36"/>
      <c r="X216" s="36">
        <f t="shared" si="28"/>
        <v>0</v>
      </c>
      <c r="Y216" s="36">
        <f t="shared" si="29"/>
        <v>0</v>
      </c>
      <c r="Z216" s="36">
        <f t="shared" si="26"/>
        <v>0</v>
      </c>
      <c r="AA216" s="4"/>
      <c r="AB216" s="79"/>
    </row>
    <row r="217" spans="1:28" ht="62.4" x14ac:dyDescent="0.3">
      <c r="A217" s="7" t="s">
        <v>46</v>
      </c>
      <c r="B217" s="6">
        <v>203</v>
      </c>
      <c r="C217" s="7" t="s">
        <v>696</v>
      </c>
      <c r="D217" s="7" t="s">
        <v>792</v>
      </c>
      <c r="E217" s="5"/>
      <c r="F217" s="7" t="s">
        <v>793</v>
      </c>
      <c r="G217" s="5"/>
      <c r="H217" s="5"/>
      <c r="I217" s="7" t="s">
        <v>794</v>
      </c>
      <c r="J217" s="7" t="s">
        <v>24</v>
      </c>
      <c r="K217" s="7" t="s">
        <v>795</v>
      </c>
      <c r="L217" s="3">
        <v>4789848</v>
      </c>
      <c r="M217" s="5"/>
      <c r="N217" s="3">
        <v>7500000</v>
      </c>
      <c r="O217" s="40"/>
      <c r="P217" s="40"/>
      <c r="Q217" s="3">
        <f t="shared" si="27"/>
        <v>12289848</v>
      </c>
      <c r="R217" s="7"/>
      <c r="S217" s="7"/>
      <c r="T217" s="72"/>
      <c r="U217" s="7"/>
      <c r="V217" s="7"/>
      <c r="W217" s="36">
        <v>4789848</v>
      </c>
      <c r="X217" s="36">
        <f t="shared" si="28"/>
        <v>0</v>
      </c>
      <c r="Y217" s="36">
        <f t="shared" si="29"/>
        <v>7500000</v>
      </c>
      <c r="Z217" s="36">
        <f t="shared" si="26"/>
        <v>0</v>
      </c>
      <c r="AA217" s="10">
        <v>4789848</v>
      </c>
      <c r="AB217" s="79"/>
    </row>
    <row r="218" spans="1:28" ht="31.2" x14ac:dyDescent="0.3">
      <c r="A218" s="7" t="s">
        <v>46</v>
      </c>
      <c r="B218" s="6">
        <v>204</v>
      </c>
      <c r="C218" s="7" t="s">
        <v>696</v>
      </c>
      <c r="D218" s="7" t="s">
        <v>796</v>
      </c>
      <c r="E218" s="5"/>
      <c r="F218" s="7" t="s">
        <v>797</v>
      </c>
      <c r="G218" s="5"/>
      <c r="H218" s="5"/>
      <c r="I218" s="7" t="s">
        <v>798</v>
      </c>
      <c r="J218" s="7" t="s">
        <v>24</v>
      </c>
      <c r="K218" s="7" t="s">
        <v>799</v>
      </c>
      <c r="L218" s="3">
        <v>917216300</v>
      </c>
      <c r="M218" s="5"/>
      <c r="N218" s="3">
        <v>7500000</v>
      </c>
      <c r="O218" s="40"/>
      <c r="P218" s="40"/>
      <c r="Q218" s="3">
        <f t="shared" si="27"/>
        <v>924716300</v>
      </c>
      <c r="R218" s="3">
        <v>917216300</v>
      </c>
      <c r="S218" s="7"/>
      <c r="T218" s="30">
        <v>7500000</v>
      </c>
      <c r="U218" s="7"/>
      <c r="V218" s="7"/>
      <c r="W218" s="36"/>
      <c r="X218" s="36">
        <f t="shared" si="28"/>
        <v>0</v>
      </c>
      <c r="Y218" s="36">
        <f t="shared" si="29"/>
        <v>0</v>
      </c>
      <c r="Z218" s="36">
        <f t="shared" si="26"/>
        <v>0</v>
      </c>
      <c r="AA218" s="4"/>
      <c r="AB218" s="79"/>
    </row>
    <row r="219" spans="1:28" ht="46.8" x14ac:dyDescent="0.3">
      <c r="A219" s="7" t="s">
        <v>46</v>
      </c>
      <c r="B219" s="6">
        <v>205</v>
      </c>
      <c r="C219" s="7" t="s">
        <v>696</v>
      </c>
      <c r="D219" s="7" t="s">
        <v>800</v>
      </c>
      <c r="E219" s="7" t="s">
        <v>801</v>
      </c>
      <c r="F219" s="7" t="s">
        <v>802</v>
      </c>
      <c r="G219" s="5"/>
      <c r="H219" s="5"/>
      <c r="I219" s="7" t="s">
        <v>803</v>
      </c>
      <c r="J219" s="7" t="s">
        <v>24</v>
      </c>
      <c r="K219" s="7" t="s">
        <v>804</v>
      </c>
      <c r="L219" s="3">
        <v>9371283600</v>
      </c>
      <c r="M219" s="3">
        <v>550184000</v>
      </c>
      <c r="N219" s="3">
        <v>15000000</v>
      </c>
      <c r="O219" s="40"/>
      <c r="P219" s="40"/>
      <c r="Q219" s="3">
        <f t="shared" si="27"/>
        <v>9936467600</v>
      </c>
      <c r="R219" s="3">
        <v>9371283600</v>
      </c>
      <c r="S219" s="3">
        <v>550184000</v>
      </c>
      <c r="T219" s="72"/>
      <c r="U219" s="7"/>
      <c r="V219" s="7"/>
      <c r="W219" s="36"/>
      <c r="X219" s="36">
        <f t="shared" si="28"/>
        <v>0</v>
      </c>
      <c r="Y219" s="36">
        <f t="shared" si="29"/>
        <v>15000000</v>
      </c>
      <c r="Z219" s="36">
        <f t="shared" si="26"/>
        <v>0</v>
      </c>
      <c r="AA219" s="4"/>
      <c r="AB219" s="79"/>
    </row>
    <row r="220" spans="1:28" ht="31.2" x14ac:dyDescent="0.3">
      <c r="A220" s="7" t="s">
        <v>46</v>
      </c>
      <c r="B220" s="6">
        <v>206</v>
      </c>
      <c r="C220" s="7" t="s">
        <v>696</v>
      </c>
      <c r="D220" s="7" t="s">
        <v>805</v>
      </c>
      <c r="E220" s="5"/>
      <c r="F220" s="7" t="s">
        <v>806</v>
      </c>
      <c r="G220" s="5"/>
      <c r="H220" s="5"/>
      <c r="I220" s="7" t="s">
        <v>807</v>
      </c>
      <c r="J220" s="7" t="s">
        <v>24</v>
      </c>
      <c r="K220" s="7" t="s">
        <v>808</v>
      </c>
      <c r="L220" s="3">
        <v>829054600</v>
      </c>
      <c r="M220" s="5"/>
      <c r="N220" s="3">
        <v>7500000</v>
      </c>
      <c r="O220" s="40"/>
      <c r="P220" s="40"/>
      <c r="Q220" s="3">
        <f t="shared" si="27"/>
        <v>836554600</v>
      </c>
      <c r="R220" s="3">
        <v>829054600</v>
      </c>
      <c r="S220" s="7"/>
      <c r="T220" s="30">
        <v>7500000</v>
      </c>
      <c r="U220" s="7"/>
      <c r="V220" s="7"/>
      <c r="W220" s="36"/>
      <c r="X220" s="36">
        <f t="shared" si="28"/>
        <v>0</v>
      </c>
      <c r="Y220" s="36">
        <f t="shared" si="29"/>
        <v>0</v>
      </c>
      <c r="Z220" s="36">
        <f t="shared" si="26"/>
        <v>0</v>
      </c>
      <c r="AA220" s="4"/>
      <c r="AB220" s="79"/>
    </row>
    <row r="221" spans="1:28" ht="31.2" x14ac:dyDescent="0.3">
      <c r="A221" s="7" t="s">
        <v>46</v>
      </c>
      <c r="B221" s="6">
        <v>207</v>
      </c>
      <c r="C221" s="7" t="s">
        <v>696</v>
      </c>
      <c r="D221" s="7" t="s">
        <v>809</v>
      </c>
      <c r="E221" s="5"/>
      <c r="F221" s="7" t="s">
        <v>810</v>
      </c>
      <c r="G221" s="5"/>
      <c r="H221" s="5"/>
      <c r="I221" s="7" t="s">
        <v>811</v>
      </c>
      <c r="J221" s="7" t="s">
        <v>24</v>
      </c>
      <c r="K221" s="7" t="s">
        <v>812</v>
      </c>
      <c r="L221" s="3">
        <v>8019904200</v>
      </c>
      <c r="M221" s="5"/>
      <c r="N221" s="3">
        <v>7500000</v>
      </c>
      <c r="O221" s="40"/>
      <c r="P221" s="40"/>
      <c r="Q221" s="3">
        <f t="shared" si="27"/>
        <v>8027404200</v>
      </c>
      <c r="R221" s="3">
        <v>8019904200</v>
      </c>
      <c r="S221" s="7"/>
      <c r="T221" s="30">
        <v>7500000</v>
      </c>
      <c r="U221" s="7"/>
      <c r="V221" s="7"/>
      <c r="W221" s="36"/>
      <c r="X221" s="36">
        <f t="shared" si="28"/>
        <v>0</v>
      </c>
      <c r="Y221" s="36">
        <f t="shared" si="29"/>
        <v>0</v>
      </c>
      <c r="Z221" s="36">
        <f t="shared" si="26"/>
        <v>0</v>
      </c>
      <c r="AA221" s="4"/>
      <c r="AB221" s="79"/>
    </row>
    <row r="222" spans="1:28" ht="31.2" x14ac:dyDescent="0.3">
      <c r="A222" s="7" t="s">
        <v>18</v>
      </c>
      <c r="B222" s="6">
        <v>208</v>
      </c>
      <c r="C222" s="7" t="s">
        <v>813</v>
      </c>
      <c r="D222" s="7" t="s">
        <v>814</v>
      </c>
      <c r="E222" s="5"/>
      <c r="F222" s="7" t="s">
        <v>815</v>
      </c>
      <c r="G222" s="5"/>
      <c r="H222" s="5"/>
      <c r="I222" s="7" t="s">
        <v>816</v>
      </c>
      <c r="J222" s="7" t="s">
        <v>24</v>
      </c>
      <c r="K222" s="7" t="s">
        <v>817</v>
      </c>
      <c r="L222" s="3">
        <v>692628720</v>
      </c>
      <c r="M222" s="5"/>
      <c r="N222" s="3">
        <v>7500000</v>
      </c>
      <c r="O222" s="40"/>
      <c r="P222" s="40"/>
      <c r="Q222" s="3">
        <f t="shared" si="27"/>
        <v>700128720</v>
      </c>
      <c r="R222" s="3">
        <v>692628720</v>
      </c>
      <c r="S222" s="7"/>
      <c r="T222" s="30">
        <v>7500000</v>
      </c>
      <c r="U222" s="7"/>
      <c r="V222" s="7"/>
      <c r="W222" s="36"/>
      <c r="X222" s="36">
        <f t="shared" si="28"/>
        <v>0</v>
      </c>
      <c r="Y222" s="36">
        <f t="shared" si="29"/>
        <v>0</v>
      </c>
      <c r="Z222" s="36">
        <f t="shared" si="26"/>
        <v>0</v>
      </c>
      <c r="AA222" s="4"/>
      <c r="AB222" s="79"/>
    </row>
    <row r="223" spans="1:28" ht="31.2" x14ac:dyDescent="0.3">
      <c r="A223" s="7" t="s">
        <v>18</v>
      </c>
      <c r="B223" s="6">
        <v>209</v>
      </c>
      <c r="C223" s="7" t="s">
        <v>813</v>
      </c>
      <c r="D223" s="7" t="s">
        <v>818</v>
      </c>
      <c r="E223" s="7" t="s">
        <v>20</v>
      </c>
      <c r="F223" s="7" t="s">
        <v>819</v>
      </c>
      <c r="G223" s="5"/>
      <c r="H223" s="5"/>
      <c r="I223" s="7" t="s">
        <v>820</v>
      </c>
      <c r="J223" s="7" t="s">
        <v>24</v>
      </c>
      <c r="K223" s="7" t="s">
        <v>821</v>
      </c>
      <c r="L223" s="3">
        <v>3623186360</v>
      </c>
      <c r="M223" s="3">
        <v>652093580</v>
      </c>
      <c r="N223" s="3">
        <v>7500000</v>
      </c>
      <c r="O223" s="40"/>
      <c r="P223" s="40"/>
      <c r="Q223" s="3">
        <f t="shared" si="27"/>
        <v>4282779940</v>
      </c>
      <c r="R223" s="3">
        <v>3623186360</v>
      </c>
      <c r="S223" s="3">
        <v>652093580</v>
      </c>
      <c r="T223" s="72"/>
      <c r="U223" s="7"/>
      <c r="V223" s="7"/>
      <c r="W223" s="36"/>
      <c r="X223" s="36">
        <f t="shared" si="28"/>
        <v>0</v>
      </c>
      <c r="Y223" s="36">
        <f t="shared" si="29"/>
        <v>7500000</v>
      </c>
      <c r="Z223" s="36">
        <f t="shared" si="26"/>
        <v>0</v>
      </c>
      <c r="AA223" s="4"/>
      <c r="AB223" s="79"/>
    </row>
    <row r="224" spans="1:28" ht="31.2" x14ac:dyDescent="0.3">
      <c r="A224" s="7" t="s">
        <v>46</v>
      </c>
      <c r="B224" s="6">
        <v>210</v>
      </c>
      <c r="C224" s="7" t="s">
        <v>813</v>
      </c>
      <c r="D224" s="7" t="s">
        <v>822</v>
      </c>
      <c r="E224" s="7" t="s">
        <v>823</v>
      </c>
      <c r="F224" s="7" t="s">
        <v>824</v>
      </c>
      <c r="G224" s="5"/>
      <c r="H224" s="5"/>
      <c r="I224" s="7" t="s">
        <v>825</v>
      </c>
      <c r="J224" s="7" t="s">
        <v>24</v>
      </c>
      <c r="K224" s="7" t="s">
        <v>826</v>
      </c>
      <c r="L224" s="3">
        <v>2110989648</v>
      </c>
      <c r="M224" s="3">
        <v>10000000</v>
      </c>
      <c r="N224" s="3">
        <v>15000000</v>
      </c>
      <c r="O224" s="40"/>
      <c r="P224" s="40"/>
      <c r="Q224" s="3">
        <f t="shared" si="27"/>
        <v>2135989648</v>
      </c>
      <c r="R224" s="3">
        <v>2110989648</v>
      </c>
      <c r="S224" s="3">
        <v>10000000</v>
      </c>
      <c r="T224" s="30">
        <v>15000000</v>
      </c>
      <c r="U224" s="7"/>
      <c r="V224" s="7"/>
      <c r="W224" s="36"/>
      <c r="X224" s="36">
        <f t="shared" si="28"/>
        <v>0</v>
      </c>
      <c r="Y224" s="36">
        <f t="shared" si="29"/>
        <v>0</v>
      </c>
      <c r="Z224" s="36">
        <f t="shared" si="26"/>
        <v>0</v>
      </c>
      <c r="AA224" s="4"/>
      <c r="AB224" s="79"/>
    </row>
    <row r="225" spans="1:28" ht="31.2" x14ac:dyDescent="0.3">
      <c r="A225" s="7" t="s">
        <v>46</v>
      </c>
      <c r="B225" s="6">
        <v>211</v>
      </c>
      <c r="C225" s="7" t="s">
        <v>813</v>
      </c>
      <c r="D225" s="7" t="s">
        <v>827</v>
      </c>
      <c r="E225" s="7" t="s">
        <v>828</v>
      </c>
      <c r="F225" s="7" t="s">
        <v>829</v>
      </c>
      <c r="G225" s="7" t="s">
        <v>830</v>
      </c>
      <c r="H225" s="5"/>
      <c r="I225" s="7" t="s">
        <v>831</v>
      </c>
      <c r="J225" s="7" t="s">
        <v>24</v>
      </c>
      <c r="K225" s="7" t="s">
        <v>832</v>
      </c>
      <c r="L225" s="3">
        <v>1970289158</v>
      </c>
      <c r="M225" s="3">
        <v>289891008</v>
      </c>
      <c r="N225" s="3">
        <v>15000000</v>
      </c>
      <c r="O225" s="40"/>
      <c r="P225" s="40"/>
      <c r="Q225" s="3">
        <f t="shared" si="27"/>
        <v>2275180166</v>
      </c>
      <c r="R225" s="3">
        <v>1970289158</v>
      </c>
      <c r="S225" s="3">
        <v>289891008</v>
      </c>
      <c r="T225" s="30">
        <v>15000000</v>
      </c>
      <c r="U225" s="7"/>
      <c r="V225" s="7"/>
      <c r="W225" s="36"/>
      <c r="X225" s="36">
        <f t="shared" si="28"/>
        <v>0</v>
      </c>
      <c r="Y225" s="36">
        <f t="shared" si="29"/>
        <v>0</v>
      </c>
      <c r="Z225" s="36">
        <f t="shared" si="26"/>
        <v>0</v>
      </c>
      <c r="AA225" s="4"/>
      <c r="AB225" s="79"/>
    </row>
    <row r="226" spans="1:28" ht="31.2" x14ac:dyDescent="0.3">
      <c r="A226" s="7" t="s">
        <v>46</v>
      </c>
      <c r="B226" s="6">
        <v>212</v>
      </c>
      <c r="C226" s="7" t="s">
        <v>813</v>
      </c>
      <c r="D226" s="7" t="s">
        <v>833</v>
      </c>
      <c r="E226" s="5"/>
      <c r="F226" s="7" t="s">
        <v>834</v>
      </c>
      <c r="G226" s="5"/>
      <c r="H226" s="5"/>
      <c r="I226" s="7" t="s">
        <v>835</v>
      </c>
      <c r="J226" s="7" t="s">
        <v>24</v>
      </c>
      <c r="K226" s="7" t="s">
        <v>836</v>
      </c>
      <c r="L226" s="3">
        <v>1905146779</v>
      </c>
      <c r="M226" s="5"/>
      <c r="N226" s="3">
        <v>7500000</v>
      </c>
      <c r="O226" s="40"/>
      <c r="P226" s="40"/>
      <c r="Q226" s="3">
        <f t="shared" si="27"/>
        <v>1912646779</v>
      </c>
      <c r="R226" s="3">
        <v>1905146779</v>
      </c>
      <c r="S226" s="7"/>
      <c r="T226" s="30">
        <v>7500000</v>
      </c>
      <c r="U226" s="7"/>
      <c r="V226" s="7"/>
      <c r="W226" s="36"/>
      <c r="X226" s="36">
        <f t="shared" si="28"/>
        <v>0</v>
      </c>
      <c r="Y226" s="36">
        <f t="shared" si="29"/>
        <v>0</v>
      </c>
      <c r="Z226" s="36">
        <f t="shared" si="26"/>
        <v>0</v>
      </c>
      <c r="AA226" s="4"/>
      <c r="AB226" s="79"/>
    </row>
    <row r="227" spans="1:28" ht="31.2" x14ac:dyDescent="0.3">
      <c r="A227" s="7" t="s">
        <v>62</v>
      </c>
      <c r="B227" s="6">
        <v>213</v>
      </c>
      <c r="C227" s="7" t="s">
        <v>813</v>
      </c>
      <c r="D227" s="7" t="s">
        <v>837</v>
      </c>
      <c r="E227" s="5"/>
      <c r="F227" s="7" t="s">
        <v>838</v>
      </c>
      <c r="G227" s="5"/>
      <c r="H227" s="7" t="s">
        <v>28</v>
      </c>
      <c r="I227" s="7" t="s">
        <v>839</v>
      </c>
      <c r="J227" s="7" t="s">
        <v>24</v>
      </c>
      <c r="K227" s="7" t="s">
        <v>840</v>
      </c>
      <c r="L227" s="6">
        <v>0</v>
      </c>
      <c r="M227" s="5"/>
      <c r="N227" s="7"/>
      <c r="O227" s="40"/>
      <c r="P227" s="40"/>
      <c r="Q227" s="3">
        <f t="shared" si="27"/>
        <v>0</v>
      </c>
      <c r="R227" s="6">
        <v>0</v>
      </c>
      <c r="S227" s="7"/>
      <c r="T227" s="72"/>
      <c r="U227" s="7"/>
      <c r="V227" s="7"/>
      <c r="W227" s="36"/>
      <c r="X227" s="36">
        <f t="shared" si="28"/>
        <v>0</v>
      </c>
      <c r="Y227" s="36">
        <f t="shared" si="29"/>
        <v>0</v>
      </c>
      <c r="Z227" s="36">
        <f t="shared" si="26"/>
        <v>0</v>
      </c>
      <c r="AA227" s="4"/>
      <c r="AB227" s="79"/>
    </row>
    <row r="228" spans="1:28" ht="31.2" x14ac:dyDescent="0.3">
      <c r="A228" s="7" t="s">
        <v>46</v>
      </c>
      <c r="B228" s="6">
        <v>214</v>
      </c>
      <c r="C228" s="7" t="s">
        <v>813</v>
      </c>
      <c r="D228" s="7" t="s">
        <v>841</v>
      </c>
      <c r="E228" s="5"/>
      <c r="F228" s="7" t="s">
        <v>842</v>
      </c>
      <c r="G228" s="5"/>
      <c r="H228" s="5"/>
      <c r="I228" s="7" t="s">
        <v>843</v>
      </c>
      <c r="J228" s="7" t="s">
        <v>24</v>
      </c>
      <c r="K228" s="7" t="s">
        <v>844</v>
      </c>
      <c r="L228" s="3">
        <v>1051785402</v>
      </c>
      <c r="M228" s="5"/>
      <c r="N228" s="3">
        <v>15000000</v>
      </c>
      <c r="O228" s="40"/>
      <c r="P228" s="40"/>
      <c r="Q228" s="3">
        <f t="shared" si="27"/>
        <v>1066785402</v>
      </c>
      <c r="R228" s="3">
        <v>1051785402</v>
      </c>
      <c r="S228" s="7"/>
      <c r="T228" s="30">
        <v>15000000</v>
      </c>
      <c r="U228" s="7"/>
      <c r="V228" s="7"/>
      <c r="W228" s="36"/>
      <c r="X228" s="36">
        <f t="shared" si="28"/>
        <v>0</v>
      </c>
      <c r="Y228" s="36">
        <f t="shared" si="29"/>
        <v>0</v>
      </c>
      <c r="Z228" s="36">
        <f t="shared" si="26"/>
        <v>0</v>
      </c>
      <c r="AA228" s="4"/>
      <c r="AB228" s="79"/>
    </row>
    <row r="229" spans="1:28" ht="31.2" x14ac:dyDescent="0.3">
      <c r="A229" s="7" t="s">
        <v>46</v>
      </c>
      <c r="B229" s="6">
        <v>215</v>
      </c>
      <c r="C229" s="7" t="s">
        <v>813</v>
      </c>
      <c r="D229" s="7" t="s">
        <v>845</v>
      </c>
      <c r="E229" s="7" t="s">
        <v>158</v>
      </c>
      <c r="F229" s="7" t="s">
        <v>846</v>
      </c>
      <c r="G229" s="7" t="s">
        <v>742</v>
      </c>
      <c r="H229" s="5"/>
      <c r="I229" s="7" t="s">
        <v>847</v>
      </c>
      <c r="J229" s="7" t="s">
        <v>24</v>
      </c>
      <c r="K229" s="7" t="s">
        <v>848</v>
      </c>
      <c r="L229" s="3">
        <v>1825416000</v>
      </c>
      <c r="M229" s="3">
        <v>419381453</v>
      </c>
      <c r="N229" s="3">
        <v>15000000</v>
      </c>
      <c r="O229" s="40"/>
      <c r="P229" s="40"/>
      <c r="Q229" s="3">
        <f t="shared" si="27"/>
        <v>2259797453</v>
      </c>
      <c r="R229" s="3">
        <v>1825416000</v>
      </c>
      <c r="S229" s="3">
        <v>419381453</v>
      </c>
      <c r="T229" s="30">
        <v>15000000</v>
      </c>
      <c r="U229" s="7"/>
      <c r="V229" s="7"/>
      <c r="W229" s="36"/>
      <c r="X229" s="36">
        <f t="shared" si="28"/>
        <v>0</v>
      </c>
      <c r="Y229" s="36">
        <f t="shared" si="29"/>
        <v>0</v>
      </c>
      <c r="Z229" s="36">
        <f t="shared" si="26"/>
        <v>0</v>
      </c>
      <c r="AA229" s="4"/>
      <c r="AB229" s="79"/>
    </row>
    <row r="230" spans="1:28" ht="31.2" x14ac:dyDescent="0.3">
      <c r="A230" s="7" t="s">
        <v>46</v>
      </c>
      <c r="B230" s="6">
        <v>216</v>
      </c>
      <c r="C230" s="7" t="s">
        <v>813</v>
      </c>
      <c r="D230" s="7" t="s">
        <v>849</v>
      </c>
      <c r="E230" s="5"/>
      <c r="F230" s="7" t="s">
        <v>850</v>
      </c>
      <c r="G230" s="5"/>
      <c r="H230" s="5"/>
      <c r="I230" s="7" t="s">
        <v>851</v>
      </c>
      <c r="J230" s="7" t="s">
        <v>24</v>
      </c>
      <c r="K230" s="7" t="s">
        <v>852</v>
      </c>
      <c r="L230" s="3">
        <v>2346410500</v>
      </c>
      <c r="M230" s="5"/>
      <c r="N230" s="3">
        <v>7500000</v>
      </c>
      <c r="O230" s="40"/>
      <c r="P230" s="40"/>
      <c r="Q230" s="3">
        <f t="shared" si="27"/>
        <v>2353910500</v>
      </c>
      <c r="R230" s="3">
        <v>2346410500</v>
      </c>
      <c r="S230" s="7"/>
      <c r="T230" s="30">
        <v>7500000</v>
      </c>
      <c r="U230" s="7"/>
      <c r="V230" s="7"/>
      <c r="W230" s="36"/>
      <c r="X230" s="36">
        <f t="shared" si="28"/>
        <v>0</v>
      </c>
      <c r="Y230" s="36">
        <f t="shared" si="29"/>
        <v>0</v>
      </c>
      <c r="Z230" s="36">
        <f t="shared" si="26"/>
        <v>0</v>
      </c>
      <c r="AA230" s="4"/>
      <c r="AB230" s="79"/>
    </row>
    <row r="231" spans="1:28" ht="31.2" x14ac:dyDescent="0.3">
      <c r="A231" s="7" t="s">
        <v>46</v>
      </c>
      <c r="B231" s="6">
        <v>217</v>
      </c>
      <c r="C231" s="7" t="s">
        <v>813</v>
      </c>
      <c r="D231" s="7" t="s">
        <v>853</v>
      </c>
      <c r="E231" s="5"/>
      <c r="F231" s="7" t="s">
        <v>854</v>
      </c>
      <c r="G231" s="5"/>
      <c r="H231" s="5"/>
      <c r="I231" s="7" t="s">
        <v>855</v>
      </c>
      <c r="J231" s="7" t="s">
        <v>24</v>
      </c>
      <c r="K231" s="7" t="s">
        <v>856</v>
      </c>
      <c r="L231" s="3">
        <v>9676523194</v>
      </c>
      <c r="M231" s="5"/>
      <c r="N231" s="3">
        <v>15000000</v>
      </c>
      <c r="O231" s="40"/>
      <c r="P231" s="40"/>
      <c r="Q231" s="3">
        <f t="shared" si="27"/>
        <v>9691523194</v>
      </c>
      <c r="R231" s="3">
        <v>9676523194</v>
      </c>
      <c r="S231" s="7"/>
      <c r="T231" s="30">
        <v>15000000</v>
      </c>
      <c r="U231" s="7"/>
      <c r="V231" s="7"/>
      <c r="W231" s="36"/>
      <c r="X231" s="36">
        <f t="shared" si="28"/>
        <v>0</v>
      </c>
      <c r="Y231" s="36">
        <f t="shared" si="29"/>
        <v>0</v>
      </c>
      <c r="Z231" s="36">
        <f t="shared" si="26"/>
        <v>0</v>
      </c>
      <c r="AA231" s="4"/>
      <c r="AB231" s="79"/>
    </row>
    <row r="232" spans="1:28" ht="31.2" x14ac:dyDescent="0.3">
      <c r="A232" s="7" t="s">
        <v>62</v>
      </c>
      <c r="B232" s="6">
        <v>218</v>
      </c>
      <c r="C232" s="7" t="s">
        <v>813</v>
      </c>
      <c r="D232" s="7" t="s">
        <v>857</v>
      </c>
      <c r="E232" s="7" t="s">
        <v>859</v>
      </c>
      <c r="F232" s="7" t="s">
        <v>860</v>
      </c>
      <c r="G232" s="5"/>
      <c r="H232" s="5"/>
      <c r="I232" s="7" t="s">
        <v>861</v>
      </c>
      <c r="J232" s="7" t="s">
        <v>24</v>
      </c>
      <c r="K232" s="7" t="s">
        <v>862</v>
      </c>
      <c r="L232" s="3">
        <v>1212272880</v>
      </c>
      <c r="M232" s="3">
        <v>231967520</v>
      </c>
      <c r="N232" s="3">
        <v>15000000</v>
      </c>
      <c r="O232" s="40" t="s">
        <v>858</v>
      </c>
      <c r="P232" s="10">
        <v>42000000</v>
      </c>
      <c r="Q232" s="3">
        <f t="shared" si="27"/>
        <v>1501240400</v>
      </c>
      <c r="R232" s="3">
        <v>1212272880</v>
      </c>
      <c r="S232" s="3">
        <v>231967520</v>
      </c>
      <c r="T232" s="30">
        <v>15000000</v>
      </c>
      <c r="U232" s="3">
        <v>42000000</v>
      </c>
      <c r="V232" s="7"/>
      <c r="W232" s="36"/>
      <c r="X232" s="36">
        <f t="shared" si="28"/>
        <v>0</v>
      </c>
      <c r="Y232" s="36">
        <f t="shared" si="29"/>
        <v>0</v>
      </c>
      <c r="Z232" s="36">
        <f t="shared" si="26"/>
        <v>0</v>
      </c>
      <c r="AA232" s="4"/>
      <c r="AB232" s="79"/>
    </row>
    <row r="233" spans="1:28" ht="31.2" x14ac:dyDescent="0.3">
      <c r="A233" s="7" t="s">
        <v>46</v>
      </c>
      <c r="B233" s="6">
        <v>219</v>
      </c>
      <c r="C233" s="7" t="s">
        <v>813</v>
      </c>
      <c r="D233" s="7" t="s">
        <v>863</v>
      </c>
      <c r="E233" s="5"/>
      <c r="F233" s="7" t="s">
        <v>864</v>
      </c>
      <c r="G233" s="5"/>
      <c r="H233" s="5"/>
      <c r="I233" s="7" t="s">
        <v>865</v>
      </c>
      <c r="J233" s="7" t="s">
        <v>24</v>
      </c>
      <c r="K233" s="7" t="s">
        <v>866</v>
      </c>
      <c r="L233" s="3">
        <v>1642004400</v>
      </c>
      <c r="M233" s="5"/>
      <c r="N233" s="3">
        <v>7500000</v>
      </c>
      <c r="O233" s="40"/>
      <c r="P233" s="40"/>
      <c r="Q233" s="3">
        <f t="shared" si="27"/>
        <v>1649504400</v>
      </c>
      <c r="R233" s="3">
        <v>1642004400</v>
      </c>
      <c r="S233" s="7"/>
      <c r="T233" s="30">
        <v>7500000</v>
      </c>
      <c r="U233" s="7"/>
      <c r="V233" s="7"/>
      <c r="W233" s="36"/>
      <c r="X233" s="36">
        <f t="shared" si="28"/>
        <v>0</v>
      </c>
      <c r="Y233" s="36">
        <f t="shared" si="29"/>
        <v>0</v>
      </c>
      <c r="Z233" s="36">
        <f t="shared" si="26"/>
        <v>0</v>
      </c>
      <c r="AA233" s="4"/>
      <c r="AB233" s="79"/>
    </row>
    <row r="234" spans="1:28" ht="31.2" x14ac:dyDescent="0.3">
      <c r="A234" s="7" t="s">
        <v>62</v>
      </c>
      <c r="B234" s="6">
        <v>220</v>
      </c>
      <c r="C234" s="7" t="s">
        <v>813</v>
      </c>
      <c r="D234" s="7" t="s">
        <v>867</v>
      </c>
      <c r="E234" s="5"/>
      <c r="F234" s="7" t="s">
        <v>868</v>
      </c>
      <c r="G234" s="5"/>
      <c r="H234" s="5"/>
      <c r="I234" s="7" t="s">
        <v>869</v>
      </c>
      <c r="J234" s="7" t="s">
        <v>24</v>
      </c>
      <c r="K234" s="7" t="s">
        <v>870</v>
      </c>
      <c r="L234" s="3">
        <v>101857120</v>
      </c>
      <c r="M234" s="5"/>
      <c r="N234" s="3">
        <v>7500000</v>
      </c>
      <c r="O234" s="40"/>
      <c r="P234" s="40"/>
      <c r="Q234" s="3">
        <f t="shared" si="27"/>
        <v>109357120</v>
      </c>
      <c r="R234" s="3">
        <v>101857120</v>
      </c>
      <c r="S234" s="7"/>
      <c r="T234" s="30">
        <v>7500000</v>
      </c>
      <c r="U234" s="7"/>
      <c r="V234" s="7"/>
      <c r="W234" s="36"/>
      <c r="X234" s="36">
        <f t="shared" si="28"/>
        <v>0</v>
      </c>
      <c r="Y234" s="36">
        <f t="shared" si="29"/>
        <v>0</v>
      </c>
      <c r="Z234" s="36">
        <f t="shared" si="26"/>
        <v>0</v>
      </c>
      <c r="AA234" s="4"/>
      <c r="AB234" s="79"/>
    </row>
    <row r="235" spans="1:28" ht="93.6" x14ac:dyDescent="0.3">
      <c r="A235" s="7" t="s">
        <v>46</v>
      </c>
      <c r="B235" s="6">
        <v>221</v>
      </c>
      <c r="C235" s="7" t="s">
        <v>813</v>
      </c>
      <c r="D235" s="7" t="s">
        <v>871</v>
      </c>
      <c r="E235" s="7" t="s">
        <v>389</v>
      </c>
      <c r="F235" s="7" t="s">
        <v>872</v>
      </c>
      <c r="G235" s="7" t="s">
        <v>873</v>
      </c>
      <c r="H235" s="5"/>
      <c r="I235" s="7" t="s">
        <v>874</v>
      </c>
      <c r="J235" s="7" t="s">
        <v>24</v>
      </c>
      <c r="K235" s="7" t="s">
        <v>875</v>
      </c>
      <c r="L235" s="3">
        <v>6130396068</v>
      </c>
      <c r="M235" s="3">
        <v>7326720</v>
      </c>
      <c r="N235" s="3">
        <v>15000000</v>
      </c>
      <c r="O235" s="40"/>
      <c r="P235" s="40"/>
      <c r="Q235" s="3">
        <f t="shared" si="27"/>
        <v>6152722788</v>
      </c>
      <c r="R235" s="3">
        <v>6130396068</v>
      </c>
      <c r="S235" s="3">
        <v>7326720</v>
      </c>
      <c r="T235" s="30">
        <v>15000000</v>
      </c>
      <c r="U235" s="7"/>
      <c r="V235" s="7"/>
      <c r="W235" s="36"/>
      <c r="X235" s="36">
        <f t="shared" si="28"/>
        <v>0</v>
      </c>
      <c r="Y235" s="36">
        <f t="shared" si="29"/>
        <v>0</v>
      </c>
      <c r="Z235" s="36">
        <f t="shared" si="26"/>
        <v>0</v>
      </c>
      <c r="AA235" s="4"/>
      <c r="AB235" s="79"/>
    </row>
    <row r="236" spans="1:28" ht="31.2" x14ac:dyDescent="0.3">
      <c r="A236" s="7" t="s">
        <v>62</v>
      </c>
      <c r="B236" s="6">
        <v>222</v>
      </c>
      <c r="C236" s="7" t="s">
        <v>813</v>
      </c>
      <c r="D236" s="7" t="s">
        <v>876</v>
      </c>
      <c r="E236" s="5"/>
      <c r="F236" s="7" t="s">
        <v>877</v>
      </c>
      <c r="G236" s="5"/>
      <c r="H236" s="5"/>
      <c r="I236" s="7" t="s">
        <v>878</v>
      </c>
      <c r="J236" s="7" t="s">
        <v>24</v>
      </c>
      <c r="K236" s="7" t="s">
        <v>879</v>
      </c>
      <c r="L236" s="3">
        <v>2707724480</v>
      </c>
      <c r="M236" s="5"/>
      <c r="N236" s="3">
        <v>15000000</v>
      </c>
      <c r="O236" s="40"/>
      <c r="P236" s="40"/>
      <c r="Q236" s="3">
        <f t="shared" si="27"/>
        <v>2722724480</v>
      </c>
      <c r="R236" s="3">
        <v>2707724480</v>
      </c>
      <c r="S236" s="7"/>
      <c r="T236" s="30">
        <v>15000000</v>
      </c>
      <c r="U236" s="7"/>
      <c r="V236" s="7"/>
      <c r="W236" s="36"/>
      <c r="X236" s="36">
        <f t="shared" si="28"/>
        <v>0</v>
      </c>
      <c r="Y236" s="36">
        <f t="shared" si="29"/>
        <v>0</v>
      </c>
      <c r="Z236" s="36">
        <f t="shared" si="26"/>
        <v>0</v>
      </c>
      <c r="AA236" s="4"/>
      <c r="AB236" s="79"/>
    </row>
    <row r="237" spans="1:28" ht="31.2" x14ac:dyDescent="0.3">
      <c r="A237" s="7" t="s">
        <v>62</v>
      </c>
      <c r="B237" s="6">
        <v>223</v>
      </c>
      <c r="C237" s="7" t="s">
        <v>813</v>
      </c>
      <c r="D237" s="7" t="s">
        <v>880</v>
      </c>
      <c r="E237" s="5"/>
      <c r="F237" s="7" t="s">
        <v>881</v>
      </c>
      <c r="G237" s="5"/>
      <c r="H237" s="5"/>
      <c r="I237" s="7" t="s">
        <v>882</v>
      </c>
      <c r="J237" s="7" t="s">
        <v>24</v>
      </c>
      <c r="K237" s="7" t="s">
        <v>883</v>
      </c>
      <c r="L237" s="3">
        <v>1477449600</v>
      </c>
      <c r="M237" s="5"/>
      <c r="N237" s="3">
        <v>7500000</v>
      </c>
      <c r="O237" s="40"/>
      <c r="P237" s="40"/>
      <c r="Q237" s="3">
        <f t="shared" si="27"/>
        <v>1484949600</v>
      </c>
      <c r="R237" s="3">
        <v>1477449600</v>
      </c>
      <c r="S237" s="7"/>
      <c r="T237" s="72"/>
      <c r="U237" s="7"/>
      <c r="V237" s="7"/>
      <c r="W237" s="36"/>
      <c r="X237" s="36">
        <f t="shared" si="28"/>
        <v>0</v>
      </c>
      <c r="Y237" s="36">
        <f t="shared" si="29"/>
        <v>7500000</v>
      </c>
      <c r="Z237" s="36">
        <f t="shared" si="26"/>
        <v>0</v>
      </c>
      <c r="AA237" s="4"/>
      <c r="AB237" s="79"/>
    </row>
    <row r="238" spans="1:28" ht="31.2" x14ac:dyDescent="0.3">
      <c r="A238" s="7" t="s">
        <v>62</v>
      </c>
      <c r="B238" s="6">
        <v>224</v>
      </c>
      <c r="C238" s="7" t="s">
        <v>813</v>
      </c>
      <c r="D238" s="7" t="s">
        <v>884</v>
      </c>
      <c r="E238" s="5"/>
      <c r="F238" s="7" t="s">
        <v>885</v>
      </c>
      <c r="G238" s="5"/>
      <c r="H238" s="5"/>
      <c r="I238" s="7" t="s">
        <v>882</v>
      </c>
      <c r="J238" s="7" t="s">
        <v>24</v>
      </c>
      <c r="K238" s="7" t="s">
        <v>883</v>
      </c>
      <c r="L238" s="3">
        <v>1245692800</v>
      </c>
      <c r="M238" s="5"/>
      <c r="N238" s="3">
        <v>7500000</v>
      </c>
      <c r="O238" s="40"/>
      <c r="P238" s="40"/>
      <c r="Q238" s="3">
        <f t="shared" si="27"/>
        <v>1253192800</v>
      </c>
      <c r="R238" s="3">
        <v>1245692800</v>
      </c>
      <c r="S238" s="7"/>
      <c r="T238" s="72"/>
      <c r="U238" s="7"/>
      <c r="V238" s="7"/>
      <c r="W238" s="36"/>
      <c r="X238" s="36">
        <f t="shared" si="28"/>
        <v>0</v>
      </c>
      <c r="Y238" s="36">
        <f t="shared" si="29"/>
        <v>7500000</v>
      </c>
      <c r="Z238" s="36">
        <f t="shared" si="26"/>
        <v>0</v>
      </c>
      <c r="AA238" s="4"/>
      <c r="AB238" s="79"/>
    </row>
    <row r="239" spans="1:28" ht="31.2" x14ac:dyDescent="0.3">
      <c r="A239" s="7" t="s">
        <v>62</v>
      </c>
      <c r="B239" s="6">
        <v>225</v>
      </c>
      <c r="C239" s="7" t="s">
        <v>813</v>
      </c>
      <c r="D239" s="7" t="s">
        <v>886</v>
      </c>
      <c r="E239" s="5"/>
      <c r="F239" s="7" t="s">
        <v>888</v>
      </c>
      <c r="G239" s="5"/>
      <c r="H239" s="5"/>
      <c r="I239" s="7" t="s">
        <v>889</v>
      </c>
      <c r="J239" s="7" t="s">
        <v>24</v>
      </c>
      <c r="K239" s="7" t="s">
        <v>890</v>
      </c>
      <c r="L239" s="3">
        <v>30585365520</v>
      </c>
      <c r="M239" s="5"/>
      <c r="N239" s="3">
        <v>15000000</v>
      </c>
      <c r="O239" s="7" t="s">
        <v>887</v>
      </c>
      <c r="P239" s="10">
        <v>48000000</v>
      </c>
      <c r="Q239" s="3">
        <f t="shared" si="27"/>
        <v>30648365520</v>
      </c>
      <c r="R239" s="3">
        <v>30585365520</v>
      </c>
      <c r="S239" s="7"/>
      <c r="T239" s="30">
        <v>15000000</v>
      </c>
      <c r="U239" s="3">
        <v>48000000</v>
      </c>
      <c r="V239" s="7"/>
      <c r="W239" s="36"/>
      <c r="X239" s="36">
        <f t="shared" si="28"/>
        <v>0</v>
      </c>
      <c r="Y239" s="36">
        <f t="shared" si="29"/>
        <v>0</v>
      </c>
      <c r="Z239" s="36">
        <f t="shared" si="26"/>
        <v>0</v>
      </c>
      <c r="AA239" s="4"/>
      <c r="AB239" s="79"/>
    </row>
    <row r="240" spans="1:28" ht="31.2" x14ac:dyDescent="0.3">
      <c r="A240" s="7" t="s">
        <v>62</v>
      </c>
      <c r="B240" s="6">
        <v>226</v>
      </c>
      <c r="C240" s="7" t="s">
        <v>813</v>
      </c>
      <c r="D240" s="7" t="s">
        <v>891</v>
      </c>
      <c r="E240" s="5"/>
      <c r="F240" s="7" t="s">
        <v>892</v>
      </c>
      <c r="G240" s="5"/>
      <c r="H240" s="5"/>
      <c r="I240" s="7" t="s">
        <v>893</v>
      </c>
      <c r="J240" s="7" t="s">
        <v>24</v>
      </c>
      <c r="K240" s="7" t="s">
        <v>894</v>
      </c>
      <c r="L240" s="6">
        <v>0</v>
      </c>
      <c r="M240" s="5"/>
      <c r="N240" s="3">
        <v>7500000</v>
      </c>
      <c r="O240" s="40"/>
      <c r="P240" s="40"/>
      <c r="Q240" s="3">
        <f t="shared" si="27"/>
        <v>7500000</v>
      </c>
      <c r="R240" s="6">
        <v>0</v>
      </c>
      <c r="S240" s="7"/>
      <c r="T240" s="30">
        <v>7500000</v>
      </c>
      <c r="U240" s="7"/>
      <c r="V240" s="7"/>
      <c r="W240" s="36"/>
      <c r="X240" s="36">
        <f t="shared" si="28"/>
        <v>0</v>
      </c>
      <c r="Y240" s="36">
        <f t="shared" si="29"/>
        <v>0</v>
      </c>
      <c r="Z240" s="36">
        <f t="shared" si="26"/>
        <v>0</v>
      </c>
      <c r="AA240" s="4"/>
      <c r="AB240" s="79"/>
    </row>
    <row r="241" spans="1:28" ht="31.2" x14ac:dyDescent="0.3">
      <c r="A241" s="7" t="s">
        <v>46</v>
      </c>
      <c r="B241" s="6">
        <v>227</v>
      </c>
      <c r="C241" s="7" t="s">
        <v>895</v>
      </c>
      <c r="D241" s="7" t="s">
        <v>896</v>
      </c>
      <c r="E241" s="5"/>
      <c r="F241" s="7" t="s">
        <v>897</v>
      </c>
      <c r="G241" s="5"/>
      <c r="H241" s="5"/>
      <c r="I241" s="7" t="s">
        <v>898</v>
      </c>
      <c r="J241" s="7" t="s">
        <v>24</v>
      </c>
      <c r="K241" s="7" t="s">
        <v>899</v>
      </c>
      <c r="L241" s="3">
        <v>3467851106</v>
      </c>
      <c r="M241" s="5"/>
      <c r="N241" s="3">
        <v>7500000</v>
      </c>
      <c r="O241" s="40"/>
      <c r="P241" s="40"/>
      <c r="Q241" s="3">
        <f t="shared" si="27"/>
        <v>3475351106</v>
      </c>
      <c r="R241" s="7"/>
      <c r="S241" s="7"/>
      <c r="T241" s="72"/>
      <c r="U241" s="7"/>
      <c r="V241" s="7"/>
      <c r="W241" s="36">
        <v>3467851106</v>
      </c>
      <c r="X241" s="36">
        <f t="shared" si="28"/>
        <v>0</v>
      </c>
      <c r="Y241" s="36">
        <f t="shared" si="29"/>
        <v>7500000</v>
      </c>
      <c r="Z241" s="36">
        <f t="shared" si="26"/>
        <v>0</v>
      </c>
      <c r="AA241" s="10">
        <v>3467851106</v>
      </c>
      <c r="AB241" s="79"/>
    </row>
    <row r="242" spans="1:28" ht="31.2" x14ac:dyDescent="0.3">
      <c r="A242" s="7" t="s">
        <v>46</v>
      </c>
      <c r="B242" s="6">
        <v>228</v>
      </c>
      <c r="C242" s="7" t="s">
        <v>895</v>
      </c>
      <c r="D242" s="7" t="s">
        <v>900</v>
      </c>
      <c r="E242" s="7" t="s">
        <v>389</v>
      </c>
      <c r="F242" s="7" t="s">
        <v>901</v>
      </c>
      <c r="G242" s="7" t="s">
        <v>902</v>
      </c>
      <c r="H242" s="5"/>
      <c r="I242" s="7" t="s">
        <v>903</v>
      </c>
      <c r="J242" s="7" t="s">
        <v>24</v>
      </c>
      <c r="K242" s="7" t="s">
        <v>904</v>
      </c>
      <c r="L242" s="3">
        <v>2645084632</v>
      </c>
      <c r="M242" s="3">
        <v>617741568</v>
      </c>
      <c r="N242" s="3">
        <v>15000000</v>
      </c>
      <c r="O242" s="40"/>
      <c r="P242" s="40"/>
      <c r="Q242" s="3">
        <f t="shared" si="27"/>
        <v>3277826200</v>
      </c>
      <c r="R242" s="3">
        <v>2645084632</v>
      </c>
      <c r="S242" s="3">
        <v>617741568</v>
      </c>
      <c r="T242" s="30">
        <v>15000000</v>
      </c>
      <c r="U242" s="7"/>
      <c r="V242" s="7"/>
      <c r="W242" s="36"/>
      <c r="X242" s="36">
        <f t="shared" si="28"/>
        <v>0</v>
      </c>
      <c r="Y242" s="36">
        <f t="shared" si="29"/>
        <v>0</v>
      </c>
      <c r="Z242" s="36">
        <f t="shared" si="26"/>
        <v>0</v>
      </c>
      <c r="AA242" s="4"/>
      <c r="AB242" s="79"/>
    </row>
    <row r="243" spans="1:28" ht="31.2" x14ac:dyDescent="0.3">
      <c r="A243" s="7" t="s">
        <v>46</v>
      </c>
      <c r="B243" s="6">
        <v>229</v>
      </c>
      <c r="C243" s="7" t="s">
        <v>895</v>
      </c>
      <c r="D243" s="7" t="s">
        <v>905</v>
      </c>
      <c r="E243" s="5"/>
      <c r="F243" s="7" t="s">
        <v>906</v>
      </c>
      <c r="G243" s="5"/>
      <c r="H243" s="5"/>
      <c r="I243" s="7" t="s">
        <v>907</v>
      </c>
      <c r="J243" s="7" t="s">
        <v>24</v>
      </c>
      <c r="K243" s="7" t="s">
        <v>908</v>
      </c>
      <c r="L243" s="3">
        <v>5265038802</v>
      </c>
      <c r="M243" s="5"/>
      <c r="N243" s="3">
        <v>7500000</v>
      </c>
      <c r="O243" s="40"/>
      <c r="P243" s="40"/>
      <c r="Q243" s="3">
        <f t="shared" si="27"/>
        <v>5272538802</v>
      </c>
      <c r="R243" s="3">
        <v>5265038802</v>
      </c>
      <c r="S243" s="7"/>
      <c r="T243" s="30">
        <v>7500000</v>
      </c>
      <c r="U243" s="7"/>
      <c r="V243" s="7"/>
      <c r="W243" s="36"/>
      <c r="X243" s="36">
        <f t="shared" si="28"/>
        <v>0</v>
      </c>
      <c r="Y243" s="36">
        <f t="shared" si="29"/>
        <v>0</v>
      </c>
      <c r="Z243" s="36">
        <f t="shared" si="26"/>
        <v>0</v>
      </c>
      <c r="AA243" s="4"/>
      <c r="AB243" s="79"/>
    </row>
    <row r="244" spans="1:28" ht="31.2" x14ac:dyDescent="0.3">
      <c r="A244" s="7" t="s">
        <v>46</v>
      </c>
      <c r="B244" s="6">
        <v>230</v>
      </c>
      <c r="C244" s="7" t="s">
        <v>895</v>
      </c>
      <c r="D244" s="7" t="s">
        <v>909</v>
      </c>
      <c r="E244" s="5"/>
      <c r="F244" s="7" t="s">
        <v>910</v>
      </c>
      <c r="G244" s="5"/>
      <c r="H244" s="5"/>
      <c r="I244" s="7" t="s">
        <v>911</v>
      </c>
      <c r="J244" s="7" t="s">
        <v>24</v>
      </c>
      <c r="K244" s="7" t="s">
        <v>912</v>
      </c>
      <c r="L244" s="3">
        <v>204645630</v>
      </c>
      <c r="M244" s="5"/>
      <c r="N244" s="3">
        <v>7500000</v>
      </c>
      <c r="O244" s="40"/>
      <c r="P244" s="40"/>
      <c r="Q244" s="3">
        <f t="shared" si="27"/>
        <v>212145630</v>
      </c>
      <c r="R244" s="3">
        <v>204645630</v>
      </c>
      <c r="S244" s="7"/>
      <c r="T244" s="30">
        <v>7500000</v>
      </c>
      <c r="U244" s="7"/>
      <c r="V244" s="7"/>
      <c r="W244" s="36"/>
      <c r="X244" s="36">
        <f t="shared" si="28"/>
        <v>0</v>
      </c>
      <c r="Y244" s="36">
        <f t="shared" si="29"/>
        <v>0</v>
      </c>
      <c r="Z244" s="36">
        <f t="shared" si="26"/>
        <v>0</v>
      </c>
      <c r="AA244" s="4"/>
      <c r="AB244" s="79"/>
    </row>
    <row r="245" spans="1:28" ht="31.2" x14ac:dyDescent="0.3">
      <c r="A245" s="7" t="s">
        <v>46</v>
      </c>
      <c r="B245" s="6">
        <v>231</v>
      </c>
      <c r="C245" s="7" t="s">
        <v>895</v>
      </c>
      <c r="D245" s="7" t="s">
        <v>913</v>
      </c>
      <c r="E245" s="7" t="s">
        <v>914</v>
      </c>
      <c r="F245" s="7" t="s">
        <v>915</v>
      </c>
      <c r="G245" s="5"/>
      <c r="H245" s="5"/>
      <c r="I245" s="7" t="s">
        <v>916</v>
      </c>
      <c r="J245" s="7" t="s">
        <v>24</v>
      </c>
      <c r="K245" s="7" t="s">
        <v>917</v>
      </c>
      <c r="L245" s="3">
        <v>2537955740</v>
      </c>
      <c r="M245" s="3">
        <v>3522240</v>
      </c>
      <c r="N245" s="3">
        <v>15000000</v>
      </c>
      <c r="O245" s="40"/>
      <c r="P245" s="40"/>
      <c r="Q245" s="3">
        <f t="shared" si="27"/>
        <v>2556477980</v>
      </c>
      <c r="R245" s="3">
        <v>2537955740</v>
      </c>
      <c r="S245" s="3">
        <v>3522240</v>
      </c>
      <c r="T245" s="30">
        <v>15000000</v>
      </c>
      <c r="U245" s="7"/>
      <c r="V245" s="7"/>
      <c r="W245" s="36"/>
      <c r="X245" s="36">
        <f t="shared" si="28"/>
        <v>0</v>
      </c>
      <c r="Y245" s="36">
        <f t="shared" si="29"/>
        <v>0</v>
      </c>
      <c r="Z245" s="36">
        <f t="shared" si="26"/>
        <v>0</v>
      </c>
      <c r="AA245" s="4"/>
      <c r="AB245" s="79"/>
    </row>
    <row r="246" spans="1:28" ht="31.2" x14ac:dyDescent="0.3">
      <c r="A246" s="7" t="s">
        <v>62</v>
      </c>
      <c r="B246" s="6">
        <v>232</v>
      </c>
      <c r="C246" s="7" t="s">
        <v>895</v>
      </c>
      <c r="D246" s="7" t="s">
        <v>918</v>
      </c>
      <c r="E246" s="5"/>
      <c r="F246" s="7" t="s">
        <v>919</v>
      </c>
      <c r="G246" s="5"/>
      <c r="H246" s="5"/>
      <c r="I246" s="7" t="s">
        <v>920</v>
      </c>
      <c r="J246" s="7" t="s">
        <v>24</v>
      </c>
      <c r="K246" s="7" t="s">
        <v>921</v>
      </c>
      <c r="L246" s="3">
        <v>5072847062</v>
      </c>
      <c r="M246" s="5"/>
      <c r="N246" s="3">
        <v>15000000</v>
      </c>
      <c r="O246" s="40"/>
      <c r="P246" s="40"/>
      <c r="Q246" s="3">
        <f t="shared" si="27"/>
        <v>5087847062</v>
      </c>
      <c r="R246" s="3">
        <v>5072847062</v>
      </c>
      <c r="S246" s="7"/>
      <c r="T246" s="32">
        <v>15000000</v>
      </c>
      <c r="U246" s="7"/>
      <c r="V246" s="7"/>
      <c r="W246" s="36"/>
      <c r="X246" s="36">
        <f t="shared" si="28"/>
        <v>0</v>
      </c>
      <c r="Y246" s="36">
        <f t="shared" si="29"/>
        <v>0</v>
      </c>
      <c r="Z246" s="36">
        <f t="shared" si="26"/>
        <v>0</v>
      </c>
      <c r="AA246" s="4"/>
      <c r="AB246" s="79"/>
    </row>
    <row r="247" spans="1:28" ht="46.8" x14ac:dyDescent="0.3">
      <c r="A247" s="7" t="s">
        <v>46</v>
      </c>
      <c r="B247" s="6">
        <v>233</v>
      </c>
      <c r="C247" s="7" t="s">
        <v>895</v>
      </c>
      <c r="D247" s="7" t="s">
        <v>922</v>
      </c>
      <c r="E247" s="5"/>
      <c r="F247" s="7" t="s">
        <v>923</v>
      </c>
      <c r="G247" s="5"/>
      <c r="H247" s="5"/>
      <c r="I247" s="7" t="s">
        <v>924</v>
      </c>
      <c r="J247" s="7" t="s">
        <v>24</v>
      </c>
      <c r="K247" s="7" t="s">
        <v>925</v>
      </c>
      <c r="L247" s="3">
        <v>8181354</v>
      </c>
      <c r="M247" s="5"/>
      <c r="N247" s="3">
        <v>7500000</v>
      </c>
      <c r="O247" s="40"/>
      <c r="P247" s="40"/>
      <c r="Q247" s="3">
        <f t="shared" ref="Q247:Q253" si="30">L247+M247+N247+P247</f>
        <v>15681354</v>
      </c>
      <c r="R247" s="7"/>
      <c r="S247" s="7"/>
      <c r="T247" s="72"/>
      <c r="U247" s="7"/>
      <c r="V247" s="7"/>
      <c r="W247" s="36">
        <v>8181354</v>
      </c>
      <c r="X247" s="36">
        <f t="shared" ref="X247:X253" si="31">M247-S247</f>
        <v>0</v>
      </c>
      <c r="Y247" s="36">
        <f t="shared" ref="Y247:Y253" si="32">N247-T247</f>
        <v>7500000</v>
      </c>
      <c r="Z247" s="36">
        <f t="shared" si="26"/>
        <v>0</v>
      </c>
      <c r="AA247" s="10">
        <v>8181354</v>
      </c>
      <c r="AB247" s="79"/>
    </row>
    <row r="248" spans="1:28" ht="93.6" x14ac:dyDescent="0.3">
      <c r="A248" s="7" t="s">
        <v>46</v>
      </c>
      <c r="B248" s="6">
        <v>234</v>
      </c>
      <c r="C248" s="7" t="s">
        <v>895</v>
      </c>
      <c r="D248" s="7" t="s">
        <v>926</v>
      </c>
      <c r="E248" s="5"/>
      <c r="F248" s="7" t="s">
        <v>927</v>
      </c>
      <c r="G248" s="5"/>
      <c r="H248" s="7" t="s">
        <v>28</v>
      </c>
      <c r="I248" s="7" t="s">
        <v>928</v>
      </c>
      <c r="J248" s="7" t="s">
        <v>24</v>
      </c>
      <c r="K248" s="7" t="s">
        <v>929</v>
      </c>
      <c r="L248" s="6">
        <v>0</v>
      </c>
      <c r="M248" s="5"/>
      <c r="N248" s="7"/>
      <c r="O248" s="40"/>
      <c r="P248" s="40"/>
      <c r="Q248" s="3">
        <f t="shared" si="30"/>
        <v>0</v>
      </c>
      <c r="R248" s="6">
        <v>0</v>
      </c>
      <c r="S248" s="7"/>
      <c r="T248" s="72"/>
      <c r="U248" s="7"/>
      <c r="V248" s="7"/>
      <c r="W248" s="36"/>
      <c r="X248" s="36">
        <f t="shared" si="31"/>
        <v>0</v>
      </c>
      <c r="Y248" s="36">
        <f t="shared" si="32"/>
        <v>0</v>
      </c>
      <c r="Z248" s="36">
        <f t="shared" si="26"/>
        <v>0</v>
      </c>
      <c r="AA248" s="4"/>
      <c r="AB248" s="79"/>
    </row>
    <row r="249" spans="1:28" ht="31.2" x14ac:dyDescent="0.3">
      <c r="A249" s="7" t="s">
        <v>46</v>
      </c>
      <c r="B249" s="6">
        <v>235</v>
      </c>
      <c r="C249" s="7" t="s">
        <v>895</v>
      </c>
      <c r="D249" s="7" t="s">
        <v>930</v>
      </c>
      <c r="E249" s="7" t="s">
        <v>931</v>
      </c>
      <c r="F249" s="7" t="s">
        <v>932</v>
      </c>
      <c r="G249" s="7" t="s">
        <v>933</v>
      </c>
      <c r="H249" s="5"/>
      <c r="I249" s="7" t="s">
        <v>934</v>
      </c>
      <c r="J249" s="7" t="s">
        <v>24</v>
      </c>
      <c r="K249" s="7" t="s">
        <v>935</v>
      </c>
      <c r="L249" s="3">
        <v>29643369869</v>
      </c>
      <c r="M249" s="3">
        <v>642820640</v>
      </c>
      <c r="N249" s="3">
        <v>15000000</v>
      </c>
      <c r="O249" s="7" t="s">
        <v>182</v>
      </c>
      <c r="P249" s="3">
        <v>48000000</v>
      </c>
      <c r="Q249" s="3">
        <f t="shared" si="30"/>
        <v>30349190509</v>
      </c>
      <c r="R249" s="3">
        <v>29643369869</v>
      </c>
      <c r="S249" s="7"/>
      <c r="T249" s="72"/>
      <c r="U249" s="7"/>
      <c r="V249" s="7"/>
      <c r="W249" s="36"/>
      <c r="X249" s="36">
        <f t="shared" si="31"/>
        <v>642820640</v>
      </c>
      <c r="Y249" s="36">
        <f t="shared" si="32"/>
        <v>15000000</v>
      </c>
      <c r="Z249" s="36">
        <f t="shared" si="26"/>
        <v>48000000</v>
      </c>
      <c r="AA249" s="4"/>
      <c r="AB249" s="83"/>
    </row>
    <row r="250" spans="1:28" ht="31.2" x14ac:dyDescent="0.3">
      <c r="A250" s="7" t="s">
        <v>46</v>
      </c>
      <c r="B250" s="6">
        <v>236</v>
      </c>
      <c r="C250" s="7" t="s">
        <v>895</v>
      </c>
      <c r="D250" s="7" t="s">
        <v>936</v>
      </c>
      <c r="E250" s="7" t="s">
        <v>34</v>
      </c>
      <c r="F250" s="7" t="s">
        <v>937</v>
      </c>
      <c r="G250" s="7" t="s">
        <v>707</v>
      </c>
      <c r="H250" s="5"/>
      <c r="I250" s="7" t="s">
        <v>938</v>
      </c>
      <c r="J250" s="7" t="s">
        <v>24</v>
      </c>
      <c r="K250" s="7" t="s">
        <v>939</v>
      </c>
      <c r="L250" s="3">
        <v>607575480</v>
      </c>
      <c r="M250" s="3">
        <v>60674400</v>
      </c>
      <c r="N250" s="3">
        <v>7500000</v>
      </c>
      <c r="O250" s="40"/>
      <c r="P250" s="40"/>
      <c r="Q250" s="3">
        <f t="shared" si="30"/>
        <v>675749880</v>
      </c>
      <c r="R250" s="3">
        <v>607575480</v>
      </c>
      <c r="S250" s="3">
        <v>60674400</v>
      </c>
      <c r="T250" s="30">
        <v>7500000</v>
      </c>
      <c r="U250" s="7"/>
      <c r="V250" s="7"/>
      <c r="W250" s="36"/>
      <c r="X250" s="36">
        <f t="shared" si="31"/>
        <v>0</v>
      </c>
      <c r="Y250" s="36">
        <f t="shared" si="32"/>
        <v>0</v>
      </c>
      <c r="Z250" s="36">
        <f t="shared" si="26"/>
        <v>0</v>
      </c>
      <c r="AA250" s="4"/>
      <c r="AB250" s="79"/>
    </row>
    <row r="251" spans="1:28" ht="31.2" x14ac:dyDescent="0.3">
      <c r="A251" s="7" t="s">
        <v>46</v>
      </c>
      <c r="B251" s="6">
        <v>237</v>
      </c>
      <c r="C251" s="7" t="s">
        <v>895</v>
      </c>
      <c r="D251" s="7" t="s">
        <v>940</v>
      </c>
      <c r="E251" s="5"/>
      <c r="F251" s="7" t="s">
        <v>941</v>
      </c>
      <c r="G251" s="5"/>
      <c r="H251" s="5"/>
      <c r="I251" s="7" t="s">
        <v>942</v>
      </c>
      <c r="J251" s="7" t="s">
        <v>24</v>
      </c>
      <c r="K251" s="7" t="s">
        <v>943</v>
      </c>
      <c r="L251" s="3">
        <v>1176584884</v>
      </c>
      <c r="M251" s="5"/>
      <c r="N251" s="3">
        <v>7500000</v>
      </c>
      <c r="O251" s="40"/>
      <c r="P251" s="40"/>
      <c r="Q251" s="3">
        <f t="shared" si="30"/>
        <v>1184084884</v>
      </c>
      <c r="R251" s="3">
        <v>1176584884</v>
      </c>
      <c r="S251" s="7"/>
      <c r="T251" s="30">
        <v>7500000</v>
      </c>
      <c r="U251" s="7"/>
      <c r="V251" s="7"/>
      <c r="W251" s="36"/>
      <c r="X251" s="36">
        <f t="shared" si="31"/>
        <v>0</v>
      </c>
      <c r="Y251" s="36">
        <f t="shared" si="32"/>
        <v>0</v>
      </c>
      <c r="Z251" s="36">
        <f t="shared" si="26"/>
        <v>0</v>
      </c>
      <c r="AA251" s="4"/>
      <c r="AB251" s="79"/>
    </row>
    <row r="252" spans="1:28" ht="31.2" x14ac:dyDescent="0.3">
      <c r="A252" s="7" t="s">
        <v>46</v>
      </c>
      <c r="B252" s="6">
        <v>238</v>
      </c>
      <c r="C252" s="7" t="s">
        <v>895</v>
      </c>
      <c r="D252" s="7" t="s">
        <v>944</v>
      </c>
      <c r="E252" s="5"/>
      <c r="F252" s="7" t="s">
        <v>945</v>
      </c>
      <c r="G252" s="5"/>
      <c r="H252" s="5"/>
      <c r="I252" s="7" t="s">
        <v>946</v>
      </c>
      <c r="J252" s="7" t="s">
        <v>24</v>
      </c>
      <c r="K252" s="7" t="s">
        <v>947</v>
      </c>
      <c r="L252" s="3">
        <v>2575548192</v>
      </c>
      <c r="M252" s="5"/>
      <c r="N252" s="3">
        <v>7500000</v>
      </c>
      <c r="O252" s="40"/>
      <c r="P252" s="40"/>
      <c r="Q252" s="3">
        <f t="shared" si="30"/>
        <v>2583048192</v>
      </c>
      <c r="R252" s="7"/>
      <c r="S252" s="7"/>
      <c r="T252" s="72"/>
      <c r="U252" s="7"/>
      <c r="V252" s="7"/>
      <c r="W252" s="36">
        <v>2575548192</v>
      </c>
      <c r="X252" s="36">
        <f t="shared" si="31"/>
        <v>0</v>
      </c>
      <c r="Y252" s="36">
        <f t="shared" si="32"/>
        <v>7500000</v>
      </c>
      <c r="Z252" s="36">
        <f t="shared" si="26"/>
        <v>0</v>
      </c>
      <c r="AA252" s="10">
        <v>2575548192</v>
      </c>
      <c r="AB252" s="79"/>
    </row>
    <row r="253" spans="1:28" ht="31.2" x14ac:dyDescent="0.3">
      <c r="A253" s="7" t="s">
        <v>62</v>
      </c>
      <c r="B253" s="6">
        <v>239</v>
      </c>
      <c r="C253" s="7" t="s">
        <v>895</v>
      </c>
      <c r="D253" s="7" t="s">
        <v>948</v>
      </c>
      <c r="E253" s="7" t="s">
        <v>158</v>
      </c>
      <c r="F253" s="7" t="s">
        <v>949</v>
      </c>
      <c r="G253" s="7" t="s">
        <v>66</v>
      </c>
      <c r="H253" s="5"/>
      <c r="I253" s="7" t="s">
        <v>950</v>
      </c>
      <c r="J253" s="7" t="s">
        <v>24</v>
      </c>
      <c r="K253" s="7" t="s">
        <v>951</v>
      </c>
      <c r="L253" s="3">
        <v>3117071830</v>
      </c>
      <c r="M253" s="3">
        <v>483955776</v>
      </c>
      <c r="N253" s="3">
        <v>7500000</v>
      </c>
      <c r="O253" s="40"/>
      <c r="P253" s="40"/>
      <c r="Q253" s="3">
        <f t="shared" si="30"/>
        <v>3608527606</v>
      </c>
      <c r="R253" s="3">
        <v>3117071830</v>
      </c>
      <c r="S253" s="3">
        <v>483955776</v>
      </c>
      <c r="T253" s="30">
        <v>7500000</v>
      </c>
      <c r="U253" s="7"/>
      <c r="V253" s="7"/>
      <c r="W253" s="36"/>
      <c r="X253" s="36">
        <f t="shared" si="31"/>
        <v>0</v>
      </c>
      <c r="Y253" s="36">
        <f t="shared" si="32"/>
        <v>0</v>
      </c>
      <c r="Z253" s="36">
        <f t="shared" si="26"/>
        <v>0</v>
      </c>
      <c r="AA253" s="4"/>
      <c r="AB253" s="79"/>
    </row>
    <row r="254" spans="1:28" ht="37.200000000000003" customHeight="1" x14ac:dyDescent="0.3">
      <c r="A254" s="7"/>
      <c r="B254" s="148">
        <v>240</v>
      </c>
      <c r="C254" s="148" t="s">
        <v>895</v>
      </c>
      <c r="D254" s="7"/>
      <c r="E254" s="7"/>
      <c r="F254" s="148" t="s">
        <v>954</v>
      </c>
      <c r="G254" s="7"/>
      <c r="H254" s="5"/>
      <c r="I254" s="148" t="s">
        <v>955</v>
      </c>
      <c r="J254" s="148" t="s">
        <v>24</v>
      </c>
      <c r="K254" s="148" t="s">
        <v>956</v>
      </c>
      <c r="L254" s="3"/>
      <c r="M254" s="3"/>
      <c r="N254" s="3"/>
      <c r="O254" s="40" t="s">
        <v>3448</v>
      </c>
      <c r="P254" s="73">
        <v>30000000</v>
      </c>
      <c r="Q254" s="3"/>
      <c r="R254" s="3"/>
      <c r="S254" s="3"/>
      <c r="T254" s="30"/>
      <c r="U254" s="74">
        <v>30000000</v>
      </c>
      <c r="V254" s="7"/>
      <c r="W254" s="36"/>
      <c r="X254" s="36"/>
      <c r="Y254" s="36"/>
      <c r="Z254" s="36">
        <f t="shared" si="26"/>
        <v>0</v>
      </c>
      <c r="AA254" s="4"/>
      <c r="AB254" s="79"/>
    </row>
    <row r="255" spans="1:28" ht="37.200000000000003" customHeight="1" x14ac:dyDescent="0.3">
      <c r="A255" s="7" t="s">
        <v>62</v>
      </c>
      <c r="B255" s="149"/>
      <c r="C255" s="149"/>
      <c r="D255" s="7" t="s">
        <v>952</v>
      </c>
      <c r="E255" s="5"/>
      <c r="F255" s="149"/>
      <c r="G255" s="5"/>
      <c r="H255" s="5"/>
      <c r="I255" s="161"/>
      <c r="J255" s="149"/>
      <c r="K255" s="149"/>
      <c r="L255" s="3">
        <v>3280061542</v>
      </c>
      <c r="M255" s="5"/>
      <c r="N255" s="3">
        <v>15000000</v>
      </c>
      <c r="O255" s="7" t="s">
        <v>3829</v>
      </c>
      <c r="P255" s="3">
        <v>60000000</v>
      </c>
      <c r="Q255" s="3">
        <f t="shared" ref="Q255:Q263" si="33">L255+M255+N255+P255</f>
        <v>3355061542</v>
      </c>
      <c r="R255" s="3">
        <v>3280061542</v>
      </c>
      <c r="S255" s="7"/>
      <c r="T255" s="30">
        <v>15000000</v>
      </c>
      <c r="U255" s="3"/>
      <c r="V255" s="7"/>
      <c r="W255" s="36"/>
      <c r="X255" s="36">
        <f t="shared" ref="X255:X263" si="34">M255-S255</f>
        <v>0</v>
      </c>
      <c r="Y255" s="36">
        <f t="shared" ref="Y255:Y263" si="35">N255-T255</f>
        <v>0</v>
      </c>
      <c r="Z255" s="36">
        <f t="shared" si="26"/>
        <v>60000000</v>
      </c>
      <c r="AA255" s="4"/>
      <c r="AB255" s="83"/>
    </row>
    <row r="256" spans="1:28" ht="31.2" x14ac:dyDescent="0.3">
      <c r="A256" s="7" t="s">
        <v>46</v>
      </c>
      <c r="B256" s="6">
        <v>241</v>
      </c>
      <c r="C256" s="7" t="s">
        <v>895</v>
      </c>
      <c r="D256" s="7" t="s">
        <v>957</v>
      </c>
      <c r="E256" s="5"/>
      <c r="F256" s="7" t="s">
        <v>958</v>
      </c>
      <c r="G256" s="5"/>
      <c r="H256" s="5"/>
      <c r="I256" s="7" t="s">
        <v>959</v>
      </c>
      <c r="J256" s="7" t="s">
        <v>24</v>
      </c>
      <c r="K256" s="7" t="s">
        <v>960</v>
      </c>
      <c r="L256" s="3">
        <v>391616484</v>
      </c>
      <c r="M256" s="5"/>
      <c r="N256" s="3">
        <v>7500000</v>
      </c>
      <c r="O256" s="40"/>
      <c r="P256" s="40"/>
      <c r="Q256" s="3">
        <f t="shared" si="33"/>
        <v>399116484</v>
      </c>
      <c r="R256" s="3">
        <v>391616484</v>
      </c>
      <c r="S256" s="7"/>
      <c r="T256" s="30">
        <v>7500000</v>
      </c>
      <c r="U256" s="7"/>
      <c r="V256" s="7"/>
      <c r="W256" s="36"/>
      <c r="X256" s="36">
        <f t="shared" si="34"/>
        <v>0</v>
      </c>
      <c r="Y256" s="36">
        <f t="shared" si="35"/>
        <v>0</v>
      </c>
      <c r="Z256" s="36">
        <f t="shared" si="26"/>
        <v>0</v>
      </c>
      <c r="AA256" s="4"/>
      <c r="AB256" s="79"/>
    </row>
    <row r="257" spans="1:28" ht="31.2" x14ac:dyDescent="0.3">
      <c r="A257" s="7" t="s">
        <v>46</v>
      </c>
      <c r="B257" s="6">
        <v>242</v>
      </c>
      <c r="C257" s="7" t="s">
        <v>895</v>
      </c>
      <c r="D257" s="7" t="s">
        <v>961</v>
      </c>
      <c r="E257" s="7" t="s">
        <v>914</v>
      </c>
      <c r="F257" s="7" t="s">
        <v>962</v>
      </c>
      <c r="G257" s="5"/>
      <c r="H257" s="5"/>
      <c r="I257" s="7" t="s">
        <v>963</v>
      </c>
      <c r="J257" s="7" t="s">
        <v>24</v>
      </c>
      <c r="K257" s="7" t="s">
        <v>964</v>
      </c>
      <c r="L257" s="3">
        <v>5427416524</v>
      </c>
      <c r="M257" s="3">
        <v>5717376</v>
      </c>
      <c r="N257" s="3">
        <v>7500000</v>
      </c>
      <c r="O257" s="40"/>
      <c r="P257" s="40"/>
      <c r="Q257" s="3">
        <f t="shared" si="33"/>
        <v>5440633900</v>
      </c>
      <c r="R257" s="3">
        <v>5427416524</v>
      </c>
      <c r="S257" s="3">
        <v>5717376</v>
      </c>
      <c r="T257" s="30">
        <v>7500000</v>
      </c>
      <c r="U257" s="7"/>
      <c r="V257" s="7"/>
      <c r="W257" s="36"/>
      <c r="X257" s="36">
        <f t="shared" si="34"/>
        <v>0</v>
      </c>
      <c r="Y257" s="36">
        <f t="shared" si="35"/>
        <v>0</v>
      </c>
      <c r="Z257" s="36">
        <f t="shared" si="26"/>
        <v>0</v>
      </c>
      <c r="AA257" s="4"/>
      <c r="AB257" s="79"/>
    </row>
    <row r="258" spans="1:28" ht="31.2" x14ac:dyDescent="0.3">
      <c r="A258" s="7" t="s">
        <v>46</v>
      </c>
      <c r="B258" s="6">
        <v>243</v>
      </c>
      <c r="C258" s="7" t="s">
        <v>895</v>
      </c>
      <c r="D258" s="7" t="s">
        <v>965</v>
      </c>
      <c r="E258" s="5"/>
      <c r="F258" s="7" t="s">
        <v>966</v>
      </c>
      <c r="G258" s="5"/>
      <c r="H258" s="5"/>
      <c r="I258" s="7" t="s">
        <v>967</v>
      </c>
      <c r="J258" s="7" t="s">
        <v>24</v>
      </c>
      <c r="K258" s="7" t="s">
        <v>968</v>
      </c>
      <c r="L258" s="3">
        <v>220068000</v>
      </c>
      <c r="M258" s="5"/>
      <c r="N258" s="3">
        <v>7500000</v>
      </c>
      <c r="O258" s="40"/>
      <c r="P258" s="40"/>
      <c r="Q258" s="3">
        <f t="shared" si="33"/>
        <v>227568000</v>
      </c>
      <c r="R258" s="3">
        <v>220068000</v>
      </c>
      <c r="S258" s="7"/>
      <c r="T258" s="30">
        <v>7500000</v>
      </c>
      <c r="U258" s="7"/>
      <c r="V258" s="7"/>
      <c r="W258" s="36"/>
      <c r="X258" s="36">
        <f t="shared" si="34"/>
        <v>0</v>
      </c>
      <c r="Y258" s="36">
        <f t="shared" si="35"/>
        <v>0</v>
      </c>
      <c r="Z258" s="36">
        <f t="shared" si="26"/>
        <v>0</v>
      </c>
      <c r="AA258" s="4"/>
      <c r="AB258" s="79"/>
    </row>
    <row r="259" spans="1:28" ht="31.2" x14ac:dyDescent="0.3">
      <c r="A259" s="7" t="s">
        <v>46</v>
      </c>
      <c r="B259" s="6">
        <v>244</v>
      </c>
      <c r="C259" s="7" t="s">
        <v>895</v>
      </c>
      <c r="D259" s="7" t="s">
        <v>969</v>
      </c>
      <c r="E259" s="7" t="s">
        <v>914</v>
      </c>
      <c r="F259" s="7" t="s">
        <v>970</v>
      </c>
      <c r="G259" s="5"/>
      <c r="H259" s="5"/>
      <c r="I259" s="7" t="s">
        <v>971</v>
      </c>
      <c r="J259" s="7" t="s">
        <v>24</v>
      </c>
      <c r="K259" s="7" t="s">
        <v>972</v>
      </c>
      <c r="L259" s="3">
        <v>803708300</v>
      </c>
      <c r="M259" s="3">
        <v>83491840</v>
      </c>
      <c r="N259" s="3">
        <v>7500000</v>
      </c>
      <c r="O259" s="40"/>
      <c r="P259" s="40"/>
      <c r="Q259" s="3">
        <f t="shared" si="33"/>
        <v>894700140</v>
      </c>
      <c r="R259" s="3">
        <v>803708300</v>
      </c>
      <c r="S259" s="3">
        <v>83491840</v>
      </c>
      <c r="T259" s="72"/>
      <c r="U259" s="7"/>
      <c r="V259" s="7"/>
      <c r="W259" s="36"/>
      <c r="X259" s="36">
        <f t="shared" si="34"/>
        <v>0</v>
      </c>
      <c r="Y259" s="36">
        <f t="shared" si="35"/>
        <v>7500000</v>
      </c>
      <c r="Z259" s="36">
        <f t="shared" si="26"/>
        <v>0</v>
      </c>
      <c r="AA259" s="4"/>
      <c r="AB259" s="79"/>
    </row>
    <row r="260" spans="1:28" ht="31.2" x14ac:dyDescent="0.3">
      <c r="A260" s="7" t="s">
        <v>62</v>
      </c>
      <c r="B260" s="6">
        <v>245</v>
      </c>
      <c r="C260" s="7" t="s">
        <v>895</v>
      </c>
      <c r="D260" s="7" t="s">
        <v>973</v>
      </c>
      <c r="E260" s="5"/>
      <c r="F260" s="7" t="s">
        <v>974</v>
      </c>
      <c r="G260" s="5"/>
      <c r="H260" s="5"/>
      <c r="I260" s="7" t="s">
        <v>975</v>
      </c>
      <c r="J260" s="7" t="s">
        <v>24</v>
      </c>
      <c r="K260" s="7" t="s">
        <v>976</v>
      </c>
      <c r="L260" s="6">
        <v>0</v>
      </c>
      <c r="M260" s="5"/>
      <c r="N260" s="3">
        <v>7500000</v>
      </c>
      <c r="O260" s="40"/>
      <c r="P260" s="40"/>
      <c r="Q260" s="3">
        <f t="shared" si="33"/>
        <v>7500000</v>
      </c>
      <c r="R260" s="6">
        <v>0</v>
      </c>
      <c r="S260" s="7"/>
      <c r="T260" s="30">
        <v>7500000</v>
      </c>
      <c r="U260" s="7"/>
      <c r="V260" s="7"/>
      <c r="W260" s="36"/>
      <c r="X260" s="36">
        <f t="shared" si="34"/>
        <v>0</v>
      </c>
      <c r="Y260" s="36">
        <f t="shared" si="35"/>
        <v>0</v>
      </c>
      <c r="Z260" s="36">
        <f t="shared" si="26"/>
        <v>0</v>
      </c>
      <c r="AA260" s="4"/>
      <c r="AB260" s="79"/>
    </row>
    <row r="261" spans="1:28" ht="109.2" x14ac:dyDescent="0.3">
      <c r="A261" s="7" t="s">
        <v>46</v>
      </c>
      <c r="B261" s="6">
        <v>246</v>
      </c>
      <c r="C261" s="7" t="s">
        <v>895</v>
      </c>
      <c r="D261" s="7" t="s">
        <v>977</v>
      </c>
      <c r="E261" s="7" t="s">
        <v>914</v>
      </c>
      <c r="F261" s="7" t="s">
        <v>978</v>
      </c>
      <c r="G261" s="5"/>
      <c r="H261" s="5"/>
      <c r="I261" s="7" t="s">
        <v>979</v>
      </c>
      <c r="J261" s="7" t="s">
        <v>24</v>
      </c>
      <c r="K261" s="7" t="s">
        <v>980</v>
      </c>
      <c r="L261" s="3">
        <v>3613352200</v>
      </c>
      <c r="M261" s="3">
        <v>53089920</v>
      </c>
      <c r="N261" s="3">
        <v>7500000</v>
      </c>
      <c r="O261" s="40"/>
      <c r="P261" s="40"/>
      <c r="Q261" s="3">
        <f t="shared" si="33"/>
        <v>3673942120</v>
      </c>
      <c r="R261" s="3">
        <v>3613352200</v>
      </c>
      <c r="S261" s="3">
        <v>53089920</v>
      </c>
      <c r="T261" s="30">
        <v>7500000</v>
      </c>
      <c r="U261" s="7"/>
      <c r="V261" s="7"/>
      <c r="W261" s="36"/>
      <c r="X261" s="36">
        <f t="shared" si="34"/>
        <v>0</v>
      </c>
      <c r="Y261" s="36">
        <f t="shared" si="35"/>
        <v>0</v>
      </c>
      <c r="Z261" s="36">
        <f t="shared" si="26"/>
        <v>0</v>
      </c>
      <c r="AA261" s="4"/>
      <c r="AB261" s="79"/>
    </row>
    <row r="262" spans="1:28" ht="31.2" x14ac:dyDescent="0.3">
      <c r="A262" s="7" t="s">
        <v>46</v>
      </c>
      <c r="B262" s="6">
        <v>247</v>
      </c>
      <c r="C262" s="7" t="s">
        <v>895</v>
      </c>
      <c r="D262" s="7" t="s">
        <v>981</v>
      </c>
      <c r="E262" s="7" t="s">
        <v>982</v>
      </c>
      <c r="F262" s="7" t="s">
        <v>983</v>
      </c>
      <c r="G262" s="5"/>
      <c r="H262" s="5"/>
      <c r="I262" s="7" t="s">
        <v>984</v>
      </c>
      <c r="J262" s="7" t="s">
        <v>24</v>
      </c>
      <c r="K262" s="7" t="s">
        <v>985</v>
      </c>
      <c r="L262" s="3">
        <v>2238832624</v>
      </c>
      <c r="M262" s="3">
        <v>440119008</v>
      </c>
      <c r="N262" s="3">
        <v>15000000</v>
      </c>
      <c r="O262" s="40"/>
      <c r="P262" s="40"/>
      <c r="Q262" s="3">
        <f t="shared" si="33"/>
        <v>2693951632</v>
      </c>
      <c r="R262" s="3">
        <v>2238832624</v>
      </c>
      <c r="S262" s="3">
        <v>440119008</v>
      </c>
      <c r="T262" s="30">
        <v>15000000</v>
      </c>
      <c r="U262" s="7"/>
      <c r="V262" s="7"/>
      <c r="W262" s="36"/>
      <c r="X262" s="36">
        <f t="shared" si="34"/>
        <v>0</v>
      </c>
      <c r="Y262" s="36">
        <f t="shared" si="35"/>
        <v>0</v>
      </c>
      <c r="Z262" s="36">
        <f t="shared" si="26"/>
        <v>0</v>
      </c>
      <c r="AA262" s="4"/>
      <c r="AB262" s="79"/>
    </row>
    <row r="263" spans="1:28" ht="31.2" x14ac:dyDescent="0.3">
      <c r="A263" s="7" t="s">
        <v>46</v>
      </c>
      <c r="B263" s="6">
        <v>248</v>
      </c>
      <c r="C263" s="7" t="s">
        <v>895</v>
      </c>
      <c r="D263" s="7" t="s">
        <v>986</v>
      </c>
      <c r="E263" s="5"/>
      <c r="F263" s="7" t="s">
        <v>604</v>
      </c>
      <c r="G263" s="5"/>
      <c r="H263" s="5"/>
      <c r="I263" s="7" t="s">
        <v>987</v>
      </c>
      <c r="J263" s="7" t="s">
        <v>24</v>
      </c>
      <c r="K263" s="7" t="s">
        <v>988</v>
      </c>
      <c r="L263" s="3">
        <v>3203717384</v>
      </c>
      <c r="M263" s="5"/>
      <c r="N263" s="3">
        <v>15000000</v>
      </c>
      <c r="O263" s="40"/>
      <c r="P263" s="40"/>
      <c r="Q263" s="3">
        <f t="shared" si="33"/>
        <v>3218717384</v>
      </c>
      <c r="R263" s="3">
        <v>3203717384</v>
      </c>
      <c r="S263" s="7"/>
      <c r="T263" s="30">
        <v>15000000</v>
      </c>
      <c r="U263" s="7"/>
      <c r="V263" s="7"/>
      <c r="W263" s="36"/>
      <c r="X263" s="36">
        <f t="shared" si="34"/>
        <v>0</v>
      </c>
      <c r="Y263" s="36">
        <f t="shared" si="35"/>
        <v>0</v>
      </c>
      <c r="Z263" s="36">
        <f t="shared" si="26"/>
        <v>0</v>
      </c>
      <c r="AA263" s="4"/>
      <c r="AB263" s="79"/>
    </row>
    <row r="264" spans="1:28" ht="31.2" x14ac:dyDescent="0.3">
      <c r="A264" s="7"/>
      <c r="B264" s="148">
        <v>249</v>
      </c>
      <c r="C264" s="164" t="s">
        <v>895</v>
      </c>
      <c r="D264" s="7"/>
      <c r="E264" s="5"/>
      <c r="F264" s="164" t="s">
        <v>991</v>
      </c>
      <c r="G264" s="5"/>
      <c r="H264" s="5"/>
      <c r="I264" s="164" t="s">
        <v>992</v>
      </c>
      <c r="J264" s="164" t="s">
        <v>24</v>
      </c>
      <c r="K264" s="164" t="s">
        <v>993</v>
      </c>
      <c r="L264" s="3"/>
      <c r="M264" s="5"/>
      <c r="N264" s="3"/>
      <c r="O264" s="40" t="s">
        <v>637</v>
      </c>
      <c r="P264" s="40">
        <v>36000000</v>
      </c>
      <c r="Q264" s="3"/>
      <c r="R264" s="3"/>
      <c r="S264" s="7"/>
      <c r="T264" s="30"/>
      <c r="U264" s="74">
        <v>36000000</v>
      </c>
      <c r="V264" s="7"/>
      <c r="W264" s="36"/>
      <c r="X264" s="36"/>
      <c r="Y264" s="36"/>
      <c r="Z264" s="36"/>
      <c r="AA264" s="4"/>
      <c r="AB264" s="79"/>
    </row>
    <row r="265" spans="1:28" s="98" customFormat="1" ht="31.2" x14ac:dyDescent="0.3">
      <c r="A265" s="91" t="s">
        <v>62</v>
      </c>
      <c r="B265" s="149"/>
      <c r="C265" s="165"/>
      <c r="D265" s="91" t="s">
        <v>989</v>
      </c>
      <c r="E265" s="91" t="s">
        <v>158</v>
      </c>
      <c r="F265" s="165"/>
      <c r="G265" s="91" t="s">
        <v>83</v>
      </c>
      <c r="H265" s="96"/>
      <c r="I265" s="165"/>
      <c r="J265" s="165"/>
      <c r="K265" s="165"/>
      <c r="L265" s="103">
        <v>11542084576</v>
      </c>
      <c r="M265" s="103">
        <v>195952446</v>
      </c>
      <c r="N265" s="103">
        <v>15000000</v>
      </c>
      <c r="O265" s="91" t="s">
        <v>3858</v>
      </c>
      <c r="P265" s="103">
        <v>72000000</v>
      </c>
      <c r="Q265" s="93">
        <f t="shared" ref="Q265:Q295" si="36">L265+M265+N265+P265</f>
        <v>11825037022</v>
      </c>
      <c r="R265" s="93">
        <v>11542084576</v>
      </c>
      <c r="S265" s="93">
        <v>195952446</v>
      </c>
      <c r="T265" s="94">
        <v>15000000</v>
      </c>
      <c r="U265" s="103"/>
      <c r="V265" s="89"/>
      <c r="W265" s="95"/>
      <c r="X265" s="95">
        <f t="shared" ref="X265:X295" si="37">M265-S265</f>
        <v>0</v>
      </c>
      <c r="Y265" s="95">
        <f t="shared" ref="Y265:Y295" si="38">N265-T265</f>
        <v>0</v>
      </c>
      <c r="Z265" s="95">
        <f t="shared" si="26"/>
        <v>72000000</v>
      </c>
      <c r="AA265" s="96"/>
      <c r="AB265" s="97" t="s">
        <v>3852</v>
      </c>
    </row>
    <row r="266" spans="1:28" ht="31.2" x14ac:dyDescent="0.3">
      <c r="A266" s="7" t="s">
        <v>46</v>
      </c>
      <c r="B266" s="6">
        <v>250</v>
      </c>
      <c r="C266" s="7" t="s">
        <v>895</v>
      </c>
      <c r="D266" s="7" t="s">
        <v>994</v>
      </c>
      <c r="E266" s="5"/>
      <c r="F266" s="7" t="s">
        <v>995</v>
      </c>
      <c r="G266" s="5"/>
      <c r="H266" s="5"/>
      <c r="I266" s="7" t="s">
        <v>996</v>
      </c>
      <c r="J266" s="7" t="s">
        <v>24</v>
      </c>
      <c r="K266" s="7" t="s">
        <v>997</v>
      </c>
      <c r="L266" s="3">
        <v>3719388760</v>
      </c>
      <c r="M266" s="5"/>
      <c r="N266" s="3">
        <v>15000000</v>
      </c>
      <c r="O266" s="40"/>
      <c r="P266" s="40"/>
      <c r="Q266" s="3">
        <f t="shared" si="36"/>
        <v>3734388760</v>
      </c>
      <c r="R266" s="3">
        <v>3719388760</v>
      </c>
      <c r="S266" s="7"/>
      <c r="T266" s="30">
        <v>15000000</v>
      </c>
      <c r="U266" s="7"/>
      <c r="V266" s="7"/>
      <c r="W266" s="36"/>
      <c r="X266" s="36">
        <f t="shared" si="37"/>
        <v>0</v>
      </c>
      <c r="Y266" s="36">
        <f t="shared" si="38"/>
        <v>0</v>
      </c>
      <c r="Z266" s="36">
        <f t="shared" si="26"/>
        <v>0</v>
      </c>
      <c r="AA266" s="4"/>
      <c r="AB266" s="79"/>
    </row>
    <row r="267" spans="1:28" ht="31.2" x14ac:dyDescent="0.3">
      <c r="A267" s="7" t="s">
        <v>46</v>
      </c>
      <c r="B267" s="6">
        <v>251</v>
      </c>
      <c r="C267" s="7" t="s">
        <v>895</v>
      </c>
      <c r="D267" s="7" t="s">
        <v>998</v>
      </c>
      <c r="E267" s="5"/>
      <c r="F267" s="7" t="s">
        <v>999</v>
      </c>
      <c r="G267" s="5"/>
      <c r="H267" s="7" t="s">
        <v>1000</v>
      </c>
      <c r="I267" s="7" t="s">
        <v>1001</v>
      </c>
      <c r="J267" s="7" t="s">
        <v>24</v>
      </c>
      <c r="K267" s="7" t="s">
        <v>1002</v>
      </c>
      <c r="L267" s="3">
        <v>3679560544</v>
      </c>
      <c r="M267" s="5"/>
      <c r="N267" s="3">
        <v>15000000</v>
      </c>
      <c r="O267" s="40"/>
      <c r="P267" s="40"/>
      <c r="Q267" s="3">
        <f t="shared" si="36"/>
        <v>3694560544</v>
      </c>
      <c r="R267" s="3">
        <v>3679560544</v>
      </c>
      <c r="S267" s="7"/>
      <c r="T267" s="30">
        <v>15000000</v>
      </c>
      <c r="U267" s="7"/>
      <c r="V267" s="7"/>
      <c r="W267" s="36"/>
      <c r="X267" s="36">
        <f t="shared" si="37"/>
        <v>0</v>
      </c>
      <c r="Y267" s="36">
        <f t="shared" si="38"/>
        <v>0</v>
      </c>
      <c r="Z267" s="36">
        <f t="shared" si="26"/>
        <v>0</v>
      </c>
      <c r="AA267" s="4"/>
      <c r="AB267" s="79"/>
    </row>
    <row r="268" spans="1:28" ht="46.8" x14ac:dyDescent="0.3">
      <c r="A268" s="7" t="s">
        <v>53</v>
      </c>
      <c r="B268" s="6">
        <v>252</v>
      </c>
      <c r="C268" s="7" t="s">
        <v>1003</v>
      </c>
      <c r="D268" s="7" t="s">
        <v>1004</v>
      </c>
      <c r="E268" s="5"/>
      <c r="F268" s="7" t="s">
        <v>1005</v>
      </c>
      <c r="G268" s="5"/>
      <c r="H268" s="5"/>
      <c r="I268" s="7" t="s">
        <v>1006</v>
      </c>
      <c r="J268" s="7" t="s">
        <v>24</v>
      </c>
      <c r="K268" s="7" t="s">
        <v>1007</v>
      </c>
      <c r="L268" s="3">
        <v>2768598346</v>
      </c>
      <c r="M268" s="5"/>
      <c r="N268" s="3">
        <v>7500000</v>
      </c>
      <c r="O268" s="40"/>
      <c r="P268" s="40"/>
      <c r="Q268" s="3">
        <f t="shared" si="36"/>
        <v>2776098346</v>
      </c>
      <c r="R268" s="3">
        <v>2768598346</v>
      </c>
      <c r="S268" s="7"/>
      <c r="T268" s="30">
        <v>7500000</v>
      </c>
      <c r="U268" s="7"/>
      <c r="V268" s="7"/>
      <c r="W268" s="36"/>
      <c r="X268" s="36">
        <f t="shared" si="37"/>
        <v>0</v>
      </c>
      <c r="Y268" s="36">
        <f t="shared" si="38"/>
        <v>0</v>
      </c>
      <c r="Z268" s="36">
        <f t="shared" si="26"/>
        <v>0</v>
      </c>
      <c r="AA268" s="4"/>
      <c r="AB268" s="79"/>
    </row>
    <row r="269" spans="1:28" ht="46.8" x14ac:dyDescent="0.3">
      <c r="A269" s="7" t="s">
        <v>53</v>
      </c>
      <c r="B269" s="6">
        <v>253</v>
      </c>
      <c r="C269" s="7" t="s">
        <v>1003</v>
      </c>
      <c r="D269" s="7" t="s">
        <v>1008</v>
      </c>
      <c r="E269" s="5"/>
      <c r="F269" s="7" t="s">
        <v>1009</v>
      </c>
      <c r="G269" s="5"/>
      <c r="H269" s="5"/>
      <c r="I269" s="7" t="s">
        <v>1010</v>
      </c>
      <c r="J269" s="7" t="s">
        <v>24</v>
      </c>
      <c r="K269" s="7" t="s">
        <v>1011</v>
      </c>
      <c r="L269" s="3">
        <v>671801500</v>
      </c>
      <c r="M269" s="5"/>
      <c r="N269" s="3">
        <v>7500000</v>
      </c>
      <c r="O269" s="40"/>
      <c r="P269" s="40"/>
      <c r="Q269" s="3">
        <f t="shared" si="36"/>
        <v>679301500</v>
      </c>
      <c r="R269" s="3">
        <v>671801500</v>
      </c>
      <c r="S269" s="7"/>
      <c r="T269" s="30">
        <v>7500000</v>
      </c>
      <c r="U269" s="7"/>
      <c r="V269" s="7"/>
      <c r="W269" s="36"/>
      <c r="X269" s="36">
        <f t="shared" si="37"/>
        <v>0</v>
      </c>
      <c r="Y269" s="36">
        <f t="shared" si="38"/>
        <v>0</v>
      </c>
      <c r="Z269" s="36">
        <f t="shared" si="26"/>
        <v>0</v>
      </c>
      <c r="AA269" s="4"/>
      <c r="AB269" s="79"/>
    </row>
    <row r="270" spans="1:28" ht="46.8" x14ac:dyDescent="0.3">
      <c r="A270" s="7" t="s">
        <v>53</v>
      </c>
      <c r="B270" s="6">
        <v>254</v>
      </c>
      <c r="C270" s="7" t="s">
        <v>1003</v>
      </c>
      <c r="D270" s="7" t="s">
        <v>1012</v>
      </c>
      <c r="E270" s="5"/>
      <c r="F270" s="7" t="s">
        <v>1013</v>
      </c>
      <c r="G270" s="5"/>
      <c r="H270" s="5"/>
      <c r="I270" s="7" t="s">
        <v>1014</v>
      </c>
      <c r="J270" s="7" t="s">
        <v>24</v>
      </c>
      <c r="K270" s="7" t="s">
        <v>1015</v>
      </c>
      <c r="L270" s="3">
        <v>691241261</v>
      </c>
      <c r="M270" s="5"/>
      <c r="N270" s="3">
        <v>7500000</v>
      </c>
      <c r="O270" s="40"/>
      <c r="P270" s="40"/>
      <c r="Q270" s="3">
        <f t="shared" si="36"/>
        <v>698741261</v>
      </c>
      <c r="R270" s="3">
        <v>691241261</v>
      </c>
      <c r="S270" s="7"/>
      <c r="T270" s="30">
        <v>7500000</v>
      </c>
      <c r="U270" s="7"/>
      <c r="V270" s="7"/>
      <c r="W270" s="36"/>
      <c r="X270" s="36">
        <f t="shared" si="37"/>
        <v>0</v>
      </c>
      <c r="Y270" s="36">
        <f t="shared" si="38"/>
        <v>0</v>
      </c>
      <c r="Z270" s="36">
        <f t="shared" si="26"/>
        <v>0</v>
      </c>
      <c r="AA270" s="4"/>
      <c r="AB270" s="79"/>
    </row>
    <row r="271" spans="1:28" ht="46.8" x14ac:dyDescent="0.3">
      <c r="A271" s="7" t="s">
        <v>46</v>
      </c>
      <c r="B271" s="6">
        <v>255</v>
      </c>
      <c r="C271" s="7" t="s">
        <v>1003</v>
      </c>
      <c r="D271" s="7" t="s">
        <v>1016</v>
      </c>
      <c r="E271" s="5"/>
      <c r="F271" s="7" t="s">
        <v>1017</v>
      </c>
      <c r="G271" s="5"/>
      <c r="H271" s="7" t="s">
        <v>1018</v>
      </c>
      <c r="I271" s="7" t="s">
        <v>1019</v>
      </c>
      <c r="J271" s="7" t="s">
        <v>24</v>
      </c>
      <c r="K271" s="7" t="s">
        <v>1020</v>
      </c>
      <c r="L271" s="3">
        <v>6226631799</v>
      </c>
      <c r="M271" s="5"/>
      <c r="N271" s="3">
        <v>15000000</v>
      </c>
      <c r="O271" s="40"/>
      <c r="P271" s="40"/>
      <c r="Q271" s="3">
        <f t="shared" si="36"/>
        <v>6241631799</v>
      </c>
      <c r="R271" s="3">
        <v>6226631799</v>
      </c>
      <c r="S271" s="7"/>
      <c r="T271" s="30">
        <v>15000000</v>
      </c>
      <c r="U271" s="7"/>
      <c r="V271" s="7"/>
      <c r="W271" s="36"/>
      <c r="X271" s="36">
        <f t="shared" si="37"/>
        <v>0</v>
      </c>
      <c r="Y271" s="36">
        <f t="shared" si="38"/>
        <v>0</v>
      </c>
      <c r="Z271" s="36">
        <f t="shared" si="26"/>
        <v>0</v>
      </c>
      <c r="AA271" s="4"/>
      <c r="AB271" s="79"/>
    </row>
    <row r="272" spans="1:28" ht="46.8" x14ac:dyDescent="0.3">
      <c r="A272" s="7" t="s">
        <v>53</v>
      </c>
      <c r="B272" s="6">
        <v>256</v>
      </c>
      <c r="C272" s="7" t="s">
        <v>1003</v>
      </c>
      <c r="D272" s="7" t="s">
        <v>1021</v>
      </c>
      <c r="E272" s="5"/>
      <c r="F272" s="7" t="s">
        <v>1022</v>
      </c>
      <c r="G272" s="5"/>
      <c r="H272" s="7" t="s">
        <v>1023</v>
      </c>
      <c r="I272" s="7" t="s">
        <v>1024</v>
      </c>
      <c r="J272" s="7" t="s">
        <v>24</v>
      </c>
      <c r="K272" s="7" t="s">
        <v>1025</v>
      </c>
      <c r="L272" s="3">
        <v>6294452378</v>
      </c>
      <c r="M272" s="5"/>
      <c r="N272" s="3">
        <v>15000000</v>
      </c>
      <c r="O272" s="7" t="s">
        <v>773</v>
      </c>
      <c r="P272" s="3">
        <v>84000000</v>
      </c>
      <c r="Q272" s="3">
        <f t="shared" si="36"/>
        <v>6393452378</v>
      </c>
      <c r="R272" s="3">
        <v>6294452378</v>
      </c>
      <c r="S272" s="7"/>
      <c r="T272" s="30">
        <v>15000000</v>
      </c>
      <c r="U272" s="7"/>
      <c r="V272" s="7"/>
      <c r="W272" s="36"/>
      <c r="X272" s="36">
        <f t="shared" si="37"/>
        <v>0</v>
      </c>
      <c r="Y272" s="36">
        <f t="shared" si="38"/>
        <v>0</v>
      </c>
      <c r="Z272" s="36">
        <f t="shared" si="26"/>
        <v>84000000</v>
      </c>
      <c r="AA272" s="4"/>
      <c r="AB272" s="83" t="s">
        <v>3846</v>
      </c>
    </row>
    <row r="273" spans="1:28" ht="46.8" x14ac:dyDescent="0.3">
      <c r="A273" s="7" t="s">
        <v>53</v>
      </c>
      <c r="B273" s="6">
        <v>257</v>
      </c>
      <c r="C273" s="7" t="s">
        <v>1003</v>
      </c>
      <c r="D273" s="7" t="s">
        <v>1026</v>
      </c>
      <c r="E273" s="5"/>
      <c r="F273" s="7" t="s">
        <v>1027</v>
      </c>
      <c r="G273" s="5"/>
      <c r="H273" s="5"/>
      <c r="I273" s="7" t="s">
        <v>1028</v>
      </c>
      <c r="J273" s="7" t="s">
        <v>24</v>
      </c>
      <c r="K273" s="7" t="s">
        <v>1029</v>
      </c>
      <c r="L273" s="3">
        <v>1052260732</v>
      </c>
      <c r="M273" s="5"/>
      <c r="N273" s="3">
        <v>15000000</v>
      </c>
      <c r="O273" s="40"/>
      <c r="P273" s="40"/>
      <c r="Q273" s="3">
        <f t="shared" si="36"/>
        <v>1067260732</v>
      </c>
      <c r="R273" s="3">
        <v>1052260732</v>
      </c>
      <c r="S273" s="7"/>
      <c r="T273" s="30">
        <v>15000000</v>
      </c>
      <c r="U273" s="7"/>
      <c r="V273" s="7"/>
      <c r="W273" s="36"/>
      <c r="X273" s="36">
        <f t="shared" si="37"/>
        <v>0</v>
      </c>
      <c r="Y273" s="36">
        <f t="shared" si="38"/>
        <v>0</v>
      </c>
      <c r="Z273" s="36">
        <f t="shared" si="26"/>
        <v>0</v>
      </c>
      <c r="AA273" s="4"/>
      <c r="AB273" s="79"/>
    </row>
    <row r="274" spans="1:28" ht="46.8" x14ac:dyDescent="0.3">
      <c r="A274" s="7" t="s">
        <v>53</v>
      </c>
      <c r="B274" s="6">
        <v>258</v>
      </c>
      <c r="C274" s="7" t="s">
        <v>1003</v>
      </c>
      <c r="D274" s="7" t="s">
        <v>1030</v>
      </c>
      <c r="E274" s="7" t="s">
        <v>1031</v>
      </c>
      <c r="F274" s="7" t="s">
        <v>1032</v>
      </c>
      <c r="G274" s="5"/>
      <c r="H274" s="5"/>
      <c r="I274" s="7" t="s">
        <v>1033</v>
      </c>
      <c r="J274" s="7" t="s">
        <v>24</v>
      </c>
      <c r="K274" s="7" t="s">
        <v>109</v>
      </c>
      <c r="L274" s="3">
        <v>10000000</v>
      </c>
      <c r="M274" s="3">
        <v>1123847280</v>
      </c>
      <c r="N274" s="3">
        <v>15000000</v>
      </c>
      <c r="O274" s="40"/>
      <c r="P274" s="40"/>
      <c r="Q274" s="3">
        <f t="shared" si="36"/>
        <v>1148847280</v>
      </c>
      <c r="R274" s="3">
        <v>10000000</v>
      </c>
      <c r="S274" s="3">
        <v>1123847280</v>
      </c>
      <c r="T274" s="72"/>
      <c r="U274" s="7"/>
      <c r="V274" s="7"/>
      <c r="W274" s="36"/>
      <c r="X274" s="36">
        <f t="shared" si="37"/>
        <v>0</v>
      </c>
      <c r="Y274" s="36">
        <f t="shared" si="38"/>
        <v>15000000</v>
      </c>
      <c r="Z274" s="36">
        <f t="shared" ref="Z274:Z340" si="39">P274-U274</f>
        <v>0</v>
      </c>
      <c r="AA274" s="4"/>
      <c r="AB274" s="79"/>
    </row>
    <row r="275" spans="1:28" ht="46.8" x14ac:dyDescent="0.3">
      <c r="A275" s="7" t="s">
        <v>46</v>
      </c>
      <c r="B275" s="6">
        <v>259</v>
      </c>
      <c r="C275" s="7" t="s">
        <v>1003</v>
      </c>
      <c r="D275" s="7" t="s">
        <v>1034</v>
      </c>
      <c r="E275" s="5"/>
      <c r="F275" s="7" t="s">
        <v>1035</v>
      </c>
      <c r="G275" s="5"/>
      <c r="H275" s="5"/>
      <c r="I275" s="7" t="s">
        <v>1036</v>
      </c>
      <c r="J275" s="7" t="s">
        <v>24</v>
      </c>
      <c r="K275" s="7" t="s">
        <v>1037</v>
      </c>
      <c r="L275" s="3">
        <v>2010547710</v>
      </c>
      <c r="M275" s="5"/>
      <c r="N275" s="3">
        <v>7500000</v>
      </c>
      <c r="O275" s="40"/>
      <c r="P275" s="40"/>
      <c r="Q275" s="3">
        <f t="shared" si="36"/>
        <v>2018047710</v>
      </c>
      <c r="R275" s="3">
        <v>2010547710</v>
      </c>
      <c r="S275" s="7"/>
      <c r="T275" s="30">
        <v>7500000</v>
      </c>
      <c r="U275" s="7"/>
      <c r="V275" s="7"/>
      <c r="W275" s="36"/>
      <c r="X275" s="36">
        <f t="shared" si="37"/>
        <v>0</v>
      </c>
      <c r="Y275" s="36">
        <f t="shared" si="38"/>
        <v>0</v>
      </c>
      <c r="Z275" s="36">
        <f t="shared" si="39"/>
        <v>0</v>
      </c>
      <c r="AA275" s="4"/>
      <c r="AB275" s="79"/>
    </row>
    <row r="276" spans="1:28" ht="31.2" x14ac:dyDescent="0.3">
      <c r="A276" s="7" t="s">
        <v>62</v>
      </c>
      <c r="B276" s="6">
        <v>260</v>
      </c>
      <c r="C276" s="7" t="s">
        <v>1038</v>
      </c>
      <c r="D276" s="7" t="s">
        <v>1039</v>
      </c>
      <c r="E276" s="5"/>
      <c r="F276" s="7" t="s">
        <v>1040</v>
      </c>
      <c r="G276" s="5"/>
      <c r="H276" s="5"/>
      <c r="I276" s="7" t="s">
        <v>1041</v>
      </c>
      <c r="J276" s="7" t="s">
        <v>24</v>
      </c>
      <c r="K276" s="7" t="s">
        <v>1042</v>
      </c>
      <c r="L276" s="3">
        <v>3081534920</v>
      </c>
      <c r="M276" s="5"/>
      <c r="N276" s="3">
        <v>7500000</v>
      </c>
      <c r="O276" s="40"/>
      <c r="P276" s="40"/>
      <c r="Q276" s="3">
        <f t="shared" si="36"/>
        <v>3089034920</v>
      </c>
      <c r="R276" s="3">
        <v>3081534920</v>
      </c>
      <c r="S276" s="7"/>
      <c r="T276" s="72"/>
      <c r="U276" s="7"/>
      <c r="V276" s="7"/>
      <c r="W276" s="36"/>
      <c r="X276" s="36">
        <f t="shared" si="37"/>
        <v>0</v>
      </c>
      <c r="Y276" s="36">
        <f t="shared" si="38"/>
        <v>7500000</v>
      </c>
      <c r="Z276" s="36">
        <f t="shared" si="39"/>
        <v>0</v>
      </c>
      <c r="AA276" s="4"/>
      <c r="AB276" s="79"/>
    </row>
    <row r="277" spans="1:28" ht="31.2" x14ac:dyDescent="0.3">
      <c r="A277" s="41" t="s">
        <v>46</v>
      </c>
      <c r="B277" s="6">
        <v>261</v>
      </c>
      <c r="C277" s="41" t="s">
        <v>1038</v>
      </c>
      <c r="D277" s="41" t="s">
        <v>1043</v>
      </c>
      <c r="E277" s="5"/>
      <c r="F277" s="41" t="s">
        <v>1044</v>
      </c>
      <c r="G277" s="5"/>
      <c r="H277" s="5"/>
      <c r="I277" s="41" t="s">
        <v>1045</v>
      </c>
      <c r="J277" s="41" t="s">
        <v>24</v>
      </c>
      <c r="K277" s="41" t="s">
        <v>1046</v>
      </c>
      <c r="L277" s="9">
        <v>10000000</v>
      </c>
      <c r="M277" s="5"/>
      <c r="N277" s="9">
        <v>15000000</v>
      </c>
      <c r="O277" s="40"/>
      <c r="P277" s="40"/>
      <c r="Q277" s="3">
        <f t="shared" si="36"/>
        <v>25000000</v>
      </c>
      <c r="R277" s="9">
        <v>10000000</v>
      </c>
      <c r="S277" s="7"/>
      <c r="T277" s="32">
        <v>15000000</v>
      </c>
      <c r="U277" s="7"/>
      <c r="V277" s="7"/>
      <c r="W277" s="36"/>
      <c r="X277" s="36">
        <f t="shared" si="37"/>
        <v>0</v>
      </c>
      <c r="Y277" s="36">
        <f t="shared" si="38"/>
        <v>0</v>
      </c>
      <c r="Z277" s="36">
        <f t="shared" si="39"/>
        <v>0</v>
      </c>
      <c r="AA277" s="4"/>
      <c r="AB277" s="79"/>
    </row>
    <row r="278" spans="1:28" ht="31.2" x14ac:dyDescent="0.3">
      <c r="A278" s="7" t="s">
        <v>62</v>
      </c>
      <c r="B278" s="6">
        <v>262</v>
      </c>
      <c r="C278" s="7" t="s">
        <v>1038</v>
      </c>
      <c r="D278" s="7" t="s">
        <v>1047</v>
      </c>
      <c r="E278" s="5"/>
      <c r="F278" s="7" t="s">
        <v>1048</v>
      </c>
      <c r="G278" s="5"/>
      <c r="H278" s="5"/>
      <c r="I278" s="7" t="s">
        <v>1049</v>
      </c>
      <c r="J278" s="7" t="s">
        <v>24</v>
      </c>
      <c r="K278" s="7" t="s">
        <v>1050</v>
      </c>
      <c r="L278" s="3">
        <v>3066157800</v>
      </c>
      <c r="M278" s="5"/>
      <c r="N278" s="3">
        <v>7500000</v>
      </c>
      <c r="O278" s="40"/>
      <c r="P278" s="40"/>
      <c r="Q278" s="3">
        <f t="shared" si="36"/>
        <v>3073657800</v>
      </c>
      <c r="R278" s="3">
        <v>3066157800</v>
      </c>
      <c r="S278" s="7"/>
      <c r="T278" s="30">
        <v>7500000</v>
      </c>
      <c r="U278" s="7"/>
      <c r="V278" s="7"/>
      <c r="W278" s="36"/>
      <c r="X278" s="36">
        <f t="shared" si="37"/>
        <v>0</v>
      </c>
      <c r="Y278" s="36">
        <f t="shared" si="38"/>
        <v>0</v>
      </c>
      <c r="Z278" s="36">
        <f t="shared" si="39"/>
        <v>0</v>
      </c>
      <c r="AA278" s="4"/>
      <c r="AB278" s="79"/>
    </row>
    <row r="279" spans="1:28" ht="31.2" x14ac:dyDescent="0.3">
      <c r="A279" s="7" t="s">
        <v>62</v>
      </c>
      <c r="B279" s="6">
        <v>263</v>
      </c>
      <c r="C279" s="7" t="s">
        <v>1038</v>
      </c>
      <c r="D279" s="7" t="s">
        <v>1051</v>
      </c>
      <c r="E279" s="5"/>
      <c r="F279" s="7" t="s">
        <v>1052</v>
      </c>
      <c r="G279" s="5"/>
      <c r="H279" s="5"/>
      <c r="I279" s="7" t="s">
        <v>1053</v>
      </c>
      <c r="J279" s="7" t="s">
        <v>24</v>
      </c>
      <c r="K279" s="7" t="s">
        <v>660</v>
      </c>
      <c r="L279" s="3">
        <v>6936573600</v>
      </c>
      <c r="M279" s="5"/>
      <c r="N279" s="3">
        <v>7500000</v>
      </c>
      <c r="O279" s="40"/>
      <c r="P279" s="40"/>
      <c r="Q279" s="3">
        <f t="shared" si="36"/>
        <v>6944073600</v>
      </c>
      <c r="R279" s="3">
        <v>6936573600</v>
      </c>
      <c r="S279" s="7"/>
      <c r="T279" s="72"/>
      <c r="U279" s="7"/>
      <c r="V279" s="7"/>
      <c r="W279" s="36"/>
      <c r="X279" s="36">
        <f t="shared" si="37"/>
        <v>0</v>
      </c>
      <c r="Y279" s="36">
        <f t="shared" si="38"/>
        <v>7500000</v>
      </c>
      <c r="Z279" s="36">
        <f t="shared" si="39"/>
        <v>0</v>
      </c>
      <c r="AA279" s="4"/>
      <c r="AB279" s="79"/>
    </row>
    <row r="280" spans="1:28" ht="62.4" x14ac:dyDescent="0.3">
      <c r="A280" s="7" t="s">
        <v>62</v>
      </c>
      <c r="B280" s="6">
        <v>264</v>
      </c>
      <c r="C280" s="7" t="s">
        <v>1038</v>
      </c>
      <c r="D280" s="7" t="s">
        <v>1054</v>
      </c>
      <c r="E280" s="5"/>
      <c r="F280" s="7" t="s">
        <v>1055</v>
      </c>
      <c r="G280" s="5"/>
      <c r="H280" s="5"/>
      <c r="I280" s="7" t="s">
        <v>1056</v>
      </c>
      <c r="J280" s="7" t="s">
        <v>24</v>
      </c>
      <c r="K280" s="7" t="s">
        <v>1057</v>
      </c>
      <c r="L280" s="3">
        <v>3906644000</v>
      </c>
      <c r="M280" s="5"/>
      <c r="N280" s="3">
        <v>7500000</v>
      </c>
      <c r="O280" s="40"/>
      <c r="P280" s="40"/>
      <c r="Q280" s="3">
        <f t="shared" si="36"/>
        <v>3914144000</v>
      </c>
      <c r="R280" s="3">
        <v>3906644000</v>
      </c>
      <c r="S280" s="7"/>
      <c r="T280" s="30">
        <v>7500000</v>
      </c>
      <c r="U280" s="7"/>
      <c r="V280" s="7"/>
      <c r="W280" s="36"/>
      <c r="X280" s="36">
        <f t="shared" si="37"/>
        <v>0</v>
      </c>
      <c r="Y280" s="36">
        <f t="shared" si="38"/>
        <v>0</v>
      </c>
      <c r="Z280" s="36">
        <f t="shared" si="39"/>
        <v>0</v>
      </c>
      <c r="AA280" s="4"/>
      <c r="AB280" s="79"/>
    </row>
    <row r="281" spans="1:28" ht="31.2" x14ac:dyDescent="0.3">
      <c r="A281" s="7" t="s">
        <v>62</v>
      </c>
      <c r="B281" s="6">
        <v>265</v>
      </c>
      <c r="C281" s="7" t="s">
        <v>1038</v>
      </c>
      <c r="D281" s="7" t="s">
        <v>1058</v>
      </c>
      <c r="E281" s="7" t="s">
        <v>389</v>
      </c>
      <c r="F281" s="7" t="s">
        <v>1059</v>
      </c>
      <c r="G281" s="7" t="s">
        <v>1060</v>
      </c>
      <c r="H281" s="5"/>
      <c r="I281" s="7" t="s">
        <v>1061</v>
      </c>
      <c r="J281" s="7" t="s">
        <v>24</v>
      </c>
      <c r="K281" s="7" t="s">
        <v>1062</v>
      </c>
      <c r="L281" s="3">
        <v>1851531912</v>
      </c>
      <c r="M281" s="3">
        <v>220049280</v>
      </c>
      <c r="N281" s="3">
        <v>15000000</v>
      </c>
      <c r="O281" s="40"/>
      <c r="P281" s="40"/>
      <c r="Q281" s="3">
        <f t="shared" si="36"/>
        <v>2086581192</v>
      </c>
      <c r="R281" s="3">
        <v>1851531912</v>
      </c>
      <c r="S281" s="3">
        <v>220049280</v>
      </c>
      <c r="T281" s="30">
        <v>15000000</v>
      </c>
      <c r="U281" s="7"/>
      <c r="V281" s="7"/>
      <c r="W281" s="36"/>
      <c r="X281" s="36">
        <f t="shared" si="37"/>
        <v>0</v>
      </c>
      <c r="Y281" s="36">
        <f t="shared" si="38"/>
        <v>0</v>
      </c>
      <c r="Z281" s="36">
        <f t="shared" si="39"/>
        <v>0</v>
      </c>
      <c r="AA281" s="4"/>
      <c r="AB281" s="79"/>
    </row>
    <row r="282" spans="1:28" ht="31.2" x14ac:dyDescent="0.3">
      <c r="A282" s="7" t="s">
        <v>62</v>
      </c>
      <c r="B282" s="6">
        <v>266</v>
      </c>
      <c r="C282" s="7" t="s">
        <v>1038</v>
      </c>
      <c r="D282" s="7" t="s">
        <v>1063</v>
      </c>
      <c r="E282" s="7" t="s">
        <v>259</v>
      </c>
      <c r="F282" s="7" t="s">
        <v>1064</v>
      </c>
      <c r="G282" s="7" t="s">
        <v>810</v>
      </c>
      <c r="H282" s="5"/>
      <c r="I282" s="7" t="s">
        <v>1065</v>
      </c>
      <c r="J282" s="7" t="s">
        <v>24</v>
      </c>
      <c r="K282" s="7" t="s">
        <v>1066</v>
      </c>
      <c r="L282" s="3">
        <v>4181618839</v>
      </c>
      <c r="M282" s="3">
        <v>765880262</v>
      </c>
      <c r="N282" s="9">
        <v>15000000</v>
      </c>
      <c r="O282" s="40"/>
      <c r="P282" s="40"/>
      <c r="Q282" s="3">
        <f t="shared" si="36"/>
        <v>4962499101</v>
      </c>
      <c r="R282" s="3">
        <v>4181618839</v>
      </c>
      <c r="S282" s="3">
        <v>765880262</v>
      </c>
      <c r="T282" s="30">
        <v>15000000</v>
      </c>
      <c r="U282" s="7"/>
      <c r="V282" s="7"/>
      <c r="W282" s="36"/>
      <c r="X282" s="36">
        <f t="shared" si="37"/>
        <v>0</v>
      </c>
      <c r="Y282" s="36">
        <f t="shared" si="38"/>
        <v>0</v>
      </c>
      <c r="Z282" s="36">
        <f t="shared" si="39"/>
        <v>0</v>
      </c>
      <c r="AA282" s="4"/>
      <c r="AB282" s="79"/>
    </row>
    <row r="283" spans="1:28" ht="31.2" x14ac:dyDescent="0.3">
      <c r="A283" s="7" t="s">
        <v>62</v>
      </c>
      <c r="B283" s="6">
        <v>267</v>
      </c>
      <c r="C283" s="7" t="s">
        <v>1038</v>
      </c>
      <c r="D283" s="7" t="s">
        <v>1067</v>
      </c>
      <c r="E283" s="7" t="s">
        <v>389</v>
      </c>
      <c r="F283" s="7" t="s">
        <v>1068</v>
      </c>
      <c r="G283" s="7" t="s">
        <v>1069</v>
      </c>
      <c r="H283" s="5"/>
      <c r="I283" s="7" t="s">
        <v>1070</v>
      </c>
      <c r="J283" s="7" t="s">
        <v>24</v>
      </c>
      <c r="K283" s="7" t="s">
        <v>1071</v>
      </c>
      <c r="L283" s="3">
        <v>1794046036</v>
      </c>
      <c r="M283" s="3">
        <v>186223104</v>
      </c>
      <c r="N283" s="3">
        <v>15000000</v>
      </c>
      <c r="O283" s="40"/>
      <c r="P283" s="40"/>
      <c r="Q283" s="3">
        <f t="shared" si="36"/>
        <v>1995269140</v>
      </c>
      <c r="R283" s="3">
        <v>1794046036</v>
      </c>
      <c r="S283" s="3">
        <v>186223104</v>
      </c>
      <c r="T283" s="30">
        <v>15000000</v>
      </c>
      <c r="U283" s="7"/>
      <c r="V283" s="7"/>
      <c r="W283" s="36"/>
      <c r="X283" s="36">
        <f t="shared" si="37"/>
        <v>0</v>
      </c>
      <c r="Y283" s="36">
        <f t="shared" si="38"/>
        <v>0</v>
      </c>
      <c r="Z283" s="36">
        <f t="shared" si="39"/>
        <v>0</v>
      </c>
      <c r="AA283" s="4"/>
      <c r="AB283" s="79"/>
    </row>
    <row r="284" spans="1:28" ht="46.8" x14ac:dyDescent="0.3">
      <c r="A284" s="7" t="s">
        <v>62</v>
      </c>
      <c r="B284" s="6">
        <v>268</v>
      </c>
      <c r="C284" s="7" t="s">
        <v>1072</v>
      </c>
      <c r="D284" s="7" t="s">
        <v>1073</v>
      </c>
      <c r="E284" s="5"/>
      <c r="F284" s="7" t="s">
        <v>1074</v>
      </c>
      <c r="G284" s="5"/>
      <c r="H284" s="5"/>
      <c r="I284" s="7" t="s">
        <v>1075</v>
      </c>
      <c r="J284" s="7" t="s">
        <v>24</v>
      </c>
      <c r="K284" s="7" t="s">
        <v>1076</v>
      </c>
      <c r="L284" s="3">
        <v>7086142428</v>
      </c>
      <c r="M284" s="5"/>
      <c r="N284" s="3">
        <v>7500000</v>
      </c>
      <c r="O284" s="40" t="s">
        <v>858</v>
      </c>
      <c r="P284" s="10">
        <v>72000000</v>
      </c>
      <c r="Q284" s="3">
        <f t="shared" si="36"/>
        <v>7165642428</v>
      </c>
      <c r="R284" s="3">
        <v>7086142428</v>
      </c>
      <c r="S284" s="7"/>
      <c r="T284" s="30">
        <v>7500000</v>
      </c>
      <c r="U284" s="3">
        <v>72000000</v>
      </c>
      <c r="V284" s="7"/>
      <c r="W284" s="36"/>
      <c r="X284" s="36">
        <f t="shared" si="37"/>
        <v>0</v>
      </c>
      <c r="Y284" s="36">
        <f t="shared" si="38"/>
        <v>0</v>
      </c>
      <c r="Z284" s="36">
        <f t="shared" si="39"/>
        <v>0</v>
      </c>
      <c r="AA284" s="4"/>
      <c r="AB284" s="79"/>
    </row>
    <row r="285" spans="1:28" ht="46.8" x14ac:dyDescent="0.3">
      <c r="A285" s="7" t="s">
        <v>53</v>
      </c>
      <c r="B285" s="6">
        <v>269</v>
      </c>
      <c r="C285" s="7" t="s">
        <v>1077</v>
      </c>
      <c r="D285" s="7" t="s">
        <v>1078</v>
      </c>
      <c r="E285" s="5"/>
      <c r="F285" s="7" t="s">
        <v>1079</v>
      </c>
      <c r="G285" s="5"/>
      <c r="H285" s="5"/>
      <c r="I285" s="7" t="s">
        <v>1080</v>
      </c>
      <c r="J285" s="7" t="s">
        <v>24</v>
      </c>
      <c r="K285" s="7" t="s">
        <v>1081</v>
      </c>
      <c r="L285" s="3">
        <v>6717999850</v>
      </c>
      <c r="M285" s="5"/>
      <c r="N285" s="3">
        <v>15000000</v>
      </c>
      <c r="O285" s="40"/>
      <c r="P285" s="40"/>
      <c r="Q285" s="3">
        <f t="shared" si="36"/>
        <v>6732999850</v>
      </c>
      <c r="R285" s="3">
        <v>6717999850</v>
      </c>
      <c r="S285" s="7"/>
      <c r="T285" s="30">
        <v>15000000</v>
      </c>
      <c r="U285" s="7"/>
      <c r="V285" s="7"/>
      <c r="W285" s="36"/>
      <c r="X285" s="36">
        <f t="shared" si="37"/>
        <v>0</v>
      </c>
      <c r="Y285" s="36">
        <f t="shared" si="38"/>
        <v>0</v>
      </c>
      <c r="Z285" s="36">
        <f t="shared" si="39"/>
        <v>0</v>
      </c>
      <c r="AA285" s="4"/>
      <c r="AB285" s="79"/>
    </row>
    <row r="286" spans="1:28" ht="31.2" x14ac:dyDescent="0.3">
      <c r="A286" s="7"/>
      <c r="B286" s="148">
        <v>270</v>
      </c>
      <c r="C286" s="148" t="s">
        <v>1077</v>
      </c>
      <c r="D286" s="7"/>
      <c r="E286" s="5"/>
      <c r="F286" s="148" t="s">
        <v>1085</v>
      </c>
      <c r="G286" s="5"/>
      <c r="H286" s="5"/>
      <c r="I286" s="148" t="s">
        <v>1087</v>
      </c>
      <c r="J286" s="148" t="s">
        <v>24</v>
      </c>
      <c r="K286" s="148" t="s">
        <v>1088</v>
      </c>
      <c r="L286" s="3"/>
      <c r="M286" s="5"/>
      <c r="N286" s="3"/>
      <c r="O286" s="40" t="s">
        <v>2730</v>
      </c>
      <c r="P286" s="10">
        <v>48000000</v>
      </c>
      <c r="Q286" s="3"/>
      <c r="R286" s="3"/>
      <c r="S286" s="7"/>
      <c r="T286" s="30"/>
      <c r="U286" s="3">
        <v>48000000</v>
      </c>
      <c r="V286" s="7"/>
      <c r="W286" s="36"/>
      <c r="X286" s="36"/>
      <c r="Y286" s="36"/>
      <c r="Z286" s="36">
        <f t="shared" si="39"/>
        <v>0</v>
      </c>
      <c r="AA286" s="4"/>
      <c r="AB286" s="79"/>
    </row>
    <row r="287" spans="1:28" ht="31.2" x14ac:dyDescent="0.3">
      <c r="A287" s="7" t="s">
        <v>62</v>
      </c>
      <c r="B287" s="149"/>
      <c r="C287" s="149"/>
      <c r="D287" s="7" t="s">
        <v>1082</v>
      </c>
      <c r="E287" s="7" t="s">
        <v>1084</v>
      </c>
      <c r="F287" s="149"/>
      <c r="G287" s="7" t="s">
        <v>1086</v>
      </c>
      <c r="H287" s="5"/>
      <c r="I287" s="149"/>
      <c r="J287" s="149"/>
      <c r="K287" s="149"/>
      <c r="L287" s="3">
        <v>1418361365</v>
      </c>
      <c r="M287" s="3">
        <v>168075878</v>
      </c>
      <c r="N287" s="3">
        <v>15000000</v>
      </c>
      <c r="O287" s="40" t="s">
        <v>3868</v>
      </c>
      <c r="P287" s="10">
        <v>48000000</v>
      </c>
      <c r="Q287" s="3">
        <f t="shared" si="36"/>
        <v>1649437243</v>
      </c>
      <c r="R287" s="3">
        <v>1418361365</v>
      </c>
      <c r="S287" s="3">
        <v>168075878</v>
      </c>
      <c r="T287" s="30">
        <v>15000000</v>
      </c>
      <c r="U287" s="3"/>
      <c r="V287" s="7"/>
      <c r="W287" s="36"/>
      <c r="X287" s="36">
        <f t="shared" si="37"/>
        <v>0</v>
      </c>
      <c r="Y287" s="36">
        <f t="shared" si="38"/>
        <v>0</v>
      </c>
      <c r="Z287" s="36">
        <f t="shared" si="39"/>
        <v>48000000</v>
      </c>
      <c r="AA287" s="4"/>
      <c r="AB287" s="80" t="s">
        <v>3864</v>
      </c>
    </row>
    <row r="288" spans="1:28" ht="46.8" x14ac:dyDescent="0.3">
      <c r="A288" s="7" t="s">
        <v>62</v>
      </c>
      <c r="B288" s="6">
        <v>271</v>
      </c>
      <c r="C288" s="7" t="s">
        <v>1077</v>
      </c>
      <c r="D288" s="7" t="s">
        <v>1089</v>
      </c>
      <c r="E288" s="5"/>
      <c r="F288" s="7" t="s">
        <v>1090</v>
      </c>
      <c r="G288" s="5"/>
      <c r="H288" s="5"/>
      <c r="I288" s="7" t="s">
        <v>1091</v>
      </c>
      <c r="J288" s="7" t="s">
        <v>24</v>
      </c>
      <c r="K288" s="7" t="s">
        <v>1092</v>
      </c>
      <c r="L288" s="3">
        <v>1566048680</v>
      </c>
      <c r="M288" s="5"/>
      <c r="N288" s="3">
        <v>7500000</v>
      </c>
      <c r="O288" s="40"/>
      <c r="P288" s="40"/>
      <c r="Q288" s="3">
        <f t="shared" si="36"/>
        <v>1573548680</v>
      </c>
      <c r="R288" s="3">
        <v>1566048680</v>
      </c>
      <c r="S288" s="7"/>
      <c r="T288" s="30">
        <v>7500000</v>
      </c>
      <c r="U288" s="7"/>
      <c r="V288" s="7"/>
      <c r="W288" s="36"/>
      <c r="X288" s="36">
        <f t="shared" si="37"/>
        <v>0</v>
      </c>
      <c r="Y288" s="36">
        <f t="shared" si="38"/>
        <v>0</v>
      </c>
      <c r="Z288" s="36">
        <f t="shared" si="39"/>
        <v>0</v>
      </c>
      <c r="AA288" s="4"/>
      <c r="AB288" s="79"/>
    </row>
    <row r="289" spans="1:28" ht="31.2" x14ac:dyDescent="0.3">
      <c r="A289" s="7" t="s">
        <v>62</v>
      </c>
      <c r="B289" s="6">
        <v>272</v>
      </c>
      <c r="C289" s="7" t="s">
        <v>1077</v>
      </c>
      <c r="D289" s="7" t="s">
        <v>1093</v>
      </c>
      <c r="E289" s="5"/>
      <c r="F289" s="7" t="s">
        <v>1094</v>
      </c>
      <c r="G289" s="5"/>
      <c r="H289" s="5"/>
      <c r="I289" s="7" t="s">
        <v>1095</v>
      </c>
      <c r="J289" s="7" t="s">
        <v>24</v>
      </c>
      <c r="K289" s="7" t="s">
        <v>1096</v>
      </c>
      <c r="L289" s="3">
        <v>1991452760</v>
      </c>
      <c r="M289" s="5"/>
      <c r="N289" s="3">
        <v>7500000</v>
      </c>
      <c r="O289" s="40"/>
      <c r="P289" s="40"/>
      <c r="Q289" s="3">
        <f t="shared" si="36"/>
        <v>1998952760</v>
      </c>
      <c r="R289" s="3">
        <v>1991452760</v>
      </c>
      <c r="S289" s="7"/>
      <c r="T289" s="30">
        <v>7500000</v>
      </c>
      <c r="U289" s="7"/>
      <c r="V289" s="7"/>
      <c r="W289" s="36"/>
      <c r="X289" s="36">
        <f t="shared" si="37"/>
        <v>0</v>
      </c>
      <c r="Y289" s="36">
        <f t="shared" si="38"/>
        <v>0</v>
      </c>
      <c r="Z289" s="36">
        <f t="shared" si="39"/>
        <v>0</v>
      </c>
      <c r="AA289" s="4"/>
      <c r="AB289" s="79"/>
    </row>
    <row r="290" spans="1:28" ht="78" x14ac:dyDescent="0.3">
      <c r="A290" s="7" t="s">
        <v>62</v>
      </c>
      <c r="B290" s="6">
        <v>273</v>
      </c>
      <c r="C290" s="7" t="s">
        <v>1077</v>
      </c>
      <c r="D290" s="7" t="s">
        <v>1097</v>
      </c>
      <c r="E290" s="5"/>
      <c r="F290" s="7" t="s">
        <v>1098</v>
      </c>
      <c r="G290" s="5"/>
      <c r="H290" s="5"/>
      <c r="I290" s="7" t="s">
        <v>1099</v>
      </c>
      <c r="J290" s="7" t="s">
        <v>24</v>
      </c>
      <c r="K290" s="7" t="s">
        <v>1100</v>
      </c>
      <c r="L290" s="3">
        <v>174451100</v>
      </c>
      <c r="M290" s="5"/>
      <c r="N290" s="3">
        <v>7500000</v>
      </c>
      <c r="O290" s="40"/>
      <c r="P290" s="40"/>
      <c r="Q290" s="3">
        <f t="shared" si="36"/>
        <v>181951100</v>
      </c>
      <c r="R290" s="3">
        <v>174451100</v>
      </c>
      <c r="S290" s="7"/>
      <c r="T290" s="30">
        <v>7500000</v>
      </c>
      <c r="U290" s="7"/>
      <c r="V290" s="7"/>
      <c r="W290" s="36"/>
      <c r="X290" s="36">
        <f t="shared" si="37"/>
        <v>0</v>
      </c>
      <c r="Y290" s="36">
        <f t="shared" si="38"/>
        <v>0</v>
      </c>
      <c r="Z290" s="36">
        <f t="shared" si="39"/>
        <v>0</v>
      </c>
      <c r="AA290" s="4"/>
      <c r="AB290" s="79"/>
    </row>
    <row r="291" spans="1:28" ht="46.8" x14ac:dyDescent="0.3">
      <c r="A291" s="7" t="s">
        <v>46</v>
      </c>
      <c r="B291" s="6">
        <v>274</v>
      </c>
      <c r="C291" s="7" t="s">
        <v>1077</v>
      </c>
      <c r="D291" s="7" t="s">
        <v>1101</v>
      </c>
      <c r="E291" s="5"/>
      <c r="F291" s="7" t="s">
        <v>1102</v>
      </c>
      <c r="G291" s="5"/>
      <c r="H291" s="5"/>
      <c r="I291" s="7" t="s">
        <v>1103</v>
      </c>
      <c r="J291" s="7" t="s">
        <v>24</v>
      </c>
      <c r="K291" s="7" t="s">
        <v>1104</v>
      </c>
      <c r="L291" s="3">
        <v>2784971220</v>
      </c>
      <c r="M291" s="5"/>
      <c r="N291" s="3">
        <v>7500000</v>
      </c>
      <c r="O291" s="40"/>
      <c r="P291" s="40"/>
      <c r="Q291" s="3">
        <f t="shared" si="36"/>
        <v>2792471220</v>
      </c>
      <c r="R291" s="3">
        <v>2784971220</v>
      </c>
      <c r="S291" s="7"/>
      <c r="T291" s="30">
        <v>7500000</v>
      </c>
      <c r="U291" s="7"/>
      <c r="V291" s="7"/>
      <c r="W291" s="36"/>
      <c r="X291" s="36">
        <f t="shared" si="37"/>
        <v>0</v>
      </c>
      <c r="Y291" s="36">
        <f t="shared" si="38"/>
        <v>0</v>
      </c>
      <c r="Z291" s="36">
        <f t="shared" si="39"/>
        <v>0</v>
      </c>
      <c r="AA291" s="4"/>
      <c r="AB291" s="79"/>
    </row>
    <row r="292" spans="1:28" ht="46.8" x14ac:dyDescent="0.3">
      <c r="A292" s="7" t="s">
        <v>46</v>
      </c>
      <c r="B292" s="6">
        <v>275</v>
      </c>
      <c r="C292" s="7" t="s">
        <v>1077</v>
      </c>
      <c r="D292" s="7" t="s">
        <v>1105</v>
      </c>
      <c r="E292" s="7" t="s">
        <v>1106</v>
      </c>
      <c r="F292" s="7" t="s">
        <v>1107</v>
      </c>
      <c r="G292" s="7" t="s">
        <v>1108</v>
      </c>
      <c r="H292" s="5"/>
      <c r="I292" s="7" t="s">
        <v>1109</v>
      </c>
      <c r="J292" s="7" t="s">
        <v>24</v>
      </c>
      <c r="K292" s="7" t="s">
        <v>1110</v>
      </c>
      <c r="L292" s="3">
        <v>4232294940</v>
      </c>
      <c r="M292" s="3">
        <v>752539900</v>
      </c>
      <c r="N292" s="3">
        <v>7500000</v>
      </c>
      <c r="O292" s="40"/>
      <c r="P292" s="40"/>
      <c r="Q292" s="3">
        <f t="shared" si="36"/>
        <v>4992334840</v>
      </c>
      <c r="R292" s="3">
        <v>4232294940</v>
      </c>
      <c r="S292" s="3">
        <v>752539900</v>
      </c>
      <c r="T292" s="30">
        <v>7500000</v>
      </c>
      <c r="U292" s="7"/>
      <c r="V292" s="7"/>
      <c r="W292" s="36"/>
      <c r="X292" s="36">
        <f t="shared" si="37"/>
        <v>0</v>
      </c>
      <c r="Y292" s="36">
        <f t="shared" si="38"/>
        <v>0</v>
      </c>
      <c r="Z292" s="36">
        <f t="shared" si="39"/>
        <v>0</v>
      </c>
      <c r="AA292" s="4"/>
      <c r="AB292" s="79"/>
    </row>
    <row r="293" spans="1:28" ht="31.2" x14ac:dyDescent="0.3">
      <c r="A293" s="7" t="s">
        <v>46</v>
      </c>
      <c r="B293" s="6">
        <v>276</v>
      </c>
      <c r="C293" s="7" t="s">
        <v>1077</v>
      </c>
      <c r="D293" s="7" t="s">
        <v>1111</v>
      </c>
      <c r="E293" s="5"/>
      <c r="F293" s="7" t="s">
        <v>1112</v>
      </c>
      <c r="G293" s="5"/>
      <c r="H293" s="5"/>
      <c r="I293" s="7" t="s">
        <v>1113</v>
      </c>
      <c r="J293" s="7" t="s">
        <v>24</v>
      </c>
      <c r="K293" s="7" t="s">
        <v>1114</v>
      </c>
      <c r="L293" s="3">
        <v>3383352800</v>
      </c>
      <c r="M293" s="5"/>
      <c r="N293" s="3">
        <v>7500000</v>
      </c>
      <c r="O293" s="40"/>
      <c r="P293" s="40"/>
      <c r="Q293" s="3">
        <f t="shared" si="36"/>
        <v>3390852800</v>
      </c>
      <c r="R293" s="3">
        <v>3383352800</v>
      </c>
      <c r="S293" s="7"/>
      <c r="T293" s="30">
        <v>7500000</v>
      </c>
      <c r="U293" s="7"/>
      <c r="V293" s="7"/>
      <c r="W293" s="36"/>
      <c r="X293" s="36">
        <f t="shared" si="37"/>
        <v>0</v>
      </c>
      <c r="Y293" s="36">
        <f t="shared" si="38"/>
        <v>0</v>
      </c>
      <c r="Z293" s="36">
        <f t="shared" si="39"/>
        <v>0</v>
      </c>
      <c r="AA293" s="4"/>
      <c r="AB293" s="79"/>
    </row>
    <row r="294" spans="1:28" ht="62.4" x14ac:dyDescent="0.3">
      <c r="A294" s="7" t="s">
        <v>62</v>
      </c>
      <c r="B294" s="6">
        <v>277</v>
      </c>
      <c r="C294" s="7" t="s">
        <v>1077</v>
      </c>
      <c r="D294" s="7" t="s">
        <v>1115</v>
      </c>
      <c r="E294" s="5"/>
      <c r="F294" s="7" t="s">
        <v>1117</v>
      </c>
      <c r="G294" s="5"/>
      <c r="H294" s="5"/>
      <c r="I294" s="7" t="s">
        <v>1118</v>
      </c>
      <c r="J294" s="7" t="s">
        <v>24</v>
      </c>
      <c r="K294" s="7" t="s">
        <v>1119</v>
      </c>
      <c r="L294" s="3">
        <v>4066100280</v>
      </c>
      <c r="M294" s="5"/>
      <c r="N294" s="3">
        <v>15000000</v>
      </c>
      <c r="O294" s="40" t="s">
        <v>1116</v>
      </c>
      <c r="P294" s="10">
        <v>48000000</v>
      </c>
      <c r="Q294" s="3">
        <f t="shared" si="36"/>
        <v>4129100280</v>
      </c>
      <c r="R294" s="3">
        <v>4066100280</v>
      </c>
      <c r="S294" s="7"/>
      <c r="T294" s="30">
        <v>15000000</v>
      </c>
      <c r="U294" s="10">
        <v>24000000</v>
      </c>
      <c r="V294" s="7"/>
      <c r="W294" s="36"/>
      <c r="X294" s="36">
        <f t="shared" si="37"/>
        <v>0</v>
      </c>
      <c r="Y294" s="36">
        <f t="shared" si="38"/>
        <v>0</v>
      </c>
      <c r="Z294" s="36">
        <f t="shared" si="39"/>
        <v>24000000</v>
      </c>
      <c r="AA294" s="4"/>
      <c r="AB294" s="80" t="s">
        <v>3827</v>
      </c>
    </row>
    <row r="295" spans="1:28" ht="31.2" x14ac:dyDescent="0.3">
      <c r="A295" s="7" t="s">
        <v>18</v>
      </c>
      <c r="B295" s="6">
        <v>278</v>
      </c>
      <c r="C295" s="7" t="s">
        <v>1077</v>
      </c>
      <c r="D295" s="7" t="s">
        <v>1120</v>
      </c>
      <c r="E295" s="5"/>
      <c r="F295" s="7" t="s">
        <v>1121</v>
      </c>
      <c r="G295" s="5"/>
      <c r="H295" s="5"/>
      <c r="I295" s="7" t="s">
        <v>1122</v>
      </c>
      <c r="J295" s="7" t="s">
        <v>24</v>
      </c>
      <c r="K295" s="7" t="s">
        <v>1123</v>
      </c>
      <c r="L295" s="3">
        <v>7304980</v>
      </c>
      <c r="M295" s="5"/>
      <c r="N295" s="3">
        <v>7500000</v>
      </c>
      <c r="O295" s="40"/>
      <c r="P295" s="40"/>
      <c r="Q295" s="3">
        <f t="shared" si="36"/>
        <v>14804980</v>
      </c>
      <c r="R295" s="7"/>
      <c r="S295" s="7"/>
      <c r="T295" s="72"/>
      <c r="U295" s="7"/>
      <c r="V295" s="7"/>
      <c r="W295" s="36">
        <v>7304980</v>
      </c>
      <c r="X295" s="36">
        <f t="shared" si="37"/>
        <v>0</v>
      </c>
      <c r="Y295" s="36">
        <f t="shared" si="38"/>
        <v>7500000</v>
      </c>
      <c r="Z295" s="36">
        <f t="shared" si="39"/>
        <v>0</v>
      </c>
      <c r="AA295" s="10">
        <v>7304980</v>
      </c>
      <c r="AB295" s="79"/>
    </row>
    <row r="296" spans="1:28" ht="31.2" customHeight="1" x14ac:dyDescent="0.3">
      <c r="A296" s="7"/>
      <c r="B296" s="148">
        <v>279</v>
      </c>
      <c r="C296" s="148" t="s">
        <v>1077</v>
      </c>
      <c r="D296" s="7"/>
      <c r="E296" s="5"/>
      <c r="F296" s="148" t="s">
        <v>1126</v>
      </c>
      <c r="G296" s="5"/>
      <c r="H296" s="5"/>
      <c r="I296" s="148" t="s">
        <v>1127</v>
      </c>
      <c r="J296" s="148" t="s">
        <v>24</v>
      </c>
      <c r="K296" s="148" t="s">
        <v>1128</v>
      </c>
      <c r="L296" s="3"/>
      <c r="M296" s="5"/>
      <c r="N296" s="3"/>
      <c r="O296" s="40" t="s">
        <v>3831</v>
      </c>
      <c r="P296" s="40">
        <v>24000000</v>
      </c>
      <c r="Q296" s="3"/>
      <c r="R296" s="7"/>
      <c r="S296" s="7"/>
      <c r="T296" s="72"/>
      <c r="U296" s="3">
        <v>24000000</v>
      </c>
      <c r="V296" s="7"/>
      <c r="W296" s="36"/>
      <c r="X296" s="36"/>
      <c r="Y296" s="36"/>
      <c r="Z296" s="36">
        <f t="shared" si="39"/>
        <v>0</v>
      </c>
      <c r="AA296" s="10"/>
      <c r="AB296" s="79"/>
    </row>
    <row r="297" spans="1:28" ht="46.8" x14ac:dyDescent="0.3">
      <c r="A297" s="7" t="s">
        <v>53</v>
      </c>
      <c r="B297" s="149"/>
      <c r="C297" s="149"/>
      <c r="D297" s="7" t="s">
        <v>1124</v>
      </c>
      <c r="E297" s="5"/>
      <c r="F297" s="149"/>
      <c r="G297" s="5"/>
      <c r="H297" s="5"/>
      <c r="I297" s="161"/>
      <c r="J297" s="149"/>
      <c r="K297" s="149"/>
      <c r="L297" s="3">
        <v>10000000</v>
      </c>
      <c r="M297" s="5"/>
      <c r="N297" s="3">
        <v>15000000</v>
      </c>
      <c r="O297" s="7" t="s">
        <v>3830</v>
      </c>
      <c r="P297" s="3">
        <v>48000000</v>
      </c>
      <c r="Q297" s="3">
        <f>L297+M297+N297+P297</f>
        <v>73000000</v>
      </c>
      <c r="R297" s="36">
        <v>10000000</v>
      </c>
      <c r="S297" s="7"/>
      <c r="T297" s="72"/>
      <c r="U297" s="3"/>
      <c r="V297" s="7"/>
      <c r="W297" s="36"/>
      <c r="X297" s="36">
        <f t="shared" ref="X297:Y300" si="40">M297-S297</f>
        <v>0</v>
      </c>
      <c r="Y297" s="36">
        <f t="shared" si="40"/>
        <v>15000000</v>
      </c>
      <c r="Z297" s="36">
        <f t="shared" si="39"/>
        <v>48000000</v>
      </c>
      <c r="AA297" s="4"/>
      <c r="AB297" s="83"/>
    </row>
    <row r="298" spans="1:28" ht="31.2" x14ac:dyDescent="0.3">
      <c r="A298" s="7" t="s">
        <v>62</v>
      </c>
      <c r="B298" s="6">
        <v>280</v>
      </c>
      <c r="C298" s="7" t="s">
        <v>1077</v>
      </c>
      <c r="D298" s="7" t="s">
        <v>1129</v>
      </c>
      <c r="E298" s="5"/>
      <c r="F298" s="7" t="s">
        <v>1130</v>
      </c>
      <c r="G298" s="5"/>
      <c r="H298" s="5"/>
      <c r="I298" s="7" t="s">
        <v>1131</v>
      </c>
      <c r="J298" s="7" t="s">
        <v>24</v>
      </c>
      <c r="K298" s="7" t="s">
        <v>1132</v>
      </c>
      <c r="L298" s="3">
        <v>27024704</v>
      </c>
      <c r="M298" s="5"/>
      <c r="N298" s="3">
        <v>7500000</v>
      </c>
      <c r="O298" s="40"/>
      <c r="P298" s="40"/>
      <c r="Q298" s="3">
        <f>L298+M298+N298+P298</f>
        <v>34524704</v>
      </c>
      <c r="R298" s="3">
        <v>27024704</v>
      </c>
      <c r="S298" s="7"/>
      <c r="T298" s="30">
        <v>7500000</v>
      </c>
      <c r="U298" s="7"/>
      <c r="V298" s="7"/>
      <c r="W298" s="36"/>
      <c r="X298" s="36">
        <f t="shared" si="40"/>
        <v>0</v>
      </c>
      <c r="Y298" s="36">
        <f t="shared" si="40"/>
        <v>0</v>
      </c>
      <c r="Z298" s="36">
        <f t="shared" si="39"/>
        <v>0</v>
      </c>
      <c r="AA298" s="4"/>
      <c r="AB298" s="79"/>
    </row>
    <row r="299" spans="1:28" ht="31.2" x14ac:dyDescent="0.3">
      <c r="A299" s="7" t="s">
        <v>62</v>
      </c>
      <c r="B299" s="6">
        <v>281</v>
      </c>
      <c r="C299" s="7" t="s">
        <v>1077</v>
      </c>
      <c r="D299" s="7" t="s">
        <v>1133</v>
      </c>
      <c r="E299" s="5"/>
      <c r="F299" s="7" t="s">
        <v>1134</v>
      </c>
      <c r="G299" s="5"/>
      <c r="H299" s="5"/>
      <c r="I299" s="7" t="s">
        <v>1135</v>
      </c>
      <c r="J299" s="7" t="s">
        <v>24</v>
      </c>
      <c r="K299" s="7" t="s">
        <v>1136</v>
      </c>
      <c r="L299" s="3">
        <v>8038952368</v>
      </c>
      <c r="M299" s="5"/>
      <c r="N299" s="3">
        <v>15000000</v>
      </c>
      <c r="O299" s="40"/>
      <c r="P299" s="40"/>
      <c r="Q299" s="3">
        <f>L299+M299+N299+P299</f>
        <v>8053952368</v>
      </c>
      <c r="R299" s="3">
        <v>8038952368</v>
      </c>
      <c r="S299" s="7"/>
      <c r="T299" s="30">
        <v>15000000</v>
      </c>
      <c r="U299" s="7"/>
      <c r="V299" s="7"/>
      <c r="W299" s="36"/>
      <c r="X299" s="36">
        <f t="shared" si="40"/>
        <v>0</v>
      </c>
      <c r="Y299" s="36">
        <f t="shared" si="40"/>
        <v>0</v>
      </c>
      <c r="Z299" s="36">
        <f t="shared" si="39"/>
        <v>0</v>
      </c>
      <c r="AA299" s="4"/>
      <c r="AB299" s="79"/>
    </row>
    <row r="300" spans="1:28" ht="46.8" x14ac:dyDescent="0.3">
      <c r="A300" s="7" t="s">
        <v>53</v>
      </c>
      <c r="B300" s="6">
        <v>282</v>
      </c>
      <c r="C300" s="7" t="s">
        <v>1077</v>
      </c>
      <c r="D300" s="7" t="s">
        <v>1137</v>
      </c>
      <c r="E300" s="7" t="s">
        <v>1138</v>
      </c>
      <c r="F300" s="7" t="s">
        <v>1139</v>
      </c>
      <c r="G300" s="7" t="s">
        <v>1140</v>
      </c>
      <c r="H300" s="5"/>
      <c r="I300" s="7" t="s">
        <v>1141</v>
      </c>
      <c r="J300" s="7" t="s">
        <v>24</v>
      </c>
      <c r="K300" s="7" t="s">
        <v>1142</v>
      </c>
      <c r="L300" s="3">
        <v>1650170289</v>
      </c>
      <c r="M300" s="3">
        <v>191680384</v>
      </c>
      <c r="N300" s="3">
        <v>15000000</v>
      </c>
      <c r="O300" s="40" t="s">
        <v>637</v>
      </c>
      <c r="P300" s="10">
        <v>24000000</v>
      </c>
      <c r="Q300" s="3">
        <f>L300+M300+N300+P300</f>
        <v>1880850673</v>
      </c>
      <c r="R300" s="3">
        <v>1650170289</v>
      </c>
      <c r="S300" s="3">
        <v>191680384</v>
      </c>
      <c r="T300" s="30">
        <v>15000000</v>
      </c>
      <c r="U300" s="3">
        <v>24000000</v>
      </c>
      <c r="V300" s="7"/>
      <c r="W300" s="36"/>
      <c r="X300" s="36">
        <f t="shared" si="40"/>
        <v>0</v>
      </c>
      <c r="Y300" s="36">
        <f t="shared" si="40"/>
        <v>0</v>
      </c>
      <c r="Z300" s="36">
        <f t="shared" si="39"/>
        <v>0</v>
      </c>
      <c r="AA300" s="4"/>
      <c r="AB300" s="79"/>
    </row>
    <row r="301" spans="1:28" ht="31.2" x14ac:dyDescent="0.3">
      <c r="A301" s="7"/>
      <c r="B301" s="148">
        <v>283</v>
      </c>
      <c r="C301" s="148" t="s">
        <v>1077</v>
      </c>
      <c r="D301" s="7"/>
      <c r="E301" s="7"/>
      <c r="F301" s="148" t="s">
        <v>1146</v>
      </c>
      <c r="G301" s="7"/>
      <c r="H301" s="5"/>
      <c r="I301" s="148" t="s">
        <v>1148</v>
      </c>
      <c r="J301" s="148" t="s">
        <v>24</v>
      </c>
      <c r="K301" s="148" t="s">
        <v>1149</v>
      </c>
      <c r="L301" s="3"/>
      <c r="M301" s="3"/>
      <c r="N301" s="3"/>
      <c r="O301" s="40" t="s">
        <v>1315</v>
      </c>
      <c r="P301" s="10">
        <v>30000000</v>
      </c>
      <c r="Q301" s="3"/>
      <c r="R301" s="3"/>
      <c r="S301" s="3"/>
      <c r="T301" s="30"/>
      <c r="U301" s="3">
        <v>30000000</v>
      </c>
      <c r="V301" s="7"/>
      <c r="W301" s="36"/>
      <c r="X301" s="36"/>
      <c r="Y301" s="36"/>
      <c r="Z301" s="36">
        <f t="shared" si="39"/>
        <v>0</v>
      </c>
      <c r="AA301" s="4"/>
      <c r="AB301" s="79"/>
    </row>
    <row r="302" spans="1:28" ht="31.2" x14ac:dyDescent="0.3">
      <c r="A302" s="7" t="s">
        <v>53</v>
      </c>
      <c r="B302" s="149"/>
      <c r="C302" s="149"/>
      <c r="D302" s="7" t="s">
        <v>1143</v>
      </c>
      <c r="E302" s="7" t="s">
        <v>1145</v>
      </c>
      <c r="F302" s="149"/>
      <c r="G302" s="7" t="s">
        <v>1147</v>
      </c>
      <c r="H302" s="5"/>
      <c r="I302" s="161"/>
      <c r="J302" s="149"/>
      <c r="K302" s="149"/>
      <c r="L302" s="3">
        <v>2351212760</v>
      </c>
      <c r="M302" s="3">
        <v>533938698</v>
      </c>
      <c r="N302" s="3">
        <v>15000000</v>
      </c>
      <c r="O302" s="7" t="s">
        <v>3832</v>
      </c>
      <c r="P302" s="3">
        <v>60000000</v>
      </c>
      <c r="Q302" s="3">
        <f t="shared" ref="Q302:Q333" si="41">L302+M302+N302+P302</f>
        <v>2960151458</v>
      </c>
      <c r="R302" s="3">
        <v>2351212760</v>
      </c>
      <c r="S302" s="3">
        <v>533938698</v>
      </c>
      <c r="T302" s="30">
        <v>15000000</v>
      </c>
      <c r="U302" s="3">
        <v>60000000</v>
      </c>
      <c r="V302" s="7"/>
      <c r="W302" s="36"/>
      <c r="X302" s="36">
        <f t="shared" ref="X302:X333" si="42">M302-S302</f>
        <v>0</v>
      </c>
      <c r="Y302" s="36">
        <f t="shared" ref="Y302:Y333" si="43">N302-T302</f>
        <v>0</v>
      </c>
      <c r="Z302" s="36">
        <f t="shared" si="39"/>
        <v>0</v>
      </c>
      <c r="AA302" s="4"/>
      <c r="AB302" s="83" t="s">
        <v>3861</v>
      </c>
    </row>
    <row r="303" spans="1:28" ht="46.8" x14ac:dyDescent="0.3">
      <c r="A303" s="7" t="s">
        <v>53</v>
      </c>
      <c r="B303" s="6">
        <v>284</v>
      </c>
      <c r="C303" s="7" t="s">
        <v>1077</v>
      </c>
      <c r="D303" s="7" t="s">
        <v>1150</v>
      </c>
      <c r="E303" s="7" t="s">
        <v>373</v>
      </c>
      <c r="F303" s="7" t="s">
        <v>1151</v>
      </c>
      <c r="G303" s="7" t="s">
        <v>1152</v>
      </c>
      <c r="H303" s="5"/>
      <c r="I303" s="7" t="s">
        <v>1153</v>
      </c>
      <c r="J303" s="7" t="s">
        <v>24</v>
      </c>
      <c r="K303" s="7" t="s">
        <v>1154</v>
      </c>
      <c r="L303" s="3">
        <v>8920129828</v>
      </c>
      <c r="M303" s="3">
        <v>80307072</v>
      </c>
      <c r="N303" s="3">
        <v>15000000</v>
      </c>
      <c r="O303" s="40"/>
      <c r="P303" s="40"/>
      <c r="Q303" s="3">
        <f t="shared" si="41"/>
        <v>9015436900</v>
      </c>
      <c r="R303" s="3">
        <v>8920129828</v>
      </c>
      <c r="S303" s="3">
        <v>80307072</v>
      </c>
      <c r="T303" s="30">
        <v>15000000</v>
      </c>
      <c r="U303" s="7"/>
      <c r="V303" s="7"/>
      <c r="W303" s="36"/>
      <c r="X303" s="36">
        <f t="shared" si="42"/>
        <v>0</v>
      </c>
      <c r="Y303" s="36">
        <f t="shared" si="43"/>
        <v>0</v>
      </c>
      <c r="Z303" s="36">
        <f t="shared" si="39"/>
        <v>0</v>
      </c>
      <c r="AA303" s="4"/>
      <c r="AB303" s="79"/>
    </row>
    <row r="304" spans="1:28" ht="46.8" x14ac:dyDescent="0.3">
      <c r="A304" s="7" t="s">
        <v>46</v>
      </c>
      <c r="B304" s="6">
        <v>285</v>
      </c>
      <c r="C304" s="7" t="s">
        <v>1077</v>
      </c>
      <c r="D304" s="7" t="s">
        <v>1155</v>
      </c>
      <c r="E304" s="7" t="s">
        <v>1157</v>
      </c>
      <c r="F304" s="7" t="s">
        <v>1158</v>
      </c>
      <c r="G304" s="5"/>
      <c r="H304" s="5"/>
      <c r="I304" s="7" t="s">
        <v>1159</v>
      </c>
      <c r="J304" s="7" t="s">
        <v>24</v>
      </c>
      <c r="K304" s="7" t="s">
        <v>1160</v>
      </c>
      <c r="L304" s="3">
        <v>10000000</v>
      </c>
      <c r="M304" s="3">
        <v>549345285</v>
      </c>
      <c r="N304" s="3">
        <v>15000000</v>
      </c>
      <c r="O304" s="40" t="s">
        <v>1156</v>
      </c>
      <c r="P304" s="10">
        <v>30000000</v>
      </c>
      <c r="Q304" s="3">
        <f t="shared" si="41"/>
        <v>604345285</v>
      </c>
      <c r="R304" s="3">
        <v>10000000</v>
      </c>
      <c r="S304" s="3">
        <v>549345285</v>
      </c>
      <c r="T304" s="30">
        <v>15000000</v>
      </c>
      <c r="U304" s="3">
        <v>30000000</v>
      </c>
      <c r="V304" s="7"/>
      <c r="W304" s="36"/>
      <c r="X304" s="36">
        <f t="shared" si="42"/>
        <v>0</v>
      </c>
      <c r="Y304" s="36">
        <f t="shared" si="43"/>
        <v>0</v>
      </c>
      <c r="Z304" s="36">
        <f t="shared" si="39"/>
        <v>0</v>
      </c>
      <c r="AA304" s="4"/>
      <c r="AB304" s="79"/>
    </row>
    <row r="305" spans="1:28" s="98" customFormat="1" ht="46.8" x14ac:dyDescent="0.3">
      <c r="A305" s="89" t="s">
        <v>46</v>
      </c>
      <c r="B305" s="99">
        <v>286</v>
      </c>
      <c r="C305" s="89" t="s">
        <v>1077</v>
      </c>
      <c r="D305" s="89" t="s">
        <v>1161</v>
      </c>
      <c r="E305" s="89" t="s">
        <v>1163</v>
      </c>
      <c r="F305" s="89" t="s">
        <v>1164</v>
      </c>
      <c r="G305" s="89" t="s">
        <v>1165</v>
      </c>
      <c r="H305" s="100"/>
      <c r="I305" s="89" t="s">
        <v>1166</v>
      </c>
      <c r="J305" s="89" t="s">
        <v>24</v>
      </c>
      <c r="K305" s="89" t="s">
        <v>1167</v>
      </c>
      <c r="L305" s="93">
        <v>2353030170</v>
      </c>
      <c r="M305" s="93">
        <v>56355840</v>
      </c>
      <c r="N305" s="93">
        <v>15000000</v>
      </c>
      <c r="O305" s="91" t="s">
        <v>1162</v>
      </c>
      <c r="P305" s="103">
        <v>48000000</v>
      </c>
      <c r="Q305" s="93">
        <f t="shared" si="41"/>
        <v>2472386010</v>
      </c>
      <c r="R305" s="93">
        <v>2353030170</v>
      </c>
      <c r="S305" s="93">
        <v>56355840</v>
      </c>
      <c r="T305" s="94">
        <v>15000000</v>
      </c>
      <c r="U305" s="89"/>
      <c r="V305" s="89"/>
      <c r="W305" s="95"/>
      <c r="X305" s="95">
        <f t="shared" si="42"/>
        <v>0</v>
      </c>
      <c r="Y305" s="95">
        <f t="shared" si="43"/>
        <v>0</v>
      </c>
      <c r="Z305" s="95">
        <f t="shared" si="39"/>
        <v>48000000</v>
      </c>
      <c r="AA305" s="96"/>
      <c r="AB305" s="97" t="s">
        <v>3852</v>
      </c>
    </row>
    <row r="306" spans="1:28" ht="46.8" x14ac:dyDescent="0.3">
      <c r="A306" s="7" t="s">
        <v>46</v>
      </c>
      <c r="B306" s="6">
        <v>287</v>
      </c>
      <c r="C306" s="7" t="s">
        <v>1077</v>
      </c>
      <c r="D306" s="7" t="s">
        <v>1168</v>
      </c>
      <c r="E306" s="5"/>
      <c r="F306" s="7" t="s">
        <v>1169</v>
      </c>
      <c r="G306" s="5"/>
      <c r="H306" s="5"/>
      <c r="I306" s="7" t="s">
        <v>1170</v>
      </c>
      <c r="J306" s="7" t="s">
        <v>24</v>
      </c>
      <c r="K306" s="7" t="s">
        <v>1171</v>
      </c>
      <c r="L306" s="3">
        <v>2858621000</v>
      </c>
      <c r="M306" s="5"/>
      <c r="N306" s="3">
        <v>15000000</v>
      </c>
      <c r="O306" s="40"/>
      <c r="P306" s="40"/>
      <c r="Q306" s="3">
        <f t="shared" si="41"/>
        <v>2873621000</v>
      </c>
      <c r="R306" s="3">
        <v>2858621000</v>
      </c>
      <c r="S306" s="7"/>
      <c r="T306" s="30">
        <v>15000000</v>
      </c>
      <c r="U306" s="7"/>
      <c r="V306" s="7"/>
      <c r="W306" s="36"/>
      <c r="X306" s="36">
        <f t="shared" si="42"/>
        <v>0</v>
      </c>
      <c r="Y306" s="36">
        <f t="shared" si="43"/>
        <v>0</v>
      </c>
      <c r="Z306" s="36">
        <f t="shared" si="39"/>
        <v>0</v>
      </c>
      <c r="AA306" s="4"/>
      <c r="AB306" s="79"/>
    </row>
    <row r="307" spans="1:28" ht="31.2" x14ac:dyDescent="0.3">
      <c r="A307" s="7" t="s">
        <v>53</v>
      </c>
      <c r="B307" s="6">
        <v>288</v>
      </c>
      <c r="C307" s="7" t="s">
        <v>1077</v>
      </c>
      <c r="D307" s="7" t="s">
        <v>1172</v>
      </c>
      <c r="E307" s="5"/>
      <c r="F307" s="7" t="s">
        <v>1173</v>
      </c>
      <c r="G307" s="5"/>
      <c r="H307" s="5"/>
      <c r="I307" s="7" t="s">
        <v>1174</v>
      </c>
      <c r="J307" s="7" t="s">
        <v>24</v>
      </c>
      <c r="K307" s="7" t="s">
        <v>1175</v>
      </c>
      <c r="L307" s="3">
        <v>1613980644</v>
      </c>
      <c r="M307" s="5"/>
      <c r="N307" s="3">
        <v>7500000</v>
      </c>
      <c r="O307" s="40"/>
      <c r="P307" s="40"/>
      <c r="Q307" s="3">
        <f t="shared" si="41"/>
        <v>1621480644</v>
      </c>
      <c r="R307" s="3">
        <v>1613980644</v>
      </c>
      <c r="S307" s="7"/>
      <c r="T307" s="72"/>
      <c r="U307" s="7"/>
      <c r="V307" s="7"/>
      <c r="W307" s="36"/>
      <c r="X307" s="36">
        <f t="shared" si="42"/>
        <v>0</v>
      </c>
      <c r="Y307" s="36">
        <f t="shared" si="43"/>
        <v>7500000</v>
      </c>
      <c r="Z307" s="36">
        <f t="shared" si="39"/>
        <v>0</v>
      </c>
      <c r="AA307" s="4"/>
      <c r="AB307" s="79"/>
    </row>
    <row r="308" spans="1:28" ht="46.8" x14ac:dyDescent="0.3">
      <c r="A308" s="7" t="s">
        <v>18</v>
      </c>
      <c r="B308" s="6">
        <v>289</v>
      </c>
      <c r="C308" s="7" t="s">
        <v>1077</v>
      </c>
      <c r="D308" s="7" t="s">
        <v>1176</v>
      </c>
      <c r="E308" s="5"/>
      <c r="F308" s="7" t="s">
        <v>1178</v>
      </c>
      <c r="G308" s="5"/>
      <c r="H308" s="5"/>
      <c r="I308" s="7" t="s">
        <v>1179</v>
      </c>
      <c r="J308" s="7" t="s">
        <v>24</v>
      </c>
      <c r="K308" s="7" t="s">
        <v>1180</v>
      </c>
      <c r="L308" s="3">
        <v>20692684800</v>
      </c>
      <c r="M308" s="5"/>
      <c r="N308" s="3">
        <v>15000000</v>
      </c>
      <c r="O308" s="7" t="s">
        <v>1177</v>
      </c>
      <c r="P308" s="3">
        <v>24000000</v>
      </c>
      <c r="Q308" s="3">
        <f t="shared" si="41"/>
        <v>20731684800</v>
      </c>
      <c r="R308" s="3">
        <v>20692684800</v>
      </c>
      <c r="S308" s="7"/>
      <c r="T308" s="72"/>
      <c r="U308" s="7"/>
      <c r="V308" s="7"/>
      <c r="W308" s="36"/>
      <c r="X308" s="36">
        <f t="shared" si="42"/>
        <v>0</v>
      </c>
      <c r="Y308" s="36">
        <f t="shared" si="43"/>
        <v>15000000</v>
      </c>
      <c r="Z308" s="36">
        <f t="shared" si="39"/>
        <v>24000000</v>
      </c>
      <c r="AA308" s="4"/>
      <c r="AB308" s="83"/>
    </row>
    <row r="309" spans="1:28" ht="31.2" x14ac:dyDescent="0.3">
      <c r="A309" s="7" t="s">
        <v>53</v>
      </c>
      <c r="B309" s="6">
        <v>290</v>
      </c>
      <c r="C309" s="7" t="s">
        <v>1077</v>
      </c>
      <c r="D309" s="7" t="s">
        <v>1181</v>
      </c>
      <c r="E309" s="5"/>
      <c r="F309" s="7" t="s">
        <v>1182</v>
      </c>
      <c r="G309" s="5"/>
      <c r="H309" s="5"/>
      <c r="I309" s="7" t="s">
        <v>1183</v>
      </c>
      <c r="J309" s="7" t="s">
        <v>24</v>
      </c>
      <c r="K309" s="7" t="s">
        <v>1184</v>
      </c>
      <c r="L309" s="3">
        <v>7632590744</v>
      </c>
      <c r="M309" s="5"/>
      <c r="N309" s="3">
        <v>15000000</v>
      </c>
      <c r="O309" s="40"/>
      <c r="P309" s="40"/>
      <c r="Q309" s="3">
        <f t="shared" si="41"/>
        <v>7647590744</v>
      </c>
      <c r="R309" s="3">
        <v>7632590744</v>
      </c>
      <c r="S309" s="7"/>
      <c r="T309" s="72"/>
      <c r="U309" s="7"/>
      <c r="V309" s="7"/>
      <c r="W309" s="36"/>
      <c r="X309" s="36">
        <f t="shared" si="42"/>
        <v>0</v>
      </c>
      <c r="Y309" s="36">
        <f t="shared" si="43"/>
        <v>15000000</v>
      </c>
      <c r="Z309" s="36">
        <f t="shared" si="39"/>
        <v>0</v>
      </c>
      <c r="AA309" s="4"/>
      <c r="AB309" s="79"/>
    </row>
    <row r="310" spans="1:28" ht="46.8" x14ac:dyDescent="0.3">
      <c r="A310" s="7" t="s">
        <v>18</v>
      </c>
      <c r="B310" s="6">
        <v>291</v>
      </c>
      <c r="C310" s="7" t="s">
        <v>1077</v>
      </c>
      <c r="D310" s="7" t="s">
        <v>1185</v>
      </c>
      <c r="E310" s="7" t="s">
        <v>914</v>
      </c>
      <c r="F310" s="7" t="s">
        <v>1186</v>
      </c>
      <c r="G310" s="5"/>
      <c r="H310" s="5"/>
      <c r="I310" s="7" t="s">
        <v>1187</v>
      </c>
      <c r="J310" s="7" t="s">
        <v>24</v>
      </c>
      <c r="K310" s="7" t="s">
        <v>1188</v>
      </c>
      <c r="L310" s="3">
        <v>1875268327</v>
      </c>
      <c r="M310" s="3">
        <v>352224000</v>
      </c>
      <c r="N310" s="3">
        <v>15000000</v>
      </c>
      <c r="O310" s="40"/>
      <c r="P310" s="40"/>
      <c r="Q310" s="3">
        <f t="shared" si="41"/>
        <v>2242492327</v>
      </c>
      <c r="R310" s="3">
        <v>1875268327</v>
      </c>
      <c r="S310" s="3">
        <v>352224000</v>
      </c>
      <c r="T310" s="30">
        <v>15000000</v>
      </c>
      <c r="U310" s="7"/>
      <c r="V310" s="7"/>
      <c r="W310" s="36"/>
      <c r="X310" s="36">
        <f t="shared" si="42"/>
        <v>0</v>
      </c>
      <c r="Y310" s="36">
        <f t="shared" si="43"/>
        <v>0</v>
      </c>
      <c r="Z310" s="36">
        <f t="shared" si="39"/>
        <v>0</v>
      </c>
      <c r="AA310" s="4"/>
      <c r="AB310" s="79"/>
    </row>
    <row r="311" spans="1:28" ht="46.8" x14ac:dyDescent="0.3">
      <c r="A311" s="7" t="s">
        <v>18</v>
      </c>
      <c r="B311" s="6">
        <v>292</v>
      </c>
      <c r="C311" s="7" t="s">
        <v>1077</v>
      </c>
      <c r="D311" s="7" t="s">
        <v>1189</v>
      </c>
      <c r="E311" s="7" t="s">
        <v>764</v>
      </c>
      <c r="F311" s="7" t="s">
        <v>1190</v>
      </c>
      <c r="G311" s="7" t="s">
        <v>1191</v>
      </c>
      <c r="H311" s="5"/>
      <c r="I311" s="7" t="s">
        <v>1192</v>
      </c>
      <c r="J311" s="7" t="s">
        <v>24</v>
      </c>
      <c r="K311" s="7" t="s">
        <v>1193</v>
      </c>
      <c r="L311" s="3">
        <v>1054607500</v>
      </c>
      <c r="M311" s="3">
        <v>395612000</v>
      </c>
      <c r="N311" s="3">
        <v>7500000</v>
      </c>
      <c r="O311" s="40"/>
      <c r="P311" s="40"/>
      <c r="Q311" s="3">
        <f t="shared" si="41"/>
        <v>1457719500</v>
      </c>
      <c r="R311" s="3">
        <v>1054607500</v>
      </c>
      <c r="S311" s="3">
        <v>395612000</v>
      </c>
      <c r="T311" s="30">
        <v>7500000</v>
      </c>
      <c r="U311" s="7"/>
      <c r="V311" s="7"/>
      <c r="W311" s="36"/>
      <c r="X311" s="36">
        <f t="shared" si="42"/>
        <v>0</v>
      </c>
      <c r="Y311" s="36">
        <f t="shared" si="43"/>
        <v>0</v>
      </c>
      <c r="Z311" s="36">
        <f t="shared" si="39"/>
        <v>0</v>
      </c>
      <c r="AA311" s="4"/>
      <c r="AB311" s="79"/>
    </row>
    <row r="312" spans="1:28" ht="31.2" x14ac:dyDescent="0.3">
      <c r="A312" s="7" t="s">
        <v>62</v>
      </c>
      <c r="B312" s="6">
        <v>293</v>
      </c>
      <c r="C312" s="7" t="s">
        <v>1077</v>
      </c>
      <c r="D312" s="7" t="s">
        <v>1194</v>
      </c>
      <c r="E312" s="5"/>
      <c r="F312" s="7" t="s">
        <v>1195</v>
      </c>
      <c r="G312" s="5"/>
      <c r="H312" s="5"/>
      <c r="I312" s="7" t="s">
        <v>1196</v>
      </c>
      <c r="J312" s="7" t="s">
        <v>24</v>
      </c>
      <c r="K312" s="7" t="s">
        <v>1197</v>
      </c>
      <c r="L312" s="3">
        <v>4707710338</v>
      </c>
      <c r="M312" s="5"/>
      <c r="N312" s="3">
        <v>15000000</v>
      </c>
      <c r="O312" s="40"/>
      <c r="P312" s="40"/>
      <c r="Q312" s="3">
        <f t="shared" si="41"/>
        <v>4722710338</v>
      </c>
      <c r="R312" s="3">
        <v>4707710338</v>
      </c>
      <c r="S312" s="7"/>
      <c r="T312" s="30">
        <v>15000000</v>
      </c>
      <c r="U312" s="7"/>
      <c r="V312" s="7"/>
      <c r="W312" s="36"/>
      <c r="X312" s="36">
        <f t="shared" si="42"/>
        <v>0</v>
      </c>
      <c r="Y312" s="36">
        <f t="shared" si="43"/>
        <v>0</v>
      </c>
      <c r="Z312" s="36">
        <f t="shared" si="39"/>
        <v>0</v>
      </c>
      <c r="AA312" s="4"/>
      <c r="AB312" s="79"/>
    </row>
    <row r="313" spans="1:28" ht="31.2" x14ac:dyDescent="0.3">
      <c r="A313" s="7" t="s">
        <v>18</v>
      </c>
      <c r="B313" s="6">
        <v>294</v>
      </c>
      <c r="C313" s="7" t="s">
        <v>1077</v>
      </c>
      <c r="D313" s="7" t="s">
        <v>1198</v>
      </c>
      <c r="E313" s="5"/>
      <c r="F313" s="7" t="s">
        <v>1199</v>
      </c>
      <c r="G313" s="5"/>
      <c r="H313" s="5"/>
      <c r="I313" s="7" t="s">
        <v>1200</v>
      </c>
      <c r="J313" s="7" t="s">
        <v>24</v>
      </c>
      <c r="K313" s="7" t="s">
        <v>1201</v>
      </c>
      <c r="L313" s="3">
        <v>11923902764</v>
      </c>
      <c r="M313" s="5"/>
      <c r="N313" s="3">
        <v>15000000</v>
      </c>
      <c r="O313" s="40"/>
      <c r="P313" s="40"/>
      <c r="Q313" s="3">
        <f t="shared" si="41"/>
        <v>11938902764</v>
      </c>
      <c r="R313" s="3">
        <v>11923902764</v>
      </c>
      <c r="S313" s="7"/>
      <c r="T313" s="30">
        <v>15000000</v>
      </c>
      <c r="U313" s="7"/>
      <c r="V313" s="7"/>
      <c r="W313" s="36"/>
      <c r="X313" s="36">
        <f t="shared" si="42"/>
        <v>0</v>
      </c>
      <c r="Y313" s="36">
        <f t="shared" si="43"/>
        <v>0</v>
      </c>
      <c r="Z313" s="36">
        <f t="shared" si="39"/>
        <v>0</v>
      </c>
      <c r="AA313" s="4"/>
      <c r="AB313" s="79"/>
    </row>
    <row r="314" spans="1:28" ht="62.4" x14ac:dyDescent="0.3">
      <c r="A314" s="7" t="s">
        <v>18</v>
      </c>
      <c r="B314" s="6">
        <v>295</v>
      </c>
      <c r="C314" s="7" t="s">
        <v>1077</v>
      </c>
      <c r="D314" s="7" t="s">
        <v>1202</v>
      </c>
      <c r="E314" s="5"/>
      <c r="F314" s="7" t="s">
        <v>1204</v>
      </c>
      <c r="G314" s="5"/>
      <c r="H314" s="5"/>
      <c r="I314" s="7" t="s">
        <v>1205</v>
      </c>
      <c r="J314" s="7" t="s">
        <v>24</v>
      </c>
      <c r="K314" s="7" t="s">
        <v>1206</v>
      </c>
      <c r="L314" s="3">
        <v>10000000</v>
      </c>
      <c r="M314" s="5"/>
      <c r="N314" s="3">
        <v>15000000</v>
      </c>
      <c r="O314" s="40" t="s">
        <v>1203</v>
      </c>
      <c r="P314" s="10">
        <v>90000000</v>
      </c>
      <c r="Q314" s="3">
        <f t="shared" si="41"/>
        <v>115000000</v>
      </c>
      <c r="R314" s="3">
        <v>10000000</v>
      </c>
      <c r="S314" s="7"/>
      <c r="T314" s="30">
        <v>15000000</v>
      </c>
      <c r="U314" s="3">
        <v>90000000</v>
      </c>
      <c r="V314" s="7"/>
      <c r="W314" s="36"/>
      <c r="X314" s="36">
        <f t="shared" si="42"/>
        <v>0</v>
      </c>
      <c r="Y314" s="36">
        <f t="shared" si="43"/>
        <v>0</v>
      </c>
      <c r="Z314" s="36">
        <f t="shared" si="39"/>
        <v>0</v>
      </c>
      <c r="AA314" s="4"/>
      <c r="AB314" s="79"/>
    </row>
    <row r="315" spans="1:28" ht="46.8" x14ac:dyDescent="0.3">
      <c r="A315" s="7" t="s">
        <v>62</v>
      </c>
      <c r="B315" s="6">
        <v>296</v>
      </c>
      <c r="C315" s="7" t="s">
        <v>1077</v>
      </c>
      <c r="D315" s="7" t="s">
        <v>1207</v>
      </c>
      <c r="E315" s="7" t="s">
        <v>1209</v>
      </c>
      <c r="F315" s="7" t="s">
        <v>1210</v>
      </c>
      <c r="G315" s="7" t="s">
        <v>1211</v>
      </c>
      <c r="H315" s="5"/>
      <c r="I315" s="7" t="s">
        <v>1212</v>
      </c>
      <c r="J315" s="7" t="s">
        <v>24</v>
      </c>
      <c r="K315" s="7" t="s">
        <v>1213</v>
      </c>
      <c r="L315" s="3">
        <v>980624620</v>
      </c>
      <c r="M315" s="3">
        <v>7988680</v>
      </c>
      <c r="N315" s="3">
        <v>15000000</v>
      </c>
      <c r="O315" s="40" t="s">
        <v>1208</v>
      </c>
      <c r="P315" s="10">
        <v>24000000</v>
      </c>
      <c r="Q315" s="3">
        <f t="shared" si="41"/>
        <v>1027613300</v>
      </c>
      <c r="R315" s="3">
        <v>980624620</v>
      </c>
      <c r="S315" s="3">
        <v>7988680</v>
      </c>
      <c r="T315" s="30">
        <v>15000000</v>
      </c>
      <c r="U315" s="3">
        <v>24000000</v>
      </c>
      <c r="V315" s="7"/>
      <c r="W315" s="36"/>
      <c r="X315" s="36">
        <f t="shared" si="42"/>
        <v>0</v>
      </c>
      <c r="Y315" s="36">
        <f t="shared" si="43"/>
        <v>0</v>
      </c>
      <c r="Z315" s="36">
        <f t="shared" si="39"/>
        <v>0</v>
      </c>
      <c r="AA315" s="4"/>
      <c r="AB315" s="79"/>
    </row>
    <row r="316" spans="1:28" ht="46.8" x14ac:dyDescent="0.3">
      <c r="A316" s="7" t="s">
        <v>46</v>
      </c>
      <c r="B316" s="6">
        <v>297</v>
      </c>
      <c r="C316" s="7" t="s">
        <v>1077</v>
      </c>
      <c r="D316" s="7" t="s">
        <v>1214</v>
      </c>
      <c r="E316" s="5"/>
      <c r="F316" s="7" t="s">
        <v>1215</v>
      </c>
      <c r="G316" s="5"/>
      <c r="H316" s="5"/>
      <c r="I316" s="7" t="s">
        <v>1216</v>
      </c>
      <c r="J316" s="7" t="s">
        <v>24</v>
      </c>
      <c r="K316" s="7" t="s">
        <v>1217</v>
      </c>
      <c r="L316" s="6">
        <v>0</v>
      </c>
      <c r="M316" s="5"/>
      <c r="N316" s="3">
        <v>7500000</v>
      </c>
      <c r="O316" s="40"/>
      <c r="P316" s="40"/>
      <c r="Q316" s="3">
        <f t="shared" si="41"/>
        <v>7500000</v>
      </c>
      <c r="R316" s="6">
        <v>0</v>
      </c>
      <c r="S316" s="7"/>
      <c r="T316" s="72"/>
      <c r="U316" s="7"/>
      <c r="V316" s="7"/>
      <c r="W316" s="36"/>
      <c r="X316" s="36">
        <f t="shared" si="42"/>
        <v>0</v>
      </c>
      <c r="Y316" s="36">
        <f t="shared" si="43"/>
        <v>7500000</v>
      </c>
      <c r="Z316" s="36">
        <f t="shared" si="39"/>
        <v>0</v>
      </c>
      <c r="AA316" s="4"/>
      <c r="AB316" s="79"/>
    </row>
    <row r="317" spans="1:28" ht="62.4" x14ac:dyDescent="0.3">
      <c r="A317" s="7" t="s">
        <v>46</v>
      </c>
      <c r="B317" s="6">
        <v>298</v>
      </c>
      <c r="C317" s="7" t="s">
        <v>1077</v>
      </c>
      <c r="D317" s="7" t="s">
        <v>1218</v>
      </c>
      <c r="E317" s="7" t="s">
        <v>1219</v>
      </c>
      <c r="F317" s="7" t="s">
        <v>1220</v>
      </c>
      <c r="G317" s="7" t="s">
        <v>1221</v>
      </c>
      <c r="H317" s="5"/>
      <c r="I317" s="7" t="s">
        <v>1222</v>
      </c>
      <c r="J317" s="7" t="s">
        <v>24</v>
      </c>
      <c r="K317" s="7" t="s">
        <v>1223</v>
      </c>
      <c r="L317" s="3">
        <v>2444325600</v>
      </c>
      <c r="M317" s="3">
        <v>117744973</v>
      </c>
      <c r="N317" s="3">
        <v>7500000</v>
      </c>
      <c r="O317" s="40"/>
      <c r="P317" s="40"/>
      <c r="Q317" s="3">
        <f t="shared" si="41"/>
        <v>2569570573</v>
      </c>
      <c r="R317" s="3">
        <v>2444325600</v>
      </c>
      <c r="S317" s="3">
        <v>117744973</v>
      </c>
      <c r="T317" s="30">
        <v>7500000</v>
      </c>
      <c r="U317" s="7"/>
      <c r="V317" s="7"/>
      <c r="W317" s="36"/>
      <c r="X317" s="36">
        <f t="shared" si="42"/>
        <v>0</v>
      </c>
      <c r="Y317" s="36">
        <f t="shared" si="43"/>
        <v>0</v>
      </c>
      <c r="Z317" s="36">
        <f t="shared" si="39"/>
        <v>0</v>
      </c>
      <c r="AA317" s="4"/>
      <c r="AB317" s="79"/>
    </row>
    <row r="318" spans="1:28" ht="46.8" x14ac:dyDescent="0.3">
      <c r="A318" s="7" t="s">
        <v>53</v>
      </c>
      <c r="B318" s="6">
        <v>299</v>
      </c>
      <c r="C318" s="7" t="s">
        <v>1077</v>
      </c>
      <c r="D318" s="7" t="s">
        <v>1224</v>
      </c>
      <c r="E318" s="5"/>
      <c r="F318" s="7" t="s">
        <v>1225</v>
      </c>
      <c r="G318" s="5"/>
      <c r="H318" s="5"/>
      <c r="I318" s="7" t="s">
        <v>1226</v>
      </c>
      <c r="J318" s="7" t="s">
        <v>24</v>
      </c>
      <c r="K318" s="7" t="s">
        <v>1227</v>
      </c>
      <c r="L318" s="3">
        <v>5876123796</v>
      </c>
      <c r="M318" s="5"/>
      <c r="N318" s="3">
        <v>7500000</v>
      </c>
      <c r="O318" s="40"/>
      <c r="P318" s="40"/>
      <c r="Q318" s="3">
        <f t="shared" si="41"/>
        <v>5883623796</v>
      </c>
      <c r="R318" s="3">
        <v>5876123796</v>
      </c>
      <c r="S318" s="7"/>
      <c r="T318" s="30">
        <v>7500000</v>
      </c>
      <c r="U318" s="7"/>
      <c r="V318" s="7"/>
      <c r="W318" s="36"/>
      <c r="X318" s="36">
        <f t="shared" si="42"/>
        <v>0</v>
      </c>
      <c r="Y318" s="36">
        <f t="shared" si="43"/>
        <v>0</v>
      </c>
      <c r="Z318" s="36">
        <f t="shared" si="39"/>
        <v>0</v>
      </c>
      <c r="AA318" s="4"/>
      <c r="AB318" s="79"/>
    </row>
    <row r="319" spans="1:28" ht="46.8" x14ac:dyDescent="0.3">
      <c r="A319" s="7" t="s">
        <v>53</v>
      </c>
      <c r="B319" s="6">
        <v>300</v>
      </c>
      <c r="C319" s="7" t="s">
        <v>1077</v>
      </c>
      <c r="D319" s="7" t="s">
        <v>1228</v>
      </c>
      <c r="E319" s="5"/>
      <c r="F319" s="7" t="s">
        <v>1229</v>
      </c>
      <c r="G319" s="5"/>
      <c r="H319" s="5"/>
      <c r="I319" s="7" t="s">
        <v>1230</v>
      </c>
      <c r="J319" s="7" t="s">
        <v>24</v>
      </c>
      <c r="K319" s="7" t="s">
        <v>1231</v>
      </c>
      <c r="L319" s="3">
        <v>2259157980</v>
      </c>
      <c r="M319" s="5"/>
      <c r="N319" s="3">
        <v>15000000</v>
      </c>
      <c r="O319" s="40"/>
      <c r="P319" s="40"/>
      <c r="Q319" s="3">
        <f t="shared" si="41"/>
        <v>2274157980</v>
      </c>
      <c r="R319" s="3">
        <v>2259157980</v>
      </c>
      <c r="S319" s="7"/>
      <c r="T319" s="30">
        <v>15000000</v>
      </c>
      <c r="U319" s="7"/>
      <c r="V319" s="7"/>
      <c r="W319" s="36"/>
      <c r="X319" s="36">
        <f t="shared" si="42"/>
        <v>0</v>
      </c>
      <c r="Y319" s="36">
        <f t="shared" si="43"/>
        <v>0</v>
      </c>
      <c r="Z319" s="36">
        <f t="shared" si="39"/>
        <v>0</v>
      </c>
      <c r="AA319" s="4"/>
      <c r="AB319" s="79"/>
    </row>
    <row r="320" spans="1:28" ht="62.4" x14ac:dyDescent="0.3">
      <c r="A320" s="7" t="s">
        <v>62</v>
      </c>
      <c r="B320" s="6">
        <v>301</v>
      </c>
      <c r="C320" s="7" t="s">
        <v>1077</v>
      </c>
      <c r="D320" s="7" t="s">
        <v>1232</v>
      </c>
      <c r="E320" s="7" t="s">
        <v>1234</v>
      </c>
      <c r="F320" s="7" t="s">
        <v>1235</v>
      </c>
      <c r="G320" s="7" t="s">
        <v>1236</v>
      </c>
      <c r="H320" s="5"/>
      <c r="I320" s="7" t="s">
        <v>1237</v>
      </c>
      <c r="J320" s="7" t="s">
        <v>24</v>
      </c>
      <c r="K320" s="7" t="s">
        <v>1238</v>
      </c>
      <c r="L320" s="3">
        <v>3088919040</v>
      </c>
      <c r="M320" s="3">
        <v>465246720</v>
      </c>
      <c r="N320" s="3">
        <v>15000000</v>
      </c>
      <c r="O320" s="40" t="s">
        <v>1233</v>
      </c>
      <c r="P320" s="10">
        <v>36000000</v>
      </c>
      <c r="Q320" s="3">
        <f t="shared" si="41"/>
        <v>3605165760</v>
      </c>
      <c r="R320" s="3">
        <v>3088919040</v>
      </c>
      <c r="S320" s="3">
        <v>278415360</v>
      </c>
      <c r="T320" s="30">
        <v>15000000</v>
      </c>
      <c r="U320" s="3">
        <v>36000000</v>
      </c>
      <c r="V320" s="7"/>
      <c r="W320" s="36"/>
      <c r="X320" s="36">
        <f t="shared" si="42"/>
        <v>186831360</v>
      </c>
      <c r="Y320" s="36">
        <f t="shared" si="43"/>
        <v>0</v>
      </c>
      <c r="Z320" s="36">
        <f t="shared" si="39"/>
        <v>0</v>
      </c>
      <c r="AA320" s="4"/>
      <c r="AB320" s="79"/>
    </row>
    <row r="321" spans="1:28" ht="46.8" x14ac:dyDescent="0.3">
      <c r="A321" s="7" t="s">
        <v>46</v>
      </c>
      <c r="B321" s="6">
        <v>302</v>
      </c>
      <c r="C321" s="7" t="s">
        <v>1077</v>
      </c>
      <c r="D321" s="7" t="s">
        <v>1239</v>
      </c>
      <c r="E321" s="5"/>
      <c r="F321" s="7" t="s">
        <v>1240</v>
      </c>
      <c r="G321" s="5"/>
      <c r="H321" s="5"/>
      <c r="I321" s="7" t="s">
        <v>1241</v>
      </c>
      <c r="J321" s="7" t="s">
        <v>24</v>
      </c>
      <c r="K321" s="7" t="s">
        <v>1242</v>
      </c>
      <c r="L321" s="3">
        <v>3566485286</v>
      </c>
      <c r="M321" s="5"/>
      <c r="N321" s="3">
        <v>15000000</v>
      </c>
      <c r="O321" s="40"/>
      <c r="P321" s="40"/>
      <c r="Q321" s="3">
        <f t="shared" si="41"/>
        <v>3581485286</v>
      </c>
      <c r="R321" s="3">
        <v>3566485286</v>
      </c>
      <c r="S321" s="7"/>
      <c r="T321" s="30">
        <v>15000000</v>
      </c>
      <c r="U321" s="7"/>
      <c r="V321" s="7"/>
      <c r="W321" s="36"/>
      <c r="X321" s="36">
        <f t="shared" si="42"/>
        <v>0</v>
      </c>
      <c r="Y321" s="36">
        <f t="shared" si="43"/>
        <v>0</v>
      </c>
      <c r="Z321" s="36">
        <f t="shared" si="39"/>
        <v>0</v>
      </c>
      <c r="AA321" s="4"/>
      <c r="AB321" s="79"/>
    </row>
    <row r="322" spans="1:28" ht="46.8" x14ac:dyDescent="0.3">
      <c r="A322" s="7" t="s">
        <v>62</v>
      </c>
      <c r="B322" s="6">
        <v>303</v>
      </c>
      <c r="C322" s="7" t="s">
        <v>1077</v>
      </c>
      <c r="D322" s="7" t="s">
        <v>1243</v>
      </c>
      <c r="E322" s="5"/>
      <c r="F322" s="7" t="s">
        <v>1244</v>
      </c>
      <c r="G322" s="5"/>
      <c r="H322" s="5"/>
      <c r="I322" s="7" t="s">
        <v>1245</v>
      </c>
      <c r="J322" s="7" t="s">
        <v>24</v>
      </c>
      <c r="K322" s="7" t="s">
        <v>1246</v>
      </c>
      <c r="L322" s="3">
        <v>861548648</v>
      </c>
      <c r="M322" s="5"/>
      <c r="N322" s="3">
        <v>7500000</v>
      </c>
      <c r="O322" s="40"/>
      <c r="P322" s="40"/>
      <c r="Q322" s="3">
        <f t="shared" si="41"/>
        <v>869048648</v>
      </c>
      <c r="R322" s="3">
        <v>861548648</v>
      </c>
      <c r="S322" s="7"/>
      <c r="T322" s="30">
        <v>7500000</v>
      </c>
      <c r="U322" s="7"/>
      <c r="V322" s="7"/>
      <c r="W322" s="36"/>
      <c r="X322" s="36">
        <f t="shared" si="42"/>
        <v>0</v>
      </c>
      <c r="Y322" s="36">
        <f t="shared" si="43"/>
        <v>0</v>
      </c>
      <c r="Z322" s="36">
        <f t="shared" si="39"/>
        <v>0</v>
      </c>
      <c r="AA322" s="4"/>
      <c r="AB322" s="79"/>
    </row>
    <row r="323" spans="1:28" ht="31.2" x14ac:dyDescent="0.3">
      <c r="A323" s="7" t="s">
        <v>62</v>
      </c>
      <c r="B323" s="6">
        <v>304</v>
      </c>
      <c r="C323" s="7" t="s">
        <v>1077</v>
      </c>
      <c r="D323" s="7" t="s">
        <v>1247</v>
      </c>
      <c r="E323" s="7" t="s">
        <v>373</v>
      </c>
      <c r="F323" s="7" t="s">
        <v>1249</v>
      </c>
      <c r="G323" s="7" t="s">
        <v>667</v>
      </c>
      <c r="H323" s="5"/>
      <c r="I323" s="7" t="s">
        <v>1250</v>
      </c>
      <c r="J323" s="7" t="s">
        <v>24</v>
      </c>
      <c r="K323" s="7" t="s">
        <v>1251</v>
      </c>
      <c r="L323" s="3">
        <v>5592906642</v>
      </c>
      <c r="M323" s="3">
        <v>713725056</v>
      </c>
      <c r="N323" s="3">
        <v>15000000</v>
      </c>
      <c r="O323" s="40" t="s">
        <v>1248</v>
      </c>
      <c r="P323" s="10">
        <v>24000000</v>
      </c>
      <c r="Q323" s="3">
        <f t="shared" si="41"/>
        <v>6345631698</v>
      </c>
      <c r="R323" s="3">
        <v>5592906642</v>
      </c>
      <c r="S323" s="3">
        <v>713725056</v>
      </c>
      <c r="T323" s="30">
        <v>15000000</v>
      </c>
      <c r="U323" s="3">
        <v>24000000</v>
      </c>
      <c r="V323" s="7"/>
      <c r="W323" s="36"/>
      <c r="X323" s="36">
        <f t="shared" si="42"/>
        <v>0</v>
      </c>
      <c r="Y323" s="36">
        <f t="shared" si="43"/>
        <v>0</v>
      </c>
      <c r="Z323" s="36">
        <f t="shared" si="39"/>
        <v>0</v>
      </c>
      <c r="AA323" s="4"/>
      <c r="AB323" s="79"/>
    </row>
    <row r="324" spans="1:28" ht="46.8" x14ac:dyDescent="0.3">
      <c r="A324" s="7" t="s">
        <v>62</v>
      </c>
      <c r="B324" s="6">
        <v>305</v>
      </c>
      <c r="C324" s="7" t="s">
        <v>1077</v>
      </c>
      <c r="D324" s="7" t="s">
        <v>1252</v>
      </c>
      <c r="E324" s="5"/>
      <c r="F324" s="7" t="s">
        <v>1253</v>
      </c>
      <c r="G324" s="5"/>
      <c r="H324" s="5"/>
      <c r="I324" s="7" t="s">
        <v>1254</v>
      </c>
      <c r="J324" s="7" t="s">
        <v>24</v>
      </c>
      <c r="K324" s="7" t="s">
        <v>1255</v>
      </c>
      <c r="L324" s="3">
        <v>454606610</v>
      </c>
      <c r="M324" s="5"/>
      <c r="N324" s="3">
        <v>15000000</v>
      </c>
      <c r="O324" s="40"/>
      <c r="P324" s="40"/>
      <c r="Q324" s="3">
        <f t="shared" si="41"/>
        <v>469606610</v>
      </c>
      <c r="R324" s="3">
        <v>454606610</v>
      </c>
      <c r="S324" s="7"/>
      <c r="T324" s="30">
        <v>15000000</v>
      </c>
      <c r="U324" s="7"/>
      <c r="V324" s="7"/>
      <c r="W324" s="36"/>
      <c r="X324" s="36">
        <f t="shared" si="42"/>
        <v>0</v>
      </c>
      <c r="Y324" s="36">
        <f t="shared" si="43"/>
        <v>0</v>
      </c>
      <c r="Z324" s="36">
        <f t="shared" si="39"/>
        <v>0</v>
      </c>
      <c r="AA324" s="4"/>
      <c r="AB324" s="79"/>
    </row>
    <row r="325" spans="1:28" ht="46.8" x14ac:dyDescent="0.3">
      <c r="A325" s="7" t="s">
        <v>46</v>
      </c>
      <c r="B325" s="6">
        <v>306</v>
      </c>
      <c r="C325" s="7" t="s">
        <v>1077</v>
      </c>
      <c r="D325" s="7" t="s">
        <v>1256</v>
      </c>
      <c r="E325" s="5"/>
      <c r="F325" s="7" t="s">
        <v>1257</v>
      </c>
      <c r="G325" s="5"/>
      <c r="H325" s="5"/>
      <c r="I325" s="7" t="s">
        <v>1109</v>
      </c>
      <c r="J325" s="7" t="s">
        <v>24</v>
      </c>
      <c r="K325" s="7" t="s">
        <v>1258</v>
      </c>
      <c r="L325" s="3">
        <v>2354986700</v>
      </c>
      <c r="M325" s="5"/>
      <c r="N325" s="3">
        <v>15000000</v>
      </c>
      <c r="O325" s="40"/>
      <c r="P325" s="40"/>
      <c r="Q325" s="3">
        <f t="shared" si="41"/>
        <v>2369986700</v>
      </c>
      <c r="R325" s="3">
        <v>2354986700</v>
      </c>
      <c r="S325" s="7"/>
      <c r="T325" s="30">
        <v>15000000</v>
      </c>
      <c r="U325" s="7"/>
      <c r="V325" s="7"/>
      <c r="W325" s="36"/>
      <c r="X325" s="36">
        <f t="shared" si="42"/>
        <v>0</v>
      </c>
      <c r="Y325" s="36">
        <f t="shared" si="43"/>
        <v>0</v>
      </c>
      <c r="Z325" s="36">
        <f t="shared" si="39"/>
        <v>0</v>
      </c>
      <c r="AA325" s="4"/>
      <c r="AB325" s="79"/>
    </row>
    <row r="326" spans="1:28" ht="46.8" x14ac:dyDescent="0.3">
      <c r="A326" s="7" t="s">
        <v>62</v>
      </c>
      <c r="B326" s="6">
        <v>307</v>
      </c>
      <c r="C326" s="7" t="s">
        <v>1077</v>
      </c>
      <c r="D326" s="7" t="s">
        <v>1259</v>
      </c>
      <c r="E326" s="7" t="s">
        <v>177</v>
      </c>
      <c r="F326" s="7" t="s">
        <v>1260</v>
      </c>
      <c r="G326" s="7" t="s">
        <v>1261</v>
      </c>
      <c r="H326" s="5"/>
      <c r="I326" s="7" t="s">
        <v>1262</v>
      </c>
      <c r="J326" s="7" t="s">
        <v>24</v>
      </c>
      <c r="K326" s="7" t="s">
        <v>1263</v>
      </c>
      <c r="L326" s="3">
        <v>3187632080</v>
      </c>
      <c r="M326" s="3">
        <v>304242048</v>
      </c>
      <c r="N326" s="3">
        <v>7500000</v>
      </c>
      <c r="O326" s="40"/>
      <c r="P326" s="40"/>
      <c r="Q326" s="3">
        <f t="shared" si="41"/>
        <v>3499374128</v>
      </c>
      <c r="R326" s="3">
        <v>3187632080</v>
      </c>
      <c r="S326" s="3">
        <v>304242048</v>
      </c>
      <c r="T326" s="30">
        <v>7500000</v>
      </c>
      <c r="U326" s="7"/>
      <c r="V326" s="7"/>
      <c r="W326" s="36"/>
      <c r="X326" s="36">
        <f t="shared" si="42"/>
        <v>0</v>
      </c>
      <c r="Y326" s="36">
        <f t="shared" si="43"/>
        <v>0</v>
      </c>
      <c r="Z326" s="36">
        <f t="shared" si="39"/>
        <v>0</v>
      </c>
      <c r="AA326" s="4"/>
      <c r="AB326" s="79"/>
    </row>
    <row r="327" spans="1:28" ht="46.8" x14ac:dyDescent="0.3">
      <c r="A327" s="7" t="s">
        <v>53</v>
      </c>
      <c r="B327" s="6">
        <v>308</v>
      </c>
      <c r="C327" s="7" t="s">
        <v>1077</v>
      </c>
      <c r="D327" s="7" t="s">
        <v>1264</v>
      </c>
      <c r="E327" s="5"/>
      <c r="F327" s="7" t="s">
        <v>1265</v>
      </c>
      <c r="G327" s="5"/>
      <c r="H327" s="5"/>
      <c r="I327" s="7" t="s">
        <v>1266</v>
      </c>
      <c r="J327" s="7" t="s">
        <v>24</v>
      </c>
      <c r="K327" s="7" t="s">
        <v>1267</v>
      </c>
      <c r="L327" s="3">
        <v>1759567324</v>
      </c>
      <c r="M327" s="5"/>
      <c r="N327" s="3">
        <v>7500000</v>
      </c>
      <c r="O327" s="40"/>
      <c r="P327" s="40"/>
      <c r="Q327" s="3">
        <f t="shared" si="41"/>
        <v>1767067324</v>
      </c>
      <c r="R327" s="3">
        <v>1759567324</v>
      </c>
      <c r="S327" s="7"/>
      <c r="T327" s="30">
        <v>7500000</v>
      </c>
      <c r="U327" s="7"/>
      <c r="V327" s="7"/>
      <c r="W327" s="36"/>
      <c r="X327" s="36">
        <f t="shared" si="42"/>
        <v>0</v>
      </c>
      <c r="Y327" s="36">
        <f t="shared" si="43"/>
        <v>0</v>
      </c>
      <c r="Z327" s="36">
        <f t="shared" si="39"/>
        <v>0</v>
      </c>
      <c r="AA327" s="4"/>
      <c r="AB327" s="79"/>
    </row>
    <row r="328" spans="1:28" ht="46.8" x14ac:dyDescent="0.3">
      <c r="A328" s="7" t="s">
        <v>53</v>
      </c>
      <c r="B328" s="6">
        <v>309</v>
      </c>
      <c r="C328" s="7" t="s">
        <v>1077</v>
      </c>
      <c r="D328" s="7" t="s">
        <v>1268</v>
      </c>
      <c r="E328" s="7" t="s">
        <v>1270</v>
      </c>
      <c r="F328" s="7" t="s">
        <v>1271</v>
      </c>
      <c r="G328" s="5"/>
      <c r="H328" s="5"/>
      <c r="I328" s="7" t="s">
        <v>1272</v>
      </c>
      <c r="J328" s="7" t="s">
        <v>24</v>
      </c>
      <c r="K328" s="7" t="s">
        <v>1273</v>
      </c>
      <c r="L328" s="3">
        <v>1344327673</v>
      </c>
      <c r="M328" s="3">
        <v>262193501</v>
      </c>
      <c r="N328" s="3">
        <v>15000000</v>
      </c>
      <c r="O328" s="40" t="s">
        <v>1269</v>
      </c>
      <c r="P328" s="10">
        <v>16000000</v>
      </c>
      <c r="Q328" s="3">
        <f t="shared" si="41"/>
        <v>1637521174</v>
      </c>
      <c r="R328" s="3">
        <v>1344327673</v>
      </c>
      <c r="S328" s="3">
        <v>262193501</v>
      </c>
      <c r="T328" s="30">
        <v>15000000</v>
      </c>
      <c r="U328" s="3">
        <v>16000000</v>
      </c>
      <c r="V328" s="7"/>
      <c r="W328" s="36"/>
      <c r="X328" s="36">
        <f t="shared" si="42"/>
        <v>0</v>
      </c>
      <c r="Y328" s="36">
        <f t="shared" si="43"/>
        <v>0</v>
      </c>
      <c r="Z328" s="36">
        <f t="shared" si="39"/>
        <v>0</v>
      </c>
      <c r="AA328" s="4"/>
      <c r="AB328" s="79"/>
    </row>
    <row r="329" spans="1:28" ht="31.2" x14ac:dyDescent="0.3">
      <c r="A329" s="7" t="s">
        <v>62</v>
      </c>
      <c r="B329" s="6">
        <v>310</v>
      </c>
      <c r="C329" s="7" t="s">
        <v>1077</v>
      </c>
      <c r="D329" s="7" t="s">
        <v>1274</v>
      </c>
      <c r="E329" s="7" t="s">
        <v>1275</v>
      </c>
      <c r="F329" s="7" t="s">
        <v>1276</v>
      </c>
      <c r="G329" s="7" t="s">
        <v>1277</v>
      </c>
      <c r="H329" s="5"/>
      <c r="I329" s="7" t="s">
        <v>1278</v>
      </c>
      <c r="J329" s="7" t="s">
        <v>24</v>
      </c>
      <c r="K329" s="7" t="s">
        <v>1279</v>
      </c>
      <c r="L329" s="3">
        <v>4651993608</v>
      </c>
      <c r="M329" s="3">
        <v>1194625056</v>
      </c>
      <c r="N329" s="3">
        <v>15000000</v>
      </c>
      <c r="O329" s="40"/>
      <c r="P329" s="40"/>
      <c r="Q329" s="3">
        <f t="shared" si="41"/>
        <v>5861618664</v>
      </c>
      <c r="R329" s="3">
        <v>4651993608</v>
      </c>
      <c r="S329" s="3">
        <v>1194625056</v>
      </c>
      <c r="T329" s="72"/>
      <c r="U329" s="7"/>
      <c r="V329" s="7"/>
      <c r="W329" s="36"/>
      <c r="X329" s="36">
        <f t="shared" si="42"/>
        <v>0</v>
      </c>
      <c r="Y329" s="36">
        <f t="shared" si="43"/>
        <v>15000000</v>
      </c>
      <c r="Z329" s="36">
        <f t="shared" si="39"/>
        <v>0</v>
      </c>
      <c r="AA329" s="4"/>
      <c r="AB329" s="79"/>
    </row>
    <row r="330" spans="1:28" ht="109.2" x14ac:dyDescent="0.3">
      <c r="A330" s="7" t="s">
        <v>18</v>
      </c>
      <c r="B330" s="6">
        <v>311</v>
      </c>
      <c r="C330" s="7" t="s">
        <v>1077</v>
      </c>
      <c r="D330" s="7" t="s">
        <v>1280</v>
      </c>
      <c r="E330" s="5"/>
      <c r="F330" s="7" t="s">
        <v>1281</v>
      </c>
      <c r="G330" s="7" t="s">
        <v>1282</v>
      </c>
      <c r="H330" s="5"/>
      <c r="I330" s="7" t="s">
        <v>1283</v>
      </c>
      <c r="J330" s="7" t="s">
        <v>24</v>
      </c>
      <c r="K330" s="7" t="s">
        <v>1284</v>
      </c>
      <c r="L330" s="3">
        <v>7228048500</v>
      </c>
      <c r="M330" s="5"/>
      <c r="N330" s="3">
        <v>7500000</v>
      </c>
      <c r="O330" s="40"/>
      <c r="P330" s="40"/>
      <c r="Q330" s="3">
        <f t="shared" si="41"/>
        <v>7235548500</v>
      </c>
      <c r="R330" s="7"/>
      <c r="S330" s="7"/>
      <c r="T330" s="72"/>
      <c r="U330" s="7"/>
      <c r="V330" s="7"/>
      <c r="W330" s="36">
        <v>7228048500</v>
      </c>
      <c r="X330" s="36">
        <f t="shared" si="42"/>
        <v>0</v>
      </c>
      <c r="Y330" s="36">
        <f t="shared" si="43"/>
        <v>7500000</v>
      </c>
      <c r="Z330" s="36">
        <f t="shared" si="39"/>
        <v>0</v>
      </c>
      <c r="AA330" s="10">
        <v>7228048500</v>
      </c>
      <c r="AB330" s="79"/>
    </row>
    <row r="331" spans="1:28" ht="62.4" x14ac:dyDescent="0.3">
      <c r="A331" s="7" t="s">
        <v>18</v>
      </c>
      <c r="B331" s="6">
        <v>312</v>
      </c>
      <c r="C331" s="7" t="s">
        <v>1077</v>
      </c>
      <c r="D331" s="7" t="s">
        <v>1285</v>
      </c>
      <c r="E331" s="5"/>
      <c r="F331" s="7" t="s">
        <v>1286</v>
      </c>
      <c r="G331" s="5"/>
      <c r="H331" s="5"/>
      <c r="I331" s="7" t="s">
        <v>1287</v>
      </c>
      <c r="J331" s="7" t="s">
        <v>24</v>
      </c>
      <c r="K331" s="7" t="s">
        <v>1288</v>
      </c>
      <c r="L331" s="6">
        <v>0</v>
      </c>
      <c r="M331" s="5"/>
      <c r="N331" s="3">
        <v>7500000</v>
      </c>
      <c r="O331" s="40"/>
      <c r="P331" s="40"/>
      <c r="Q331" s="3">
        <f t="shared" si="41"/>
        <v>7500000</v>
      </c>
      <c r="R331" s="6">
        <v>0</v>
      </c>
      <c r="S331" s="7"/>
      <c r="T331" s="72"/>
      <c r="U331" s="7"/>
      <c r="V331" s="7"/>
      <c r="W331" s="36"/>
      <c r="X331" s="36">
        <f t="shared" si="42"/>
        <v>0</v>
      </c>
      <c r="Y331" s="36">
        <f t="shared" si="43"/>
        <v>7500000</v>
      </c>
      <c r="Z331" s="36">
        <f t="shared" si="39"/>
        <v>0</v>
      </c>
      <c r="AA331" s="4"/>
      <c r="AB331" s="79"/>
    </row>
    <row r="332" spans="1:28" ht="46.8" x14ac:dyDescent="0.3">
      <c r="A332" s="7" t="s">
        <v>62</v>
      </c>
      <c r="B332" s="6">
        <v>313</v>
      </c>
      <c r="C332" s="7" t="s">
        <v>1077</v>
      </c>
      <c r="D332" s="7" t="s">
        <v>1289</v>
      </c>
      <c r="E332" s="7" t="s">
        <v>259</v>
      </c>
      <c r="F332" s="7" t="s">
        <v>1290</v>
      </c>
      <c r="G332" s="7" t="s">
        <v>718</v>
      </c>
      <c r="H332" s="5"/>
      <c r="I332" s="7" t="s">
        <v>1291</v>
      </c>
      <c r="J332" s="7" t="s">
        <v>24</v>
      </c>
      <c r="K332" s="7" t="s">
        <v>1292</v>
      </c>
      <c r="L332" s="3">
        <v>1181168502</v>
      </c>
      <c r="M332" s="3">
        <v>283193856</v>
      </c>
      <c r="N332" s="3">
        <v>7500000</v>
      </c>
      <c r="O332" s="40"/>
      <c r="P332" s="40"/>
      <c r="Q332" s="3">
        <f t="shared" si="41"/>
        <v>1471862358</v>
      </c>
      <c r="R332" s="3">
        <v>1181168502</v>
      </c>
      <c r="S332" s="3">
        <v>283193856</v>
      </c>
      <c r="T332" s="72"/>
      <c r="U332" s="7"/>
      <c r="V332" s="7"/>
      <c r="W332" s="36"/>
      <c r="X332" s="36">
        <f t="shared" si="42"/>
        <v>0</v>
      </c>
      <c r="Y332" s="36">
        <f t="shared" si="43"/>
        <v>7500000</v>
      </c>
      <c r="Z332" s="36">
        <f t="shared" si="39"/>
        <v>0</v>
      </c>
      <c r="AA332" s="4"/>
      <c r="AB332" s="79"/>
    </row>
    <row r="333" spans="1:28" ht="31.2" x14ac:dyDescent="0.3">
      <c r="A333" s="7" t="s">
        <v>62</v>
      </c>
      <c r="B333" s="6">
        <v>314</v>
      </c>
      <c r="C333" s="7" t="s">
        <v>1077</v>
      </c>
      <c r="D333" s="7" t="s">
        <v>1293</v>
      </c>
      <c r="E333" s="5"/>
      <c r="F333" s="7" t="s">
        <v>1294</v>
      </c>
      <c r="G333" s="5"/>
      <c r="H333" s="5"/>
      <c r="I333" s="7" t="s">
        <v>1295</v>
      </c>
      <c r="J333" s="7" t="s">
        <v>24</v>
      </c>
      <c r="K333" s="7" t="s">
        <v>1296</v>
      </c>
      <c r="L333" s="3">
        <v>1634644894</v>
      </c>
      <c r="M333" s="5"/>
      <c r="N333" s="3">
        <v>7500000</v>
      </c>
      <c r="O333" s="40"/>
      <c r="P333" s="40"/>
      <c r="Q333" s="3">
        <f t="shared" si="41"/>
        <v>1642144894</v>
      </c>
      <c r="R333" s="3">
        <v>1634644894</v>
      </c>
      <c r="S333" s="7"/>
      <c r="T333" s="30">
        <v>7500000</v>
      </c>
      <c r="U333" s="7"/>
      <c r="V333" s="7"/>
      <c r="W333" s="36"/>
      <c r="X333" s="36">
        <f t="shared" si="42"/>
        <v>0</v>
      </c>
      <c r="Y333" s="36">
        <f t="shared" si="43"/>
        <v>0</v>
      </c>
      <c r="Z333" s="36">
        <f t="shared" si="39"/>
        <v>0</v>
      </c>
      <c r="AA333" s="4"/>
      <c r="AB333" s="79"/>
    </row>
    <row r="334" spans="1:28" ht="31.2" x14ac:dyDescent="0.3">
      <c r="A334" s="7" t="s">
        <v>18</v>
      </c>
      <c r="B334" s="6">
        <v>315</v>
      </c>
      <c r="C334" s="7" t="s">
        <v>1077</v>
      </c>
      <c r="D334" s="7" t="s">
        <v>1297</v>
      </c>
      <c r="E334" s="5"/>
      <c r="F334" s="7" t="s">
        <v>1298</v>
      </c>
      <c r="G334" s="5"/>
      <c r="H334" s="5"/>
      <c r="I334" s="7" t="s">
        <v>1299</v>
      </c>
      <c r="J334" s="7" t="s">
        <v>24</v>
      </c>
      <c r="K334" s="7" t="s">
        <v>1300</v>
      </c>
      <c r="L334" s="3">
        <v>2916899139</v>
      </c>
      <c r="M334" s="5"/>
      <c r="N334" s="3">
        <v>7500000</v>
      </c>
      <c r="O334" s="40"/>
      <c r="P334" s="40"/>
      <c r="Q334" s="3">
        <f t="shared" ref="Q334:Q365" si="44">L334+M334+N334+P334</f>
        <v>2924399139</v>
      </c>
      <c r="R334" s="3">
        <v>2916899139</v>
      </c>
      <c r="S334" s="7"/>
      <c r="T334" s="30">
        <v>7500000</v>
      </c>
      <c r="U334" s="7"/>
      <c r="V334" s="7"/>
      <c r="W334" s="36"/>
      <c r="X334" s="36">
        <f t="shared" ref="X334:X365" si="45">M334-S334</f>
        <v>0</v>
      </c>
      <c r="Y334" s="36">
        <f t="shared" ref="Y334:Y365" si="46">N334-T334</f>
        <v>0</v>
      </c>
      <c r="Z334" s="36">
        <f t="shared" si="39"/>
        <v>0</v>
      </c>
      <c r="AA334" s="4"/>
      <c r="AB334" s="79"/>
    </row>
    <row r="335" spans="1:28" ht="46.8" x14ac:dyDescent="0.3">
      <c r="A335" s="41" t="s">
        <v>46</v>
      </c>
      <c r="B335" s="6">
        <v>316</v>
      </c>
      <c r="C335" s="41" t="s">
        <v>1077</v>
      </c>
      <c r="D335" s="41" t="s">
        <v>1301</v>
      </c>
      <c r="E335" s="5"/>
      <c r="F335" s="41" t="s">
        <v>1302</v>
      </c>
      <c r="G335" s="5"/>
      <c r="H335" s="5"/>
      <c r="I335" s="41" t="s">
        <v>1303</v>
      </c>
      <c r="J335" s="41" t="s">
        <v>24</v>
      </c>
      <c r="K335" s="7" t="s">
        <v>1304</v>
      </c>
      <c r="L335" s="9">
        <v>2045718784</v>
      </c>
      <c r="M335" s="5"/>
      <c r="N335" s="9">
        <v>15000000</v>
      </c>
      <c r="O335" s="40"/>
      <c r="P335" s="40"/>
      <c r="Q335" s="3">
        <f t="shared" si="44"/>
        <v>2060718784</v>
      </c>
      <c r="R335" s="9">
        <v>2045718784</v>
      </c>
      <c r="S335" s="7"/>
      <c r="T335" s="32">
        <v>15000000</v>
      </c>
      <c r="U335" s="7"/>
      <c r="V335" s="7"/>
      <c r="W335" s="36"/>
      <c r="X335" s="36">
        <f t="shared" si="45"/>
        <v>0</v>
      </c>
      <c r="Y335" s="36">
        <f t="shared" si="46"/>
        <v>0</v>
      </c>
      <c r="Z335" s="36">
        <f t="shared" si="39"/>
        <v>0</v>
      </c>
      <c r="AA335" s="4"/>
      <c r="AB335" s="79"/>
    </row>
    <row r="336" spans="1:28" ht="46.8" x14ac:dyDescent="0.3">
      <c r="A336" s="7" t="s">
        <v>46</v>
      </c>
      <c r="B336" s="6">
        <v>317</v>
      </c>
      <c r="C336" s="7" t="s">
        <v>1077</v>
      </c>
      <c r="D336" s="7" t="s">
        <v>1305</v>
      </c>
      <c r="E336" s="7" t="s">
        <v>158</v>
      </c>
      <c r="F336" s="7" t="s">
        <v>1306</v>
      </c>
      <c r="G336" s="7" t="s">
        <v>1307</v>
      </c>
      <c r="H336" s="5"/>
      <c r="I336" s="7" t="s">
        <v>1308</v>
      </c>
      <c r="J336" s="7" t="s">
        <v>24</v>
      </c>
      <c r="K336" s="7" t="s">
        <v>1309</v>
      </c>
      <c r="L336" s="3">
        <v>2002133194</v>
      </c>
      <c r="M336" s="3">
        <v>247965696</v>
      </c>
      <c r="N336" s="3">
        <v>15000000</v>
      </c>
      <c r="O336" s="40" t="s">
        <v>858</v>
      </c>
      <c r="P336" s="10">
        <v>30000000</v>
      </c>
      <c r="Q336" s="3">
        <f t="shared" si="44"/>
        <v>2295098890</v>
      </c>
      <c r="R336" s="3">
        <v>2002133194</v>
      </c>
      <c r="S336" s="7"/>
      <c r="T336" s="30">
        <v>15000000</v>
      </c>
      <c r="U336" s="3">
        <v>30000000</v>
      </c>
      <c r="V336" s="7"/>
      <c r="W336" s="36"/>
      <c r="X336" s="36">
        <f t="shared" si="45"/>
        <v>247965696</v>
      </c>
      <c r="Y336" s="36">
        <f t="shared" si="46"/>
        <v>0</v>
      </c>
      <c r="Z336" s="36">
        <f t="shared" si="39"/>
        <v>0</v>
      </c>
      <c r="AA336" s="4"/>
      <c r="AB336" s="79"/>
    </row>
    <row r="337" spans="1:28" ht="46.8" x14ac:dyDescent="0.3">
      <c r="A337" s="7" t="s">
        <v>18</v>
      </c>
      <c r="B337" s="6">
        <v>318</v>
      </c>
      <c r="C337" s="7" t="s">
        <v>1077</v>
      </c>
      <c r="D337" s="7" t="s">
        <v>1310</v>
      </c>
      <c r="E337" s="5"/>
      <c r="F337" s="7" t="s">
        <v>1311</v>
      </c>
      <c r="G337" s="5"/>
      <c r="H337" s="5"/>
      <c r="I337" s="7" t="s">
        <v>1312</v>
      </c>
      <c r="J337" s="7" t="s">
        <v>24</v>
      </c>
      <c r="K337" s="7" t="s">
        <v>1313</v>
      </c>
      <c r="L337" s="3">
        <v>698692632</v>
      </c>
      <c r="M337" s="5"/>
      <c r="N337" s="3">
        <v>7500000</v>
      </c>
      <c r="O337" s="40"/>
      <c r="P337" s="40"/>
      <c r="Q337" s="3">
        <f t="shared" si="44"/>
        <v>706192632</v>
      </c>
      <c r="R337" s="3">
        <v>698692632</v>
      </c>
      <c r="S337" s="7"/>
      <c r="T337" s="72"/>
      <c r="U337" s="7"/>
      <c r="V337" s="7"/>
      <c r="W337" s="36"/>
      <c r="X337" s="36">
        <f t="shared" si="45"/>
        <v>0</v>
      </c>
      <c r="Y337" s="36">
        <f t="shared" si="46"/>
        <v>7500000</v>
      </c>
      <c r="Z337" s="36">
        <f t="shared" si="39"/>
        <v>0</v>
      </c>
      <c r="AA337" s="4"/>
      <c r="AB337" s="79"/>
    </row>
    <row r="338" spans="1:28" ht="46.8" x14ac:dyDescent="0.3">
      <c r="A338" s="7" t="s">
        <v>46</v>
      </c>
      <c r="B338" s="6">
        <v>319</v>
      </c>
      <c r="C338" s="7" t="s">
        <v>1077</v>
      </c>
      <c r="D338" s="7" t="s">
        <v>1314</v>
      </c>
      <c r="E338" s="5"/>
      <c r="F338" s="7" t="s">
        <v>1316</v>
      </c>
      <c r="G338" s="5"/>
      <c r="H338" s="5"/>
      <c r="I338" s="7" t="s">
        <v>1317</v>
      </c>
      <c r="J338" s="7" t="s">
        <v>24</v>
      </c>
      <c r="K338" s="7" t="s">
        <v>1318</v>
      </c>
      <c r="L338" s="3">
        <v>10000000</v>
      </c>
      <c r="M338" s="5"/>
      <c r="N338" s="3">
        <v>15000000</v>
      </c>
      <c r="O338" s="40" t="s">
        <v>1315</v>
      </c>
      <c r="P338" s="10">
        <v>24000000</v>
      </c>
      <c r="Q338" s="3">
        <f t="shared" si="44"/>
        <v>49000000</v>
      </c>
      <c r="R338" s="3">
        <v>10000000</v>
      </c>
      <c r="S338" s="7"/>
      <c r="T338" s="30">
        <v>15000000</v>
      </c>
      <c r="U338" s="3">
        <v>24000000</v>
      </c>
      <c r="V338" s="7"/>
      <c r="W338" s="36"/>
      <c r="X338" s="36">
        <f t="shared" si="45"/>
        <v>0</v>
      </c>
      <c r="Y338" s="36">
        <f t="shared" si="46"/>
        <v>0</v>
      </c>
      <c r="Z338" s="36">
        <f t="shared" si="39"/>
        <v>0</v>
      </c>
      <c r="AA338" s="4"/>
      <c r="AB338" s="79"/>
    </row>
    <row r="339" spans="1:28" ht="31.2" x14ac:dyDescent="0.3">
      <c r="A339" s="7" t="s">
        <v>62</v>
      </c>
      <c r="B339" s="6">
        <v>320</v>
      </c>
      <c r="C339" s="7" t="s">
        <v>1077</v>
      </c>
      <c r="D339" s="7" t="s">
        <v>1319</v>
      </c>
      <c r="E339" s="5"/>
      <c r="F339" s="7" t="s">
        <v>1320</v>
      </c>
      <c r="G339" s="5"/>
      <c r="H339" s="5"/>
      <c r="I339" s="7" t="s">
        <v>1321</v>
      </c>
      <c r="J339" s="7" t="s">
        <v>24</v>
      </c>
      <c r="K339" s="7" t="s">
        <v>1322</v>
      </c>
      <c r="L339" s="3">
        <v>5629237075</v>
      </c>
      <c r="M339" s="5"/>
      <c r="N339" s="3">
        <v>15000000</v>
      </c>
      <c r="O339" s="40"/>
      <c r="P339" s="40"/>
      <c r="Q339" s="3">
        <f t="shared" si="44"/>
        <v>5644237075</v>
      </c>
      <c r="R339" s="3">
        <v>5629237075</v>
      </c>
      <c r="S339" s="7"/>
      <c r="T339" s="30">
        <v>15000000</v>
      </c>
      <c r="U339" s="7"/>
      <c r="V339" s="7"/>
      <c r="W339" s="36"/>
      <c r="X339" s="36">
        <f t="shared" si="45"/>
        <v>0</v>
      </c>
      <c r="Y339" s="36">
        <f t="shared" si="46"/>
        <v>0</v>
      </c>
      <c r="Z339" s="36">
        <f t="shared" si="39"/>
        <v>0</v>
      </c>
      <c r="AA339" s="4"/>
      <c r="AB339" s="79"/>
    </row>
    <row r="340" spans="1:28" ht="31.2" x14ac:dyDescent="0.3">
      <c r="A340" s="7" t="s">
        <v>18</v>
      </c>
      <c r="B340" s="6">
        <v>321</v>
      </c>
      <c r="C340" s="7" t="s">
        <v>1077</v>
      </c>
      <c r="D340" s="7" t="s">
        <v>1323</v>
      </c>
      <c r="E340" s="5"/>
      <c r="F340" s="7" t="s">
        <v>1324</v>
      </c>
      <c r="G340" s="5"/>
      <c r="H340" s="5"/>
      <c r="I340" s="7" t="s">
        <v>1325</v>
      </c>
      <c r="J340" s="7" t="s">
        <v>24</v>
      </c>
      <c r="K340" s="7" t="s">
        <v>1326</v>
      </c>
      <c r="L340" s="6">
        <v>0</v>
      </c>
      <c r="M340" s="5"/>
      <c r="N340" s="3">
        <v>7500000</v>
      </c>
      <c r="O340" s="40"/>
      <c r="P340" s="40"/>
      <c r="Q340" s="3">
        <f t="shared" si="44"/>
        <v>7500000</v>
      </c>
      <c r="R340" s="6">
        <v>0</v>
      </c>
      <c r="S340" s="7"/>
      <c r="T340" s="72"/>
      <c r="U340" s="7"/>
      <c r="V340" s="7"/>
      <c r="W340" s="36"/>
      <c r="X340" s="36">
        <f t="shared" si="45"/>
        <v>0</v>
      </c>
      <c r="Y340" s="36">
        <f t="shared" si="46"/>
        <v>7500000</v>
      </c>
      <c r="Z340" s="36">
        <f t="shared" si="39"/>
        <v>0</v>
      </c>
      <c r="AA340" s="4"/>
      <c r="AB340" s="79"/>
    </row>
    <row r="341" spans="1:28" ht="46.8" x14ac:dyDescent="0.3">
      <c r="A341" s="7" t="s">
        <v>62</v>
      </c>
      <c r="B341" s="6">
        <v>322</v>
      </c>
      <c r="C341" s="7" t="s">
        <v>1077</v>
      </c>
      <c r="D341" s="7" t="s">
        <v>1327</v>
      </c>
      <c r="E341" s="5"/>
      <c r="F341" s="7" t="s">
        <v>1328</v>
      </c>
      <c r="G341" s="5"/>
      <c r="H341" s="5"/>
      <c r="I341" s="7" t="s">
        <v>1329</v>
      </c>
      <c r="J341" s="7" t="s">
        <v>24</v>
      </c>
      <c r="K341" s="7" t="s">
        <v>1330</v>
      </c>
      <c r="L341" s="3">
        <v>1119302208</v>
      </c>
      <c r="M341" s="5"/>
      <c r="N341" s="3">
        <v>15000000</v>
      </c>
      <c r="O341" s="40"/>
      <c r="P341" s="40"/>
      <c r="Q341" s="3">
        <f t="shared" si="44"/>
        <v>1134302208</v>
      </c>
      <c r="R341" s="3">
        <v>1119302208</v>
      </c>
      <c r="S341" s="7"/>
      <c r="T341" s="30">
        <v>15000000</v>
      </c>
      <c r="U341" s="7"/>
      <c r="V341" s="7"/>
      <c r="W341" s="36"/>
      <c r="X341" s="36">
        <f t="shared" si="45"/>
        <v>0</v>
      </c>
      <c r="Y341" s="36">
        <f t="shared" si="46"/>
        <v>0</v>
      </c>
      <c r="Z341" s="36">
        <f t="shared" ref="Z341:Z405" si="47">P341-U341</f>
        <v>0</v>
      </c>
      <c r="AA341" s="4"/>
      <c r="AB341" s="79"/>
    </row>
    <row r="342" spans="1:28" ht="62.4" x14ac:dyDescent="0.3">
      <c r="A342" s="7" t="s">
        <v>53</v>
      </c>
      <c r="B342" s="6">
        <v>323</v>
      </c>
      <c r="C342" s="7" t="s">
        <v>1077</v>
      </c>
      <c r="D342" s="7" t="s">
        <v>1331</v>
      </c>
      <c r="E342" s="7" t="s">
        <v>177</v>
      </c>
      <c r="F342" s="7" t="s">
        <v>1332</v>
      </c>
      <c r="G342" s="7" t="s">
        <v>1333</v>
      </c>
      <c r="H342" s="5"/>
      <c r="I342" s="7" t="s">
        <v>1334</v>
      </c>
      <c r="J342" s="7" t="s">
        <v>24</v>
      </c>
      <c r="K342" s="7" t="s">
        <v>1335</v>
      </c>
      <c r="L342" s="3">
        <v>31787585620</v>
      </c>
      <c r="M342" s="3">
        <v>1149412000</v>
      </c>
      <c r="N342" s="3">
        <v>15000000</v>
      </c>
      <c r="O342" s="7" t="s">
        <v>182</v>
      </c>
      <c r="P342" s="3">
        <v>60000000</v>
      </c>
      <c r="Q342" s="3">
        <f t="shared" si="44"/>
        <v>33011997620</v>
      </c>
      <c r="R342" s="3">
        <v>31787585620</v>
      </c>
      <c r="S342" s="3">
        <v>1149412000</v>
      </c>
      <c r="T342" s="30">
        <v>15000000</v>
      </c>
      <c r="U342" s="7"/>
      <c r="V342" s="7"/>
      <c r="W342" s="36"/>
      <c r="X342" s="36">
        <f t="shared" si="45"/>
        <v>0</v>
      </c>
      <c r="Y342" s="36">
        <f t="shared" si="46"/>
        <v>0</v>
      </c>
      <c r="Z342" s="36">
        <f t="shared" si="47"/>
        <v>60000000</v>
      </c>
      <c r="AA342" s="4"/>
      <c r="AB342" s="83" t="s">
        <v>3847</v>
      </c>
    </row>
    <row r="343" spans="1:28" ht="31.2" x14ac:dyDescent="0.3">
      <c r="A343" s="7" t="s">
        <v>46</v>
      </c>
      <c r="B343" s="6">
        <v>324</v>
      </c>
      <c r="C343" s="7" t="s">
        <v>1077</v>
      </c>
      <c r="D343" s="7" t="s">
        <v>1336</v>
      </c>
      <c r="E343" s="5"/>
      <c r="F343" s="7" t="s">
        <v>1337</v>
      </c>
      <c r="G343" s="5"/>
      <c r="H343" s="5"/>
      <c r="I343" s="7" t="s">
        <v>1338</v>
      </c>
      <c r="J343" s="7" t="s">
        <v>24</v>
      </c>
      <c r="K343" s="7" t="s">
        <v>1339</v>
      </c>
      <c r="L343" s="3">
        <v>11003820410</v>
      </c>
      <c r="M343" s="5"/>
      <c r="N343" s="3">
        <v>15000000</v>
      </c>
      <c r="O343" s="40"/>
      <c r="P343" s="40"/>
      <c r="Q343" s="3">
        <f t="shared" si="44"/>
        <v>11018820410</v>
      </c>
      <c r="R343" s="3">
        <v>11003820410</v>
      </c>
      <c r="S343" s="7"/>
      <c r="T343" s="30">
        <v>15000000</v>
      </c>
      <c r="U343" s="7"/>
      <c r="V343" s="7"/>
      <c r="W343" s="36"/>
      <c r="X343" s="36">
        <f t="shared" si="45"/>
        <v>0</v>
      </c>
      <c r="Y343" s="36">
        <f t="shared" si="46"/>
        <v>0</v>
      </c>
      <c r="Z343" s="36">
        <f t="shared" si="47"/>
        <v>0</v>
      </c>
      <c r="AA343" s="4"/>
      <c r="AB343" s="79"/>
    </row>
    <row r="344" spans="1:28" ht="31.2" x14ac:dyDescent="0.3">
      <c r="A344" s="7" t="s">
        <v>18</v>
      </c>
      <c r="B344" s="6">
        <v>325</v>
      </c>
      <c r="C344" s="7" t="s">
        <v>1077</v>
      </c>
      <c r="D344" s="7" t="s">
        <v>1340</v>
      </c>
      <c r="E344" s="5"/>
      <c r="F344" s="7" t="s">
        <v>1341</v>
      </c>
      <c r="G344" s="5"/>
      <c r="H344" s="5"/>
      <c r="I344" s="7" t="s">
        <v>1342</v>
      </c>
      <c r="J344" s="7" t="s">
        <v>24</v>
      </c>
      <c r="K344" s="7" t="s">
        <v>1343</v>
      </c>
      <c r="L344" s="3">
        <v>5365012540</v>
      </c>
      <c r="M344" s="5"/>
      <c r="N344" s="3">
        <v>15000000</v>
      </c>
      <c r="O344" s="40" t="s">
        <v>637</v>
      </c>
      <c r="P344" s="10">
        <v>24000000</v>
      </c>
      <c r="Q344" s="3">
        <f t="shared" si="44"/>
        <v>5404012540</v>
      </c>
      <c r="R344" s="3">
        <v>5365012540</v>
      </c>
      <c r="S344" s="7"/>
      <c r="T344" s="30">
        <v>15000000</v>
      </c>
      <c r="U344" s="3">
        <v>24000000</v>
      </c>
      <c r="V344" s="7"/>
      <c r="W344" s="36"/>
      <c r="X344" s="36">
        <f t="shared" si="45"/>
        <v>0</v>
      </c>
      <c r="Y344" s="36">
        <f t="shared" si="46"/>
        <v>0</v>
      </c>
      <c r="Z344" s="36">
        <f t="shared" si="47"/>
        <v>0</v>
      </c>
      <c r="AA344" s="4"/>
      <c r="AB344" s="79"/>
    </row>
    <row r="345" spans="1:28" ht="31.2" x14ac:dyDescent="0.3">
      <c r="A345" s="7" t="s">
        <v>18</v>
      </c>
      <c r="B345" s="6">
        <v>326</v>
      </c>
      <c r="C345" s="7" t="s">
        <v>1077</v>
      </c>
      <c r="D345" s="7" t="s">
        <v>1344</v>
      </c>
      <c r="E345" s="5"/>
      <c r="F345" s="7" t="s">
        <v>1345</v>
      </c>
      <c r="G345" s="5"/>
      <c r="H345" s="5"/>
      <c r="I345" s="7" t="s">
        <v>1346</v>
      </c>
      <c r="J345" s="7" t="s">
        <v>24</v>
      </c>
      <c r="K345" s="7" t="s">
        <v>1347</v>
      </c>
      <c r="L345" s="3">
        <v>8078620056</v>
      </c>
      <c r="M345" s="5"/>
      <c r="N345" s="3">
        <v>15000000</v>
      </c>
      <c r="O345" s="40"/>
      <c r="P345" s="40"/>
      <c r="Q345" s="3">
        <f t="shared" si="44"/>
        <v>8093620056</v>
      </c>
      <c r="R345" s="3">
        <v>8078620056</v>
      </c>
      <c r="S345" s="7"/>
      <c r="T345" s="30">
        <v>15000000</v>
      </c>
      <c r="U345" s="7"/>
      <c r="V345" s="7"/>
      <c r="W345" s="36"/>
      <c r="X345" s="36">
        <f t="shared" si="45"/>
        <v>0</v>
      </c>
      <c r="Y345" s="36">
        <f t="shared" si="46"/>
        <v>0</v>
      </c>
      <c r="Z345" s="36">
        <f t="shared" si="47"/>
        <v>0</v>
      </c>
      <c r="AA345" s="4"/>
      <c r="AB345" s="79"/>
    </row>
    <row r="346" spans="1:28" ht="31.2" x14ac:dyDescent="0.3">
      <c r="A346" s="7" t="s">
        <v>18</v>
      </c>
      <c r="B346" s="6">
        <v>327</v>
      </c>
      <c r="C346" s="7" t="s">
        <v>1077</v>
      </c>
      <c r="D346" s="7" t="s">
        <v>1348</v>
      </c>
      <c r="E346" s="7" t="s">
        <v>1349</v>
      </c>
      <c r="F346" s="7" t="s">
        <v>1350</v>
      </c>
      <c r="G346" s="5"/>
      <c r="H346" s="5"/>
      <c r="I346" s="7" t="s">
        <v>1351</v>
      </c>
      <c r="J346" s="7" t="s">
        <v>24</v>
      </c>
      <c r="K346" s="7" t="s">
        <v>1352</v>
      </c>
      <c r="L346" s="3">
        <v>2028942168</v>
      </c>
      <c r="M346" s="3">
        <v>396202200</v>
      </c>
      <c r="N346" s="3">
        <v>7500000</v>
      </c>
      <c r="O346" s="40"/>
      <c r="P346" s="40"/>
      <c r="Q346" s="3">
        <f t="shared" si="44"/>
        <v>2432644368</v>
      </c>
      <c r="R346" s="3">
        <v>2028942168</v>
      </c>
      <c r="S346" s="3">
        <v>396202200</v>
      </c>
      <c r="T346" s="72"/>
      <c r="U346" s="7"/>
      <c r="V346" s="7"/>
      <c r="W346" s="36"/>
      <c r="X346" s="36">
        <f t="shared" si="45"/>
        <v>0</v>
      </c>
      <c r="Y346" s="36">
        <f t="shared" si="46"/>
        <v>7500000</v>
      </c>
      <c r="Z346" s="36">
        <f t="shared" si="47"/>
        <v>0</v>
      </c>
      <c r="AA346" s="4"/>
      <c r="AB346" s="79"/>
    </row>
    <row r="347" spans="1:28" ht="46.8" x14ac:dyDescent="0.3">
      <c r="A347" s="7" t="s">
        <v>18</v>
      </c>
      <c r="B347" s="6">
        <v>328</v>
      </c>
      <c r="C347" s="7" t="s">
        <v>1077</v>
      </c>
      <c r="D347" s="7" t="s">
        <v>1353</v>
      </c>
      <c r="E347" s="5"/>
      <c r="F347" s="7" t="s">
        <v>1354</v>
      </c>
      <c r="G347" s="5"/>
      <c r="H347" s="7" t="s">
        <v>1355</v>
      </c>
      <c r="I347" s="7" t="s">
        <v>1356</v>
      </c>
      <c r="J347" s="7" t="s">
        <v>24</v>
      </c>
      <c r="K347" s="7" t="s">
        <v>1357</v>
      </c>
      <c r="L347" s="3">
        <v>2166823187</v>
      </c>
      <c r="M347" s="5"/>
      <c r="N347" s="3">
        <v>15000000</v>
      </c>
      <c r="O347" s="40"/>
      <c r="P347" s="40"/>
      <c r="Q347" s="3">
        <f t="shared" si="44"/>
        <v>2181823187</v>
      </c>
      <c r="R347" s="3">
        <v>2166823187</v>
      </c>
      <c r="S347" s="7"/>
      <c r="T347" s="30">
        <v>15000000</v>
      </c>
      <c r="U347" s="7"/>
      <c r="V347" s="7"/>
      <c r="W347" s="36"/>
      <c r="X347" s="36">
        <f t="shared" si="45"/>
        <v>0</v>
      </c>
      <c r="Y347" s="36">
        <f t="shared" si="46"/>
        <v>0</v>
      </c>
      <c r="Z347" s="36">
        <f t="shared" si="47"/>
        <v>0</v>
      </c>
      <c r="AA347" s="4"/>
      <c r="AB347" s="79"/>
    </row>
    <row r="348" spans="1:28" ht="31.2" x14ac:dyDescent="0.3">
      <c r="A348" s="7" t="s">
        <v>53</v>
      </c>
      <c r="B348" s="6">
        <v>329</v>
      </c>
      <c r="C348" s="7" t="s">
        <v>1077</v>
      </c>
      <c r="D348" s="7" t="s">
        <v>1358</v>
      </c>
      <c r="E348" s="5"/>
      <c r="F348" s="7" t="s">
        <v>1359</v>
      </c>
      <c r="G348" s="5"/>
      <c r="H348" s="5"/>
      <c r="I348" s="7" t="s">
        <v>1360</v>
      </c>
      <c r="J348" s="7" t="s">
        <v>24</v>
      </c>
      <c r="K348" s="7" t="s">
        <v>1361</v>
      </c>
      <c r="L348" s="3">
        <v>5427333000</v>
      </c>
      <c r="M348" s="5"/>
      <c r="N348" s="3">
        <v>7500000</v>
      </c>
      <c r="O348" s="40"/>
      <c r="P348" s="40"/>
      <c r="Q348" s="3">
        <f t="shared" si="44"/>
        <v>5434833000</v>
      </c>
      <c r="R348" s="3">
        <v>5427333000</v>
      </c>
      <c r="S348" s="7"/>
      <c r="T348" s="30">
        <v>7500000</v>
      </c>
      <c r="U348" s="7"/>
      <c r="V348" s="7"/>
      <c r="W348" s="36"/>
      <c r="X348" s="36">
        <f t="shared" si="45"/>
        <v>0</v>
      </c>
      <c r="Y348" s="36">
        <f t="shared" si="46"/>
        <v>0</v>
      </c>
      <c r="Z348" s="36">
        <f t="shared" si="47"/>
        <v>0</v>
      </c>
      <c r="AA348" s="4"/>
      <c r="AB348" s="79"/>
    </row>
    <row r="349" spans="1:28" ht="31.2" x14ac:dyDescent="0.3">
      <c r="A349" s="7" t="s">
        <v>53</v>
      </c>
      <c r="B349" s="6">
        <v>330</v>
      </c>
      <c r="C349" s="7" t="s">
        <v>1077</v>
      </c>
      <c r="D349" s="7" t="s">
        <v>1362</v>
      </c>
      <c r="E349" s="5"/>
      <c r="F349" s="7" t="s">
        <v>1363</v>
      </c>
      <c r="G349" s="5"/>
      <c r="H349" s="5"/>
      <c r="I349" s="7" t="s">
        <v>1364</v>
      </c>
      <c r="J349" s="7" t="s">
        <v>24</v>
      </c>
      <c r="K349" s="7" t="s">
        <v>1365</v>
      </c>
      <c r="L349" s="3">
        <v>1292171692</v>
      </c>
      <c r="M349" s="5"/>
      <c r="N349" s="3">
        <v>7500000</v>
      </c>
      <c r="O349" s="40"/>
      <c r="P349" s="40"/>
      <c r="Q349" s="3">
        <f t="shared" si="44"/>
        <v>1299671692</v>
      </c>
      <c r="R349" s="3">
        <v>1292171692</v>
      </c>
      <c r="S349" s="7"/>
      <c r="T349" s="30">
        <v>7500000</v>
      </c>
      <c r="U349" s="7"/>
      <c r="V349" s="7"/>
      <c r="W349" s="36"/>
      <c r="X349" s="36">
        <f t="shared" si="45"/>
        <v>0</v>
      </c>
      <c r="Y349" s="36">
        <f t="shared" si="46"/>
        <v>0</v>
      </c>
      <c r="Z349" s="36">
        <f t="shared" si="47"/>
        <v>0</v>
      </c>
      <c r="AA349" s="4"/>
      <c r="AB349" s="79"/>
    </row>
    <row r="350" spans="1:28" ht="31.2" x14ac:dyDescent="0.3">
      <c r="A350" s="7" t="s">
        <v>53</v>
      </c>
      <c r="B350" s="6">
        <v>331</v>
      </c>
      <c r="C350" s="7" t="s">
        <v>1077</v>
      </c>
      <c r="D350" s="7" t="s">
        <v>1366</v>
      </c>
      <c r="E350" s="7" t="s">
        <v>914</v>
      </c>
      <c r="F350" s="7" t="s">
        <v>1367</v>
      </c>
      <c r="G350" s="5"/>
      <c r="H350" s="5"/>
      <c r="I350" s="7" t="s">
        <v>1368</v>
      </c>
      <c r="J350" s="7" t="s">
        <v>24</v>
      </c>
      <c r="K350" s="7" t="s">
        <v>1369</v>
      </c>
      <c r="L350" s="3">
        <v>6687219200</v>
      </c>
      <c r="M350" s="3">
        <v>415250000</v>
      </c>
      <c r="N350" s="3">
        <v>7500000</v>
      </c>
      <c r="O350" s="40"/>
      <c r="P350" s="40"/>
      <c r="Q350" s="3">
        <f t="shared" si="44"/>
        <v>7109969200</v>
      </c>
      <c r="R350" s="3">
        <v>6687219200</v>
      </c>
      <c r="S350" s="3">
        <v>415250000</v>
      </c>
      <c r="T350" s="30">
        <v>7500000</v>
      </c>
      <c r="U350" s="7"/>
      <c r="V350" s="7"/>
      <c r="W350" s="36"/>
      <c r="X350" s="36">
        <f t="shared" si="45"/>
        <v>0</v>
      </c>
      <c r="Y350" s="36">
        <f t="shared" si="46"/>
        <v>0</v>
      </c>
      <c r="Z350" s="36">
        <f t="shared" si="47"/>
        <v>0</v>
      </c>
      <c r="AA350" s="4"/>
      <c r="AB350" s="79"/>
    </row>
    <row r="351" spans="1:28" ht="46.8" x14ac:dyDescent="0.3">
      <c r="A351" s="7" t="s">
        <v>18</v>
      </c>
      <c r="B351" s="6">
        <v>332</v>
      </c>
      <c r="C351" s="7" t="s">
        <v>1077</v>
      </c>
      <c r="D351" s="7" t="s">
        <v>1370</v>
      </c>
      <c r="E351" s="5"/>
      <c r="F351" s="7" t="s">
        <v>1371</v>
      </c>
      <c r="G351" s="5"/>
      <c r="H351" s="5"/>
      <c r="I351" s="7" t="s">
        <v>1372</v>
      </c>
      <c r="J351" s="7" t="s">
        <v>24</v>
      </c>
      <c r="K351" s="7" t="s">
        <v>1373</v>
      </c>
      <c r="L351" s="3">
        <v>1954058966</v>
      </c>
      <c r="M351" s="5"/>
      <c r="N351" s="3">
        <v>15000000</v>
      </c>
      <c r="O351" s="40"/>
      <c r="P351" s="40"/>
      <c r="Q351" s="3">
        <f t="shared" si="44"/>
        <v>1969058966</v>
      </c>
      <c r="R351" s="3">
        <v>1954058966</v>
      </c>
      <c r="S351" s="7"/>
      <c r="T351" s="30">
        <v>15000000</v>
      </c>
      <c r="U351" s="7"/>
      <c r="V351" s="7"/>
      <c r="W351" s="36"/>
      <c r="X351" s="36">
        <f t="shared" si="45"/>
        <v>0</v>
      </c>
      <c r="Y351" s="36">
        <f t="shared" si="46"/>
        <v>0</v>
      </c>
      <c r="Z351" s="36">
        <f t="shared" si="47"/>
        <v>0</v>
      </c>
      <c r="AA351" s="4"/>
      <c r="AB351" s="79"/>
    </row>
    <row r="352" spans="1:28" ht="46.8" x14ac:dyDescent="0.3">
      <c r="A352" s="7" t="s">
        <v>53</v>
      </c>
      <c r="B352" s="6">
        <v>333</v>
      </c>
      <c r="C352" s="7" t="s">
        <v>1077</v>
      </c>
      <c r="D352" s="7" t="s">
        <v>1374</v>
      </c>
      <c r="E352" s="5"/>
      <c r="F352" s="7" t="s">
        <v>1375</v>
      </c>
      <c r="G352" s="5"/>
      <c r="H352" s="5"/>
      <c r="I352" s="7" t="s">
        <v>1376</v>
      </c>
      <c r="J352" s="7" t="s">
        <v>24</v>
      </c>
      <c r="K352" s="7" t="s">
        <v>1377</v>
      </c>
      <c r="L352" s="3">
        <v>2411362824</v>
      </c>
      <c r="M352" s="5"/>
      <c r="N352" s="3">
        <v>7500000</v>
      </c>
      <c r="O352" s="40"/>
      <c r="P352" s="40"/>
      <c r="Q352" s="3">
        <f t="shared" si="44"/>
        <v>2418862824</v>
      </c>
      <c r="R352" s="3">
        <v>2411362824</v>
      </c>
      <c r="S352" s="7"/>
      <c r="T352" s="30">
        <v>7500000</v>
      </c>
      <c r="U352" s="7"/>
      <c r="V352" s="7"/>
      <c r="W352" s="36"/>
      <c r="X352" s="36">
        <f t="shared" si="45"/>
        <v>0</v>
      </c>
      <c r="Y352" s="36">
        <f t="shared" si="46"/>
        <v>0</v>
      </c>
      <c r="Z352" s="36">
        <f t="shared" si="47"/>
        <v>0</v>
      </c>
      <c r="AA352" s="4"/>
      <c r="AB352" s="79"/>
    </row>
    <row r="353" spans="1:28" ht="46.8" x14ac:dyDescent="0.3">
      <c r="A353" s="7" t="s">
        <v>53</v>
      </c>
      <c r="B353" s="6">
        <v>334</v>
      </c>
      <c r="C353" s="7" t="s">
        <v>1077</v>
      </c>
      <c r="D353" s="7" t="s">
        <v>1378</v>
      </c>
      <c r="E353" s="5"/>
      <c r="F353" s="7" t="s">
        <v>1379</v>
      </c>
      <c r="G353" s="5"/>
      <c r="H353" s="5"/>
      <c r="I353" s="7" t="s">
        <v>1380</v>
      </c>
      <c r="J353" s="7" t="s">
        <v>24</v>
      </c>
      <c r="K353" s="7" t="s">
        <v>1381</v>
      </c>
      <c r="L353" s="3">
        <v>1176308218</v>
      </c>
      <c r="M353" s="5"/>
      <c r="N353" s="3">
        <v>7500000</v>
      </c>
      <c r="O353" s="40"/>
      <c r="P353" s="40"/>
      <c r="Q353" s="3">
        <f t="shared" si="44"/>
        <v>1183808218</v>
      </c>
      <c r="R353" s="3">
        <v>1176308218</v>
      </c>
      <c r="S353" s="7"/>
      <c r="T353" s="30">
        <v>7500000</v>
      </c>
      <c r="U353" s="7"/>
      <c r="V353" s="7"/>
      <c r="W353" s="36"/>
      <c r="X353" s="36">
        <f t="shared" si="45"/>
        <v>0</v>
      </c>
      <c r="Y353" s="36">
        <f t="shared" si="46"/>
        <v>0</v>
      </c>
      <c r="Z353" s="36">
        <f t="shared" si="47"/>
        <v>0</v>
      </c>
      <c r="AA353" s="4"/>
      <c r="AB353" s="79"/>
    </row>
    <row r="354" spans="1:28" ht="31.2" x14ac:dyDescent="0.3">
      <c r="A354" s="7" t="s">
        <v>46</v>
      </c>
      <c r="B354" s="6">
        <v>335</v>
      </c>
      <c r="C354" s="7" t="s">
        <v>1077</v>
      </c>
      <c r="D354" s="7" t="s">
        <v>1382</v>
      </c>
      <c r="E354" s="41" t="s">
        <v>1383</v>
      </c>
      <c r="F354" s="7" t="s">
        <v>1384</v>
      </c>
      <c r="G354" s="41" t="s">
        <v>1385</v>
      </c>
      <c r="H354" s="5"/>
      <c r="I354" s="7" t="s">
        <v>1386</v>
      </c>
      <c r="J354" s="41" t="s">
        <v>24</v>
      </c>
      <c r="K354" s="7" t="s">
        <v>1387</v>
      </c>
      <c r="L354" s="3">
        <v>768083200</v>
      </c>
      <c r="M354" s="3">
        <v>1230901182</v>
      </c>
      <c r="N354" s="3">
        <v>15000000</v>
      </c>
      <c r="O354" s="40"/>
      <c r="P354" s="40"/>
      <c r="Q354" s="3">
        <f t="shared" si="44"/>
        <v>2013984382</v>
      </c>
      <c r="R354" s="3">
        <v>768083200</v>
      </c>
      <c r="S354" s="3">
        <v>1230901182</v>
      </c>
      <c r="T354" s="30">
        <v>15000000</v>
      </c>
      <c r="U354" s="7"/>
      <c r="V354" s="7"/>
      <c r="W354" s="36"/>
      <c r="X354" s="36">
        <f t="shared" si="45"/>
        <v>0</v>
      </c>
      <c r="Y354" s="36">
        <f t="shared" si="46"/>
        <v>0</v>
      </c>
      <c r="Z354" s="36">
        <f t="shared" si="47"/>
        <v>0</v>
      </c>
      <c r="AA354" s="4"/>
      <c r="AB354" s="79"/>
    </row>
    <row r="355" spans="1:28" ht="31.2" x14ac:dyDescent="0.3">
      <c r="A355" s="7" t="s">
        <v>62</v>
      </c>
      <c r="B355" s="6">
        <v>336</v>
      </c>
      <c r="C355" s="7" t="s">
        <v>1077</v>
      </c>
      <c r="D355" s="7" t="s">
        <v>1388</v>
      </c>
      <c r="E355" s="5"/>
      <c r="F355" s="7" t="s">
        <v>1389</v>
      </c>
      <c r="G355" s="5"/>
      <c r="H355" s="5"/>
      <c r="I355" s="7" t="s">
        <v>1390</v>
      </c>
      <c r="J355" s="7" t="s">
        <v>24</v>
      </c>
      <c r="K355" s="7" t="s">
        <v>1391</v>
      </c>
      <c r="L355" s="6">
        <v>0</v>
      </c>
      <c r="M355" s="5"/>
      <c r="N355" s="3">
        <v>7500000</v>
      </c>
      <c r="O355" s="40"/>
      <c r="P355" s="40"/>
      <c r="Q355" s="3">
        <f t="shared" si="44"/>
        <v>7500000</v>
      </c>
      <c r="R355" s="6">
        <v>0</v>
      </c>
      <c r="S355" s="7"/>
      <c r="T355" s="30">
        <v>7500000</v>
      </c>
      <c r="U355" s="7"/>
      <c r="V355" s="7"/>
      <c r="W355" s="36"/>
      <c r="X355" s="36">
        <f t="shared" si="45"/>
        <v>0</v>
      </c>
      <c r="Y355" s="36">
        <f t="shared" si="46"/>
        <v>0</v>
      </c>
      <c r="Z355" s="36">
        <f t="shared" si="47"/>
        <v>0</v>
      </c>
      <c r="AA355" s="4"/>
      <c r="AB355" s="79"/>
    </row>
    <row r="356" spans="1:28" ht="31.2" x14ac:dyDescent="0.3">
      <c r="A356" s="7" t="s">
        <v>46</v>
      </c>
      <c r="B356" s="6">
        <v>337</v>
      </c>
      <c r="C356" s="7" t="s">
        <v>1077</v>
      </c>
      <c r="D356" s="7" t="s">
        <v>1392</v>
      </c>
      <c r="E356" s="5"/>
      <c r="F356" s="7" t="s">
        <v>1393</v>
      </c>
      <c r="G356" s="5"/>
      <c r="H356" s="5"/>
      <c r="I356" s="7" t="s">
        <v>1394</v>
      </c>
      <c r="J356" s="7" t="s">
        <v>24</v>
      </c>
      <c r="K356" s="7" t="s">
        <v>1395</v>
      </c>
      <c r="L356" s="3">
        <v>486048836</v>
      </c>
      <c r="M356" s="5"/>
      <c r="N356" s="3">
        <v>7500000</v>
      </c>
      <c r="O356" s="40"/>
      <c r="P356" s="40"/>
      <c r="Q356" s="3">
        <f t="shared" si="44"/>
        <v>493548836</v>
      </c>
      <c r="R356" s="3">
        <v>486048836</v>
      </c>
      <c r="S356" s="7"/>
      <c r="T356" s="30">
        <v>7500000</v>
      </c>
      <c r="U356" s="7"/>
      <c r="V356" s="7"/>
      <c r="W356" s="36"/>
      <c r="X356" s="36">
        <f t="shared" si="45"/>
        <v>0</v>
      </c>
      <c r="Y356" s="36">
        <f t="shared" si="46"/>
        <v>0</v>
      </c>
      <c r="Z356" s="36">
        <f t="shared" si="47"/>
        <v>0</v>
      </c>
      <c r="AA356" s="4"/>
      <c r="AB356" s="79"/>
    </row>
    <row r="357" spans="1:28" ht="62.4" x14ac:dyDescent="0.3">
      <c r="A357" s="7" t="s">
        <v>18</v>
      </c>
      <c r="B357" s="6">
        <v>338</v>
      </c>
      <c r="C357" s="7" t="s">
        <v>1077</v>
      </c>
      <c r="D357" s="7" t="s">
        <v>1396</v>
      </c>
      <c r="E357" s="7" t="s">
        <v>1398</v>
      </c>
      <c r="F357" s="7" t="s">
        <v>1399</v>
      </c>
      <c r="G357" s="7" t="s">
        <v>1400</v>
      </c>
      <c r="H357" s="5"/>
      <c r="I357" s="7" t="s">
        <v>1401</v>
      </c>
      <c r="J357" s="7" t="s">
        <v>24</v>
      </c>
      <c r="K357" s="7" t="s">
        <v>1402</v>
      </c>
      <c r="L357" s="3">
        <v>6891800904</v>
      </c>
      <c r="M357" s="3">
        <v>390746990</v>
      </c>
      <c r="N357" s="3">
        <v>15000000</v>
      </c>
      <c r="O357" s="40" t="s">
        <v>1397</v>
      </c>
      <c r="P357" s="10">
        <v>48000000</v>
      </c>
      <c r="Q357" s="3">
        <f t="shared" si="44"/>
        <v>7345547894</v>
      </c>
      <c r="R357" s="3">
        <v>6891800904</v>
      </c>
      <c r="S357" s="3">
        <v>24484800</v>
      </c>
      <c r="T357" s="72"/>
      <c r="U357" s="7"/>
      <c r="V357" s="7"/>
      <c r="W357" s="36"/>
      <c r="X357" s="36">
        <f t="shared" si="45"/>
        <v>366262190</v>
      </c>
      <c r="Y357" s="36">
        <f t="shared" si="46"/>
        <v>15000000</v>
      </c>
      <c r="Z357" s="36">
        <f t="shared" si="47"/>
        <v>48000000</v>
      </c>
      <c r="AA357" s="4"/>
      <c r="AB357" s="80" t="s">
        <v>3822</v>
      </c>
    </row>
    <row r="358" spans="1:28" ht="31.2" x14ac:dyDescent="0.3">
      <c r="A358" s="7" t="s">
        <v>46</v>
      </c>
      <c r="B358" s="6">
        <v>339</v>
      </c>
      <c r="C358" s="7" t="s">
        <v>1077</v>
      </c>
      <c r="D358" s="7" t="s">
        <v>1403</v>
      </c>
      <c r="E358" s="5"/>
      <c r="F358" s="7" t="s">
        <v>1404</v>
      </c>
      <c r="G358" s="5"/>
      <c r="H358" s="5"/>
      <c r="I358" s="7" t="s">
        <v>1405</v>
      </c>
      <c r="J358" s="7" t="s">
        <v>24</v>
      </c>
      <c r="K358" s="7" t="s">
        <v>1406</v>
      </c>
      <c r="L358" s="3">
        <v>1514795152</v>
      </c>
      <c r="M358" s="5"/>
      <c r="N358" s="3">
        <v>15000000</v>
      </c>
      <c r="O358" s="40"/>
      <c r="P358" s="40"/>
      <c r="Q358" s="3">
        <f t="shared" si="44"/>
        <v>1529795152</v>
      </c>
      <c r="R358" s="3">
        <v>1514795152</v>
      </c>
      <c r="S358" s="7"/>
      <c r="T358" s="30">
        <v>15000000</v>
      </c>
      <c r="U358" s="7"/>
      <c r="V358" s="7"/>
      <c r="W358" s="36"/>
      <c r="X358" s="36">
        <f t="shared" si="45"/>
        <v>0</v>
      </c>
      <c r="Y358" s="36">
        <f t="shared" si="46"/>
        <v>0</v>
      </c>
      <c r="Z358" s="36">
        <f t="shared" si="47"/>
        <v>0</v>
      </c>
      <c r="AA358" s="4"/>
      <c r="AB358" s="79"/>
    </row>
    <row r="359" spans="1:28" ht="31.2" x14ac:dyDescent="0.3">
      <c r="A359" s="7" t="s">
        <v>53</v>
      </c>
      <c r="B359" s="6">
        <v>340</v>
      </c>
      <c r="C359" s="7" t="s">
        <v>1077</v>
      </c>
      <c r="D359" s="7" t="s">
        <v>1407</v>
      </c>
      <c r="E359" s="5"/>
      <c r="F359" s="7" t="s">
        <v>1408</v>
      </c>
      <c r="G359" s="5"/>
      <c r="H359" s="5"/>
      <c r="I359" s="7" t="s">
        <v>1409</v>
      </c>
      <c r="J359" s="7" t="s">
        <v>24</v>
      </c>
      <c r="K359" s="7" t="s">
        <v>1410</v>
      </c>
      <c r="L359" s="6">
        <v>0</v>
      </c>
      <c r="M359" s="5"/>
      <c r="N359" s="3">
        <v>7500000</v>
      </c>
      <c r="O359" s="40"/>
      <c r="P359" s="40"/>
      <c r="Q359" s="3">
        <f t="shared" si="44"/>
        <v>7500000</v>
      </c>
      <c r="R359" s="6">
        <v>0</v>
      </c>
      <c r="S359" s="7"/>
      <c r="T359" s="72"/>
      <c r="U359" s="7"/>
      <c r="V359" s="7"/>
      <c r="W359" s="36"/>
      <c r="X359" s="36">
        <f t="shared" si="45"/>
        <v>0</v>
      </c>
      <c r="Y359" s="36">
        <f t="shared" si="46"/>
        <v>7500000</v>
      </c>
      <c r="Z359" s="36">
        <f t="shared" si="47"/>
        <v>0</v>
      </c>
      <c r="AA359" s="4"/>
      <c r="AB359" s="79"/>
    </row>
    <row r="360" spans="1:28" ht="31.2" x14ac:dyDescent="0.3">
      <c r="A360" s="7" t="s">
        <v>62</v>
      </c>
      <c r="B360" s="6">
        <v>341</v>
      </c>
      <c r="C360" s="7" t="s">
        <v>1077</v>
      </c>
      <c r="D360" s="7" t="s">
        <v>1411</v>
      </c>
      <c r="E360" s="5"/>
      <c r="F360" s="7" t="s">
        <v>1413</v>
      </c>
      <c r="G360" s="5"/>
      <c r="H360" s="5"/>
      <c r="I360" s="7" t="s">
        <v>1414</v>
      </c>
      <c r="J360" s="7" t="s">
        <v>24</v>
      </c>
      <c r="K360" s="7" t="s">
        <v>1415</v>
      </c>
      <c r="L360" s="3">
        <v>15179235900</v>
      </c>
      <c r="M360" s="5"/>
      <c r="N360" s="3">
        <v>15000000</v>
      </c>
      <c r="O360" s="40" t="s">
        <v>1412</v>
      </c>
      <c r="P360" s="10">
        <v>96000000</v>
      </c>
      <c r="Q360" s="3">
        <f t="shared" si="44"/>
        <v>15290235900</v>
      </c>
      <c r="R360" s="3">
        <v>15179235900</v>
      </c>
      <c r="S360" s="7"/>
      <c r="T360" s="30">
        <v>15000000</v>
      </c>
      <c r="U360" s="3">
        <v>96000000</v>
      </c>
      <c r="V360" s="7"/>
      <c r="W360" s="36"/>
      <c r="X360" s="36">
        <f t="shared" si="45"/>
        <v>0</v>
      </c>
      <c r="Y360" s="36">
        <f t="shared" si="46"/>
        <v>0</v>
      </c>
      <c r="Z360" s="36">
        <f t="shared" si="47"/>
        <v>0</v>
      </c>
      <c r="AA360" s="4"/>
      <c r="AB360" s="79"/>
    </row>
    <row r="361" spans="1:28" ht="46.8" x14ac:dyDescent="0.3">
      <c r="A361" s="7" t="s">
        <v>53</v>
      </c>
      <c r="B361" s="6">
        <v>342</v>
      </c>
      <c r="C361" s="7" t="s">
        <v>1077</v>
      </c>
      <c r="D361" s="7" t="s">
        <v>1416</v>
      </c>
      <c r="E361" s="5"/>
      <c r="F361" s="7" t="s">
        <v>1417</v>
      </c>
      <c r="G361" s="5"/>
      <c r="H361" s="5"/>
      <c r="I361" s="7" t="s">
        <v>1418</v>
      </c>
      <c r="J361" s="7" t="s">
        <v>24</v>
      </c>
      <c r="K361" s="7" t="s">
        <v>1419</v>
      </c>
      <c r="L361" s="3">
        <v>938372032</v>
      </c>
      <c r="M361" s="5"/>
      <c r="N361" s="3">
        <v>15000000</v>
      </c>
      <c r="O361" s="40"/>
      <c r="P361" s="40"/>
      <c r="Q361" s="3">
        <f t="shared" si="44"/>
        <v>953372032</v>
      </c>
      <c r="R361" s="3">
        <v>938372032</v>
      </c>
      <c r="S361" s="7"/>
      <c r="T361" s="30">
        <v>15000000</v>
      </c>
      <c r="U361" s="7"/>
      <c r="V361" s="7"/>
      <c r="W361" s="36"/>
      <c r="X361" s="36">
        <f t="shared" si="45"/>
        <v>0</v>
      </c>
      <c r="Y361" s="36">
        <f t="shared" si="46"/>
        <v>0</v>
      </c>
      <c r="Z361" s="36">
        <f t="shared" si="47"/>
        <v>0</v>
      </c>
      <c r="AA361" s="4"/>
      <c r="AB361" s="79"/>
    </row>
    <row r="362" spans="1:28" ht="31.2" x14ac:dyDescent="0.3">
      <c r="A362" s="7" t="s">
        <v>46</v>
      </c>
      <c r="B362" s="6">
        <v>343</v>
      </c>
      <c r="C362" s="7" t="s">
        <v>1077</v>
      </c>
      <c r="D362" s="7" t="s">
        <v>1420</v>
      </c>
      <c r="E362" s="5"/>
      <c r="F362" s="7" t="s">
        <v>1421</v>
      </c>
      <c r="G362" s="5"/>
      <c r="H362" s="5"/>
      <c r="I362" s="7" t="s">
        <v>1422</v>
      </c>
      <c r="J362" s="7" t="s">
        <v>24</v>
      </c>
      <c r="K362" s="7" t="s">
        <v>1423</v>
      </c>
      <c r="L362" s="3">
        <v>296069312</v>
      </c>
      <c r="M362" s="5"/>
      <c r="N362" s="3">
        <v>7500000</v>
      </c>
      <c r="O362" s="40"/>
      <c r="P362" s="40"/>
      <c r="Q362" s="3">
        <f t="shared" si="44"/>
        <v>303569312</v>
      </c>
      <c r="R362" s="3">
        <v>296069312</v>
      </c>
      <c r="S362" s="7"/>
      <c r="T362" s="30">
        <v>7500000</v>
      </c>
      <c r="U362" s="7"/>
      <c r="V362" s="7"/>
      <c r="W362" s="36"/>
      <c r="X362" s="36">
        <f t="shared" si="45"/>
        <v>0</v>
      </c>
      <c r="Y362" s="36">
        <f t="shared" si="46"/>
        <v>0</v>
      </c>
      <c r="Z362" s="36">
        <f t="shared" si="47"/>
        <v>0</v>
      </c>
      <c r="AA362" s="4"/>
      <c r="AB362" s="79"/>
    </row>
    <row r="363" spans="1:28" ht="46.8" x14ac:dyDescent="0.3">
      <c r="A363" s="7" t="s">
        <v>53</v>
      </c>
      <c r="B363" s="6">
        <v>344</v>
      </c>
      <c r="C363" s="7" t="s">
        <v>1077</v>
      </c>
      <c r="D363" s="7" t="s">
        <v>1424</v>
      </c>
      <c r="E363" s="5"/>
      <c r="F363" s="7" t="s">
        <v>1426</v>
      </c>
      <c r="G363" s="5"/>
      <c r="H363" s="5"/>
      <c r="I363" s="7" t="s">
        <v>1427</v>
      </c>
      <c r="J363" s="7" t="s">
        <v>24</v>
      </c>
      <c r="K363" s="7" t="s">
        <v>1428</v>
      </c>
      <c r="L363" s="3">
        <v>1585255168</v>
      </c>
      <c r="M363" s="5"/>
      <c r="N363" s="3">
        <v>15000000</v>
      </c>
      <c r="O363" s="40" t="s">
        <v>1425</v>
      </c>
      <c r="P363" s="10">
        <v>48000000</v>
      </c>
      <c r="Q363" s="3">
        <f t="shared" si="44"/>
        <v>1648255168</v>
      </c>
      <c r="R363" s="3">
        <v>1585255168</v>
      </c>
      <c r="S363" s="7"/>
      <c r="T363" s="30">
        <v>15000000</v>
      </c>
      <c r="U363" s="7"/>
      <c r="V363" s="7"/>
      <c r="W363" s="36"/>
      <c r="X363" s="36">
        <f t="shared" si="45"/>
        <v>0</v>
      </c>
      <c r="Y363" s="36">
        <f t="shared" si="46"/>
        <v>0</v>
      </c>
      <c r="Z363" s="36">
        <f t="shared" si="47"/>
        <v>48000000</v>
      </c>
      <c r="AA363" s="4"/>
      <c r="AB363" s="80" t="s">
        <v>3822</v>
      </c>
    </row>
    <row r="364" spans="1:28" ht="46.8" x14ac:dyDescent="0.3">
      <c r="A364" s="7" t="s">
        <v>18</v>
      </c>
      <c r="B364" s="6">
        <v>345</v>
      </c>
      <c r="C364" s="7" t="s">
        <v>1077</v>
      </c>
      <c r="D364" s="7" t="s">
        <v>1429</v>
      </c>
      <c r="E364" s="5"/>
      <c r="F364" s="7" t="s">
        <v>1430</v>
      </c>
      <c r="G364" s="5"/>
      <c r="H364" s="5"/>
      <c r="I364" s="7" t="s">
        <v>1431</v>
      </c>
      <c r="J364" s="7" t="s">
        <v>24</v>
      </c>
      <c r="K364" s="7" t="s">
        <v>1432</v>
      </c>
      <c r="L364" s="3">
        <v>10000000</v>
      </c>
      <c r="M364" s="5"/>
      <c r="N364" s="3">
        <v>15000000</v>
      </c>
      <c r="O364" s="40"/>
      <c r="P364" s="40"/>
      <c r="Q364" s="3">
        <f t="shared" si="44"/>
        <v>25000000</v>
      </c>
      <c r="R364" s="7"/>
      <c r="S364" s="7"/>
      <c r="T364" s="72"/>
      <c r="U364" s="7"/>
      <c r="V364" s="7"/>
      <c r="W364" s="36">
        <v>10000000</v>
      </c>
      <c r="X364" s="36">
        <f t="shared" si="45"/>
        <v>0</v>
      </c>
      <c r="Y364" s="36">
        <f t="shared" si="46"/>
        <v>15000000</v>
      </c>
      <c r="Z364" s="36">
        <f t="shared" si="47"/>
        <v>0</v>
      </c>
      <c r="AA364" s="10">
        <v>10000000</v>
      </c>
      <c r="AB364" s="79"/>
    </row>
    <row r="365" spans="1:28" ht="31.2" x14ac:dyDescent="0.3">
      <c r="A365" s="7" t="s">
        <v>46</v>
      </c>
      <c r="B365" s="6">
        <v>346</v>
      </c>
      <c r="C365" s="7" t="s">
        <v>1077</v>
      </c>
      <c r="D365" s="7" t="s">
        <v>1433</v>
      </c>
      <c r="E365" s="7" t="s">
        <v>373</v>
      </c>
      <c r="F365" s="7" t="s">
        <v>1434</v>
      </c>
      <c r="G365" s="7" t="s">
        <v>1435</v>
      </c>
      <c r="H365" s="5"/>
      <c r="I365" s="7" t="s">
        <v>1436</v>
      </c>
      <c r="J365" s="7" t="s">
        <v>24</v>
      </c>
      <c r="K365" s="7" t="s">
        <v>1437</v>
      </c>
      <c r="L365" s="3">
        <v>11061492360</v>
      </c>
      <c r="M365" s="3">
        <v>127192000</v>
      </c>
      <c r="N365" s="3">
        <v>15000000</v>
      </c>
      <c r="O365" s="40"/>
      <c r="P365" s="40"/>
      <c r="Q365" s="3">
        <f t="shared" si="44"/>
        <v>11203684360</v>
      </c>
      <c r="R365" s="3">
        <v>11061492360</v>
      </c>
      <c r="S365" s="3">
        <v>127192000</v>
      </c>
      <c r="T365" s="30">
        <v>15000000</v>
      </c>
      <c r="U365" s="7"/>
      <c r="V365" s="7"/>
      <c r="W365" s="36"/>
      <c r="X365" s="36">
        <f t="shared" si="45"/>
        <v>0</v>
      </c>
      <c r="Y365" s="36">
        <f t="shared" si="46"/>
        <v>0</v>
      </c>
      <c r="Z365" s="36">
        <f t="shared" si="47"/>
        <v>0</v>
      </c>
      <c r="AA365" s="4"/>
      <c r="AB365" s="79"/>
    </row>
    <row r="366" spans="1:28" ht="46.8" x14ac:dyDescent="0.3">
      <c r="A366" s="7" t="s">
        <v>18</v>
      </c>
      <c r="B366" s="6">
        <v>347</v>
      </c>
      <c r="C366" s="7" t="s">
        <v>1077</v>
      </c>
      <c r="D366" s="7" t="s">
        <v>1438</v>
      </c>
      <c r="E366" s="5"/>
      <c r="F366" s="7" t="s">
        <v>1439</v>
      </c>
      <c r="G366" s="5"/>
      <c r="H366" s="5"/>
      <c r="I366" s="7" t="s">
        <v>1440</v>
      </c>
      <c r="J366" s="7" t="s">
        <v>24</v>
      </c>
      <c r="K366" s="7" t="s">
        <v>1441</v>
      </c>
      <c r="L366" s="3">
        <v>551324800</v>
      </c>
      <c r="M366" s="5"/>
      <c r="N366" s="3">
        <v>15000000</v>
      </c>
      <c r="O366" s="40"/>
      <c r="P366" s="40"/>
      <c r="Q366" s="3">
        <f t="shared" ref="Q366:Q397" si="48">L366+M366+N366+P366</f>
        <v>566324800</v>
      </c>
      <c r="R366" s="3">
        <v>551324800</v>
      </c>
      <c r="S366" s="7"/>
      <c r="T366" s="30">
        <v>15000000</v>
      </c>
      <c r="U366" s="7"/>
      <c r="V366" s="7"/>
      <c r="W366" s="36"/>
      <c r="X366" s="36">
        <f t="shared" ref="X366:X402" si="49">M366-S366</f>
        <v>0</v>
      </c>
      <c r="Y366" s="36">
        <f t="shared" ref="Y366:Y402" si="50">N366-T366</f>
        <v>0</v>
      </c>
      <c r="Z366" s="36">
        <f t="shared" si="47"/>
        <v>0</v>
      </c>
      <c r="AA366" s="4"/>
      <c r="AB366" s="79"/>
    </row>
    <row r="367" spans="1:28" ht="31.2" x14ac:dyDescent="0.3">
      <c r="A367" s="7" t="s">
        <v>62</v>
      </c>
      <c r="B367" s="6">
        <v>348</v>
      </c>
      <c r="C367" s="7" t="s">
        <v>1077</v>
      </c>
      <c r="D367" s="7" t="s">
        <v>1442</v>
      </c>
      <c r="E367" s="5"/>
      <c r="F367" s="7" t="s">
        <v>1443</v>
      </c>
      <c r="G367" s="5"/>
      <c r="H367" s="5"/>
      <c r="I367" s="7" t="s">
        <v>1444</v>
      </c>
      <c r="J367" s="7" t="s">
        <v>24</v>
      </c>
      <c r="K367" s="7" t="s">
        <v>1445</v>
      </c>
      <c r="L367" s="3">
        <v>4341330000</v>
      </c>
      <c r="M367" s="5"/>
      <c r="N367" s="3">
        <v>7500000</v>
      </c>
      <c r="O367" s="40"/>
      <c r="P367" s="40"/>
      <c r="Q367" s="3">
        <f t="shared" si="48"/>
        <v>4348830000</v>
      </c>
      <c r="R367" s="3">
        <v>4341330000</v>
      </c>
      <c r="S367" s="7"/>
      <c r="T367" s="30">
        <v>7500000</v>
      </c>
      <c r="U367" s="7"/>
      <c r="V367" s="7"/>
      <c r="W367" s="36"/>
      <c r="X367" s="36">
        <f t="shared" si="49"/>
        <v>0</v>
      </c>
      <c r="Y367" s="36">
        <f t="shared" si="50"/>
        <v>0</v>
      </c>
      <c r="Z367" s="36">
        <f t="shared" si="47"/>
        <v>0</v>
      </c>
      <c r="AA367" s="4"/>
      <c r="AB367" s="79"/>
    </row>
    <row r="368" spans="1:28" ht="46.8" x14ac:dyDescent="0.3">
      <c r="A368" s="7" t="s">
        <v>53</v>
      </c>
      <c r="B368" s="6">
        <v>349</v>
      </c>
      <c r="C368" s="7" t="s">
        <v>1077</v>
      </c>
      <c r="D368" s="7" t="s">
        <v>1446</v>
      </c>
      <c r="E368" s="5"/>
      <c r="F368" s="7" t="s">
        <v>1447</v>
      </c>
      <c r="G368" s="5"/>
      <c r="H368" s="5"/>
      <c r="I368" s="7" t="s">
        <v>1448</v>
      </c>
      <c r="J368" s="7" t="s">
        <v>24</v>
      </c>
      <c r="K368" s="7" t="s">
        <v>1449</v>
      </c>
      <c r="L368" s="3">
        <v>674476192</v>
      </c>
      <c r="M368" s="5"/>
      <c r="N368" s="3">
        <v>15000000</v>
      </c>
      <c r="O368" s="40"/>
      <c r="P368" s="40"/>
      <c r="Q368" s="3">
        <f t="shared" si="48"/>
        <v>689476192</v>
      </c>
      <c r="R368" s="3">
        <v>674476192</v>
      </c>
      <c r="S368" s="7"/>
      <c r="T368" s="30">
        <v>15000000</v>
      </c>
      <c r="U368" s="7"/>
      <c r="V368" s="7"/>
      <c r="W368" s="36"/>
      <c r="X368" s="36">
        <f t="shared" si="49"/>
        <v>0</v>
      </c>
      <c r="Y368" s="36">
        <f t="shared" si="50"/>
        <v>0</v>
      </c>
      <c r="Z368" s="36">
        <f t="shared" si="47"/>
        <v>0</v>
      </c>
      <c r="AA368" s="4"/>
      <c r="AB368" s="79"/>
    </row>
    <row r="369" spans="1:28" ht="46.8" x14ac:dyDescent="0.3">
      <c r="A369" s="7" t="s">
        <v>18</v>
      </c>
      <c r="B369" s="6">
        <v>350</v>
      </c>
      <c r="C369" s="7" t="s">
        <v>1077</v>
      </c>
      <c r="D369" s="7" t="s">
        <v>1450</v>
      </c>
      <c r="E369" s="5"/>
      <c r="F369" s="7" t="s">
        <v>1451</v>
      </c>
      <c r="G369" s="5"/>
      <c r="H369" s="5"/>
      <c r="I369" s="7" t="s">
        <v>1452</v>
      </c>
      <c r="J369" s="7" t="s">
        <v>24</v>
      </c>
      <c r="K369" s="7" t="s">
        <v>1453</v>
      </c>
      <c r="L369" s="3">
        <v>65141933</v>
      </c>
      <c r="M369" s="5"/>
      <c r="N369" s="3">
        <v>7500000</v>
      </c>
      <c r="O369" s="40"/>
      <c r="P369" s="40"/>
      <c r="Q369" s="3">
        <f t="shared" si="48"/>
        <v>72641933</v>
      </c>
      <c r="R369" s="3">
        <v>65141933</v>
      </c>
      <c r="S369" s="7"/>
      <c r="T369" s="30">
        <v>7500000</v>
      </c>
      <c r="U369" s="7"/>
      <c r="V369" s="7"/>
      <c r="W369" s="36"/>
      <c r="X369" s="36">
        <f t="shared" si="49"/>
        <v>0</v>
      </c>
      <c r="Y369" s="36">
        <f t="shared" si="50"/>
        <v>0</v>
      </c>
      <c r="Z369" s="36">
        <f t="shared" si="47"/>
        <v>0</v>
      </c>
      <c r="AA369" s="4"/>
      <c r="AB369" s="79"/>
    </row>
    <row r="370" spans="1:28" ht="46.8" x14ac:dyDescent="0.3">
      <c r="A370" s="7" t="s">
        <v>53</v>
      </c>
      <c r="B370" s="6">
        <v>351</v>
      </c>
      <c r="C370" s="7" t="s">
        <v>1077</v>
      </c>
      <c r="D370" s="7" t="s">
        <v>1454</v>
      </c>
      <c r="E370" s="5"/>
      <c r="F370" s="7" t="s">
        <v>1455</v>
      </c>
      <c r="G370" s="5"/>
      <c r="H370" s="5"/>
      <c r="I370" s="7" t="s">
        <v>1456</v>
      </c>
      <c r="J370" s="7" t="s">
        <v>24</v>
      </c>
      <c r="K370" s="7" t="s">
        <v>1457</v>
      </c>
      <c r="L370" s="3">
        <v>2508309760</v>
      </c>
      <c r="M370" s="5"/>
      <c r="N370" s="3">
        <v>15000000</v>
      </c>
      <c r="O370" s="40"/>
      <c r="P370" s="40"/>
      <c r="Q370" s="3">
        <f t="shared" si="48"/>
        <v>2523309760</v>
      </c>
      <c r="R370" s="3">
        <v>2508309760</v>
      </c>
      <c r="S370" s="7"/>
      <c r="T370" s="30">
        <v>15000000</v>
      </c>
      <c r="U370" s="7"/>
      <c r="V370" s="7"/>
      <c r="W370" s="36"/>
      <c r="X370" s="36">
        <f t="shared" si="49"/>
        <v>0</v>
      </c>
      <c r="Y370" s="36">
        <f t="shared" si="50"/>
        <v>0</v>
      </c>
      <c r="Z370" s="36">
        <f t="shared" si="47"/>
        <v>0</v>
      </c>
      <c r="AA370" s="4"/>
      <c r="AB370" s="79"/>
    </row>
    <row r="371" spans="1:28" ht="46.8" x14ac:dyDescent="0.3">
      <c r="A371" s="7" t="s">
        <v>46</v>
      </c>
      <c r="B371" s="6">
        <v>352</v>
      </c>
      <c r="C371" s="7" t="s">
        <v>1077</v>
      </c>
      <c r="D371" s="7" t="s">
        <v>1458</v>
      </c>
      <c r="E371" s="5"/>
      <c r="F371" s="7" t="s">
        <v>1459</v>
      </c>
      <c r="G371" s="5"/>
      <c r="H371" s="5"/>
      <c r="I371" s="7" t="s">
        <v>1460</v>
      </c>
      <c r="J371" s="7" t="s">
        <v>24</v>
      </c>
      <c r="K371" s="7" t="s">
        <v>1461</v>
      </c>
      <c r="L371" s="6">
        <v>0</v>
      </c>
      <c r="M371" s="5"/>
      <c r="N371" s="3">
        <v>7500000</v>
      </c>
      <c r="O371" s="40"/>
      <c r="P371" s="40"/>
      <c r="Q371" s="3">
        <f t="shared" si="48"/>
        <v>7500000</v>
      </c>
      <c r="R371" s="6">
        <v>0</v>
      </c>
      <c r="S371" s="7"/>
      <c r="T371" s="72"/>
      <c r="U371" s="7"/>
      <c r="V371" s="7"/>
      <c r="W371" s="36"/>
      <c r="X371" s="36">
        <f t="shared" si="49"/>
        <v>0</v>
      </c>
      <c r="Y371" s="36">
        <f t="shared" si="50"/>
        <v>7500000</v>
      </c>
      <c r="Z371" s="36">
        <f t="shared" si="47"/>
        <v>0</v>
      </c>
      <c r="AA371" s="4"/>
      <c r="AB371" s="79"/>
    </row>
    <row r="372" spans="1:28" ht="31.2" x14ac:dyDescent="0.3">
      <c r="A372" s="7" t="s">
        <v>46</v>
      </c>
      <c r="B372" s="6">
        <v>353</v>
      </c>
      <c r="C372" s="7" t="s">
        <v>1077</v>
      </c>
      <c r="D372" s="7" t="s">
        <v>1462</v>
      </c>
      <c r="E372" s="5"/>
      <c r="F372" s="7" t="s">
        <v>1463</v>
      </c>
      <c r="G372" s="5"/>
      <c r="H372" s="5"/>
      <c r="I372" s="7" t="s">
        <v>1464</v>
      </c>
      <c r="J372" s="7" t="s">
        <v>24</v>
      </c>
      <c r="K372" s="7" t="s">
        <v>1465</v>
      </c>
      <c r="L372" s="3">
        <v>3137001240</v>
      </c>
      <c r="M372" s="5"/>
      <c r="N372" s="3">
        <v>15000000</v>
      </c>
      <c r="O372" s="40"/>
      <c r="P372" s="40"/>
      <c r="Q372" s="3">
        <f t="shared" si="48"/>
        <v>3152001240</v>
      </c>
      <c r="R372" s="3">
        <v>3137001240</v>
      </c>
      <c r="S372" s="7"/>
      <c r="T372" s="30">
        <v>15000000</v>
      </c>
      <c r="U372" s="7"/>
      <c r="V372" s="7"/>
      <c r="W372" s="36"/>
      <c r="X372" s="36">
        <f t="shared" si="49"/>
        <v>0</v>
      </c>
      <c r="Y372" s="36">
        <f t="shared" si="50"/>
        <v>0</v>
      </c>
      <c r="Z372" s="36">
        <f t="shared" si="47"/>
        <v>0</v>
      </c>
      <c r="AA372" s="4"/>
      <c r="AB372" s="79"/>
    </row>
    <row r="373" spans="1:28" ht="31.2" x14ac:dyDescent="0.3">
      <c r="A373" s="7" t="s">
        <v>46</v>
      </c>
      <c r="B373" s="6">
        <v>354</v>
      </c>
      <c r="C373" s="7" t="s">
        <v>1077</v>
      </c>
      <c r="D373" s="7" t="s">
        <v>1466</v>
      </c>
      <c r="E373" s="5"/>
      <c r="F373" s="7" t="s">
        <v>1467</v>
      </c>
      <c r="G373" s="5"/>
      <c r="H373" s="5"/>
      <c r="I373" s="7" t="s">
        <v>1468</v>
      </c>
      <c r="J373" s="7" t="s">
        <v>24</v>
      </c>
      <c r="K373" s="7" t="s">
        <v>1469</v>
      </c>
      <c r="L373" s="3">
        <v>2986318488</v>
      </c>
      <c r="M373" s="5"/>
      <c r="N373" s="3">
        <v>15000000</v>
      </c>
      <c r="O373" s="40"/>
      <c r="P373" s="40"/>
      <c r="Q373" s="3">
        <f t="shared" si="48"/>
        <v>3001318488</v>
      </c>
      <c r="R373" s="3">
        <v>2986318488</v>
      </c>
      <c r="S373" s="7"/>
      <c r="T373" s="30">
        <v>15000000</v>
      </c>
      <c r="U373" s="7"/>
      <c r="V373" s="7"/>
      <c r="W373" s="36"/>
      <c r="X373" s="36">
        <f t="shared" si="49"/>
        <v>0</v>
      </c>
      <c r="Y373" s="36">
        <f t="shared" si="50"/>
        <v>0</v>
      </c>
      <c r="Z373" s="36">
        <f t="shared" si="47"/>
        <v>0</v>
      </c>
      <c r="AA373" s="4"/>
      <c r="AB373" s="79"/>
    </row>
    <row r="374" spans="1:28" ht="46.8" x14ac:dyDescent="0.3">
      <c r="A374" s="7" t="s">
        <v>62</v>
      </c>
      <c r="B374" s="6">
        <v>355</v>
      </c>
      <c r="C374" s="7" t="s">
        <v>1077</v>
      </c>
      <c r="D374" s="7" t="s">
        <v>1470</v>
      </c>
      <c r="E374" s="5"/>
      <c r="F374" s="7" t="s">
        <v>1471</v>
      </c>
      <c r="G374" s="5"/>
      <c r="H374" s="5"/>
      <c r="I374" s="7" t="s">
        <v>1472</v>
      </c>
      <c r="J374" s="7" t="s">
        <v>24</v>
      </c>
      <c r="K374" s="7" t="s">
        <v>1473</v>
      </c>
      <c r="L374" s="3">
        <v>124614064</v>
      </c>
      <c r="M374" s="5"/>
      <c r="N374" s="3">
        <v>7500000</v>
      </c>
      <c r="O374" s="40"/>
      <c r="P374" s="40"/>
      <c r="Q374" s="3">
        <f t="shared" si="48"/>
        <v>132114064</v>
      </c>
      <c r="R374" s="3">
        <v>124614064</v>
      </c>
      <c r="S374" s="7"/>
      <c r="T374" s="30">
        <v>7500000</v>
      </c>
      <c r="U374" s="7"/>
      <c r="V374" s="7"/>
      <c r="W374" s="36"/>
      <c r="X374" s="36">
        <f t="shared" si="49"/>
        <v>0</v>
      </c>
      <c r="Y374" s="36">
        <f t="shared" si="50"/>
        <v>0</v>
      </c>
      <c r="Z374" s="36">
        <f t="shared" si="47"/>
        <v>0</v>
      </c>
      <c r="AA374" s="4"/>
      <c r="AB374" s="79"/>
    </row>
    <row r="375" spans="1:28" ht="31.2" x14ac:dyDescent="0.3">
      <c r="A375" s="7" t="s">
        <v>18</v>
      </c>
      <c r="B375" s="6">
        <v>356</v>
      </c>
      <c r="C375" s="7" t="s">
        <v>1077</v>
      </c>
      <c r="D375" s="7" t="s">
        <v>1474</v>
      </c>
      <c r="E375" s="5"/>
      <c r="F375" s="7" t="s">
        <v>1475</v>
      </c>
      <c r="G375" s="5"/>
      <c r="H375" s="5"/>
      <c r="I375" s="7" t="s">
        <v>1476</v>
      </c>
      <c r="J375" s="7" t="s">
        <v>24</v>
      </c>
      <c r="K375" s="7" t="s">
        <v>1477</v>
      </c>
      <c r="L375" s="3">
        <v>2246345440</v>
      </c>
      <c r="M375" s="5"/>
      <c r="N375" s="3">
        <v>15000000</v>
      </c>
      <c r="O375" s="40"/>
      <c r="P375" s="40"/>
      <c r="Q375" s="3">
        <f t="shared" si="48"/>
        <v>2261345440</v>
      </c>
      <c r="R375" s="3">
        <v>2246345440</v>
      </c>
      <c r="S375" s="7"/>
      <c r="T375" s="30">
        <v>15000000</v>
      </c>
      <c r="U375" s="7"/>
      <c r="V375" s="7"/>
      <c r="W375" s="36"/>
      <c r="X375" s="36">
        <f t="shared" si="49"/>
        <v>0</v>
      </c>
      <c r="Y375" s="36">
        <f t="shared" si="50"/>
        <v>0</v>
      </c>
      <c r="Z375" s="36">
        <f t="shared" si="47"/>
        <v>0</v>
      </c>
      <c r="AA375" s="4"/>
      <c r="AB375" s="79"/>
    </row>
    <row r="376" spans="1:28" ht="31.2" x14ac:dyDescent="0.3">
      <c r="A376" s="7" t="s">
        <v>46</v>
      </c>
      <c r="B376" s="6">
        <v>357</v>
      </c>
      <c r="C376" s="7" t="s">
        <v>1077</v>
      </c>
      <c r="D376" s="7" t="s">
        <v>1478</v>
      </c>
      <c r="E376" s="5"/>
      <c r="F376" s="7" t="s">
        <v>1479</v>
      </c>
      <c r="G376" s="5"/>
      <c r="H376" s="5"/>
      <c r="I376" s="7" t="s">
        <v>1480</v>
      </c>
      <c r="J376" s="7" t="s">
        <v>24</v>
      </c>
      <c r="K376" s="7" t="s">
        <v>1481</v>
      </c>
      <c r="L376" s="3">
        <v>693893100</v>
      </c>
      <c r="M376" s="5"/>
      <c r="N376" s="3">
        <v>15000000</v>
      </c>
      <c r="O376" s="40"/>
      <c r="P376" s="40"/>
      <c r="Q376" s="3">
        <f t="shared" si="48"/>
        <v>708893100</v>
      </c>
      <c r="R376" s="3">
        <v>693893100</v>
      </c>
      <c r="S376" s="7"/>
      <c r="T376" s="30">
        <v>15000000</v>
      </c>
      <c r="U376" s="7"/>
      <c r="V376" s="7"/>
      <c r="W376" s="36"/>
      <c r="X376" s="36">
        <f t="shared" si="49"/>
        <v>0</v>
      </c>
      <c r="Y376" s="36">
        <f t="shared" si="50"/>
        <v>0</v>
      </c>
      <c r="Z376" s="36">
        <f t="shared" si="47"/>
        <v>0</v>
      </c>
      <c r="AA376" s="4"/>
      <c r="AB376" s="79"/>
    </row>
    <row r="377" spans="1:28" ht="46.8" x14ac:dyDescent="0.3">
      <c r="A377" s="7" t="s">
        <v>18</v>
      </c>
      <c r="B377" s="6">
        <v>358</v>
      </c>
      <c r="C377" s="7" t="s">
        <v>1077</v>
      </c>
      <c r="D377" s="7" t="s">
        <v>1482</v>
      </c>
      <c r="E377" s="5"/>
      <c r="F377" s="7" t="s">
        <v>1484</v>
      </c>
      <c r="G377" s="5"/>
      <c r="H377" s="5"/>
      <c r="I377" s="7" t="s">
        <v>1485</v>
      </c>
      <c r="J377" s="7" t="s">
        <v>24</v>
      </c>
      <c r="K377" s="7" t="s">
        <v>1432</v>
      </c>
      <c r="L377" s="3">
        <v>10000000</v>
      </c>
      <c r="M377" s="5"/>
      <c r="N377" s="3">
        <v>15000000</v>
      </c>
      <c r="O377" s="40" t="s">
        <v>1483</v>
      </c>
      <c r="P377" s="10">
        <v>30000000</v>
      </c>
      <c r="Q377" s="3">
        <f t="shared" si="48"/>
        <v>55000000</v>
      </c>
      <c r="R377" s="3">
        <v>10000000</v>
      </c>
      <c r="S377" s="7"/>
      <c r="T377" s="30">
        <v>15000000</v>
      </c>
      <c r="U377" s="3">
        <v>30000000</v>
      </c>
      <c r="V377" s="7"/>
      <c r="W377" s="36"/>
      <c r="X377" s="36">
        <f t="shared" si="49"/>
        <v>0</v>
      </c>
      <c r="Y377" s="36">
        <f t="shared" si="50"/>
        <v>0</v>
      </c>
      <c r="Z377" s="36">
        <f t="shared" si="47"/>
        <v>0</v>
      </c>
      <c r="AA377" s="4"/>
      <c r="AB377" s="79"/>
    </row>
    <row r="378" spans="1:28" ht="31.2" x14ac:dyDescent="0.3">
      <c r="A378" s="7" t="s">
        <v>18</v>
      </c>
      <c r="B378" s="6">
        <v>359</v>
      </c>
      <c r="C378" s="7" t="s">
        <v>1077</v>
      </c>
      <c r="D378" s="7" t="s">
        <v>1486</v>
      </c>
      <c r="E378" s="5"/>
      <c r="F378" s="7" t="s">
        <v>1487</v>
      </c>
      <c r="G378" s="5"/>
      <c r="H378" s="5"/>
      <c r="I378" s="7" t="s">
        <v>1488</v>
      </c>
      <c r="J378" s="7" t="s">
        <v>24</v>
      </c>
      <c r="K378" s="7" t="s">
        <v>1489</v>
      </c>
      <c r="L378" s="3">
        <v>1333962300</v>
      </c>
      <c r="M378" s="5"/>
      <c r="N378" s="3">
        <v>7500000</v>
      </c>
      <c r="O378" s="40"/>
      <c r="P378" s="40"/>
      <c r="Q378" s="3">
        <f t="shared" si="48"/>
        <v>1341462300</v>
      </c>
      <c r="R378" s="3">
        <v>1333962300</v>
      </c>
      <c r="S378" s="7"/>
      <c r="T378" s="72"/>
      <c r="U378" s="7"/>
      <c r="V378" s="7"/>
      <c r="W378" s="36"/>
      <c r="X378" s="36">
        <f t="shared" si="49"/>
        <v>0</v>
      </c>
      <c r="Y378" s="36">
        <f t="shared" si="50"/>
        <v>7500000</v>
      </c>
      <c r="Z378" s="36">
        <f t="shared" si="47"/>
        <v>0</v>
      </c>
      <c r="AA378" s="4"/>
      <c r="AB378" s="79"/>
    </row>
    <row r="379" spans="1:28" ht="31.2" x14ac:dyDescent="0.3">
      <c r="A379" s="7" t="s">
        <v>18</v>
      </c>
      <c r="B379" s="6">
        <v>360</v>
      </c>
      <c r="C379" s="7" t="s">
        <v>1077</v>
      </c>
      <c r="D379" s="7" t="s">
        <v>1490</v>
      </c>
      <c r="E379" s="5"/>
      <c r="F379" s="7" t="s">
        <v>1491</v>
      </c>
      <c r="G379" s="7" t="s">
        <v>1282</v>
      </c>
      <c r="H379" s="5"/>
      <c r="I379" s="7" t="s">
        <v>1492</v>
      </c>
      <c r="J379" s="7" t="s">
        <v>24</v>
      </c>
      <c r="K379" s="7" t="s">
        <v>1493</v>
      </c>
      <c r="L379" s="3">
        <v>1884646500</v>
      </c>
      <c r="M379" s="5"/>
      <c r="N379" s="3">
        <v>7500000</v>
      </c>
      <c r="O379" s="40"/>
      <c r="P379" s="40"/>
      <c r="Q379" s="3">
        <f t="shared" si="48"/>
        <v>1892146500</v>
      </c>
      <c r="R379" s="3">
        <v>1884646500</v>
      </c>
      <c r="S379" s="7"/>
      <c r="T379" s="30">
        <v>7500000</v>
      </c>
      <c r="U379" s="7"/>
      <c r="V379" s="7"/>
      <c r="W379" s="36"/>
      <c r="X379" s="36">
        <f t="shared" si="49"/>
        <v>0</v>
      </c>
      <c r="Y379" s="36">
        <f t="shared" si="50"/>
        <v>0</v>
      </c>
      <c r="Z379" s="36">
        <f t="shared" si="47"/>
        <v>0</v>
      </c>
      <c r="AA379" s="4"/>
      <c r="AB379" s="79"/>
    </row>
    <row r="380" spans="1:28" ht="46.8" x14ac:dyDescent="0.3">
      <c r="A380" s="7" t="s">
        <v>18</v>
      </c>
      <c r="B380" s="6">
        <v>361</v>
      </c>
      <c r="C380" s="7" t="s">
        <v>1077</v>
      </c>
      <c r="D380" s="7" t="s">
        <v>1494</v>
      </c>
      <c r="E380" s="5"/>
      <c r="F380" s="7" t="s">
        <v>1495</v>
      </c>
      <c r="G380" s="5"/>
      <c r="H380" s="5"/>
      <c r="I380" s="7" t="s">
        <v>1496</v>
      </c>
      <c r="J380" s="7" t="s">
        <v>24</v>
      </c>
      <c r="K380" s="7" t="s">
        <v>1497</v>
      </c>
      <c r="L380" s="3">
        <v>827738776</v>
      </c>
      <c r="M380" s="5"/>
      <c r="N380" s="3">
        <v>15000000</v>
      </c>
      <c r="O380" s="40"/>
      <c r="P380" s="40"/>
      <c r="Q380" s="3">
        <f t="shared" si="48"/>
        <v>842738776</v>
      </c>
      <c r="R380" s="3">
        <v>827738776</v>
      </c>
      <c r="S380" s="7"/>
      <c r="T380" s="30">
        <v>15000000</v>
      </c>
      <c r="U380" s="7"/>
      <c r="V380" s="7"/>
      <c r="W380" s="36"/>
      <c r="X380" s="36">
        <f t="shared" si="49"/>
        <v>0</v>
      </c>
      <c r="Y380" s="36">
        <f t="shared" si="50"/>
        <v>0</v>
      </c>
      <c r="Z380" s="36">
        <f t="shared" si="47"/>
        <v>0</v>
      </c>
      <c r="AA380" s="4"/>
      <c r="AB380" s="79"/>
    </row>
    <row r="381" spans="1:28" ht="46.8" x14ac:dyDescent="0.3">
      <c r="A381" s="7" t="s">
        <v>53</v>
      </c>
      <c r="B381" s="6">
        <v>362</v>
      </c>
      <c r="C381" s="7" t="s">
        <v>1077</v>
      </c>
      <c r="D381" s="7" t="s">
        <v>1498</v>
      </c>
      <c r="E381" s="5"/>
      <c r="F381" s="7" t="s">
        <v>1499</v>
      </c>
      <c r="G381" s="5"/>
      <c r="H381" s="5"/>
      <c r="I381" s="7" t="s">
        <v>1500</v>
      </c>
      <c r="J381" s="7" t="s">
        <v>24</v>
      </c>
      <c r="K381" s="7" t="s">
        <v>1501</v>
      </c>
      <c r="L381" s="3">
        <v>3291977680</v>
      </c>
      <c r="M381" s="5"/>
      <c r="N381" s="3">
        <v>15000000</v>
      </c>
      <c r="O381" s="40"/>
      <c r="P381" s="40"/>
      <c r="Q381" s="3">
        <f t="shared" si="48"/>
        <v>3306977680</v>
      </c>
      <c r="R381" s="3">
        <v>3291977680</v>
      </c>
      <c r="S381" s="7"/>
      <c r="T381" s="72"/>
      <c r="U381" s="7"/>
      <c r="V381" s="7"/>
      <c r="W381" s="36"/>
      <c r="X381" s="36">
        <f t="shared" si="49"/>
        <v>0</v>
      </c>
      <c r="Y381" s="36">
        <f t="shared" si="50"/>
        <v>15000000</v>
      </c>
      <c r="Z381" s="36">
        <f t="shared" si="47"/>
        <v>0</v>
      </c>
      <c r="AA381" s="4"/>
      <c r="AB381" s="79"/>
    </row>
    <row r="382" spans="1:28" ht="31.2" x14ac:dyDescent="0.3">
      <c r="A382" s="7" t="s">
        <v>53</v>
      </c>
      <c r="B382" s="6">
        <v>363</v>
      </c>
      <c r="C382" s="7" t="s">
        <v>1077</v>
      </c>
      <c r="D382" s="7" t="s">
        <v>1502</v>
      </c>
      <c r="E382" s="5"/>
      <c r="F382" s="7" t="s">
        <v>1503</v>
      </c>
      <c r="G382" s="5"/>
      <c r="H382" s="5"/>
      <c r="I382" s="7" t="s">
        <v>1422</v>
      </c>
      <c r="J382" s="7" t="s">
        <v>24</v>
      </c>
      <c r="K382" s="7" t="s">
        <v>1504</v>
      </c>
      <c r="L382" s="3">
        <v>937421750</v>
      </c>
      <c r="M382" s="5"/>
      <c r="N382" s="3">
        <v>7500000</v>
      </c>
      <c r="O382" s="40"/>
      <c r="P382" s="40"/>
      <c r="Q382" s="3">
        <f t="shared" si="48"/>
        <v>944921750</v>
      </c>
      <c r="R382" s="3">
        <v>937421750</v>
      </c>
      <c r="S382" s="7"/>
      <c r="T382" s="30">
        <v>7500000</v>
      </c>
      <c r="U382" s="7"/>
      <c r="V382" s="7"/>
      <c r="W382" s="36"/>
      <c r="X382" s="36">
        <f t="shared" si="49"/>
        <v>0</v>
      </c>
      <c r="Y382" s="36">
        <f t="shared" si="50"/>
        <v>0</v>
      </c>
      <c r="Z382" s="36">
        <f t="shared" si="47"/>
        <v>0</v>
      </c>
      <c r="AA382" s="4"/>
      <c r="AB382" s="79"/>
    </row>
    <row r="383" spans="1:28" ht="46.8" x14ac:dyDescent="0.3">
      <c r="A383" s="7" t="s">
        <v>62</v>
      </c>
      <c r="B383" s="6">
        <v>364</v>
      </c>
      <c r="C383" s="7" t="s">
        <v>1077</v>
      </c>
      <c r="D383" s="7" t="s">
        <v>1505</v>
      </c>
      <c r="E383" s="7" t="s">
        <v>1506</v>
      </c>
      <c r="F383" s="7" t="s">
        <v>1507</v>
      </c>
      <c r="G383" s="7" t="s">
        <v>1508</v>
      </c>
      <c r="H383" s="5"/>
      <c r="I383" s="7" t="s">
        <v>1509</v>
      </c>
      <c r="J383" s="7" t="s">
        <v>24</v>
      </c>
      <c r="K383" s="7" t="s">
        <v>1510</v>
      </c>
      <c r="L383" s="3">
        <v>10000000</v>
      </c>
      <c r="M383" s="3">
        <v>762996660</v>
      </c>
      <c r="N383" s="3">
        <v>15000000</v>
      </c>
      <c r="O383" s="40"/>
      <c r="P383" s="40"/>
      <c r="Q383" s="3">
        <f t="shared" si="48"/>
        <v>787996660</v>
      </c>
      <c r="R383" s="3">
        <v>10000000</v>
      </c>
      <c r="S383" s="3">
        <v>762996660</v>
      </c>
      <c r="T383" s="30">
        <v>15000000</v>
      </c>
      <c r="U383" s="7"/>
      <c r="V383" s="7"/>
      <c r="W383" s="36"/>
      <c r="X383" s="36">
        <f t="shared" si="49"/>
        <v>0</v>
      </c>
      <c r="Y383" s="36">
        <f t="shared" si="50"/>
        <v>0</v>
      </c>
      <c r="Z383" s="36">
        <f t="shared" si="47"/>
        <v>0</v>
      </c>
      <c r="AA383" s="4"/>
      <c r="AB383" s="79"/>
    </row>
    <row r="384" spans="1:28" ht="46.8" x14ac:dyDescent="0.3">
      <c r="A384" s="7" t="s">
        <v>46</v>
      </c>
      <c r="B384" s="6">
        <v>365</v>
      </c>
      <c r="C384" s="7" t="s">
        <v>1077</v>
      </c>
      <c r="D384" s="7" t="s">
        <v>1511</v>
      </c>
      <c r="E384" s="7" t="s">
        <v>1512</v>
      </c>
      <c r="F384" s="7" t="s">
        <v>1513</v>
      </c>
      <c r="G384" s="7" t="s">
        <v>1514</v>
      </c>
      <c r="H384" s="5"/>
      <c r="I384" s="7" t="s">
        <v>197</v>
      </c>
      <c r="J384" s="7" t="s">
        <v>24</v>
      </c>
      <c r="K384" s="7" t="s">
        <v>1515</v>
      </c>
      <c r="L384" s="3">
        <v>1975869376</v>
      </c>
      <c r="M384" s="3">
        <v>579124224</v>
      </c>
      <c r="N384" s="3">
        <v>15000000</v>
      </c>
      <c r="O384" s="40"/>
      <c r="P384" s="40"/>
      <c r="Q384" s="3">
        <f t="shared" si="48"/>
        <v>2569993600</v>
      </c>
      <c r="R384" s="3">
        <v>1975869376</v>
      </c>
      <c r="S384" s="3">
        <v>579124224</v>
      </c>
      <c r="T384" s="30">
        <v>15000000</v>
      </c>
      <c r="U384" s="7"/>
      <c r="V384" s="7"/>
      <c r="W384" s="36"/>
      <c r="X384" s="36">
        <f t="shared" si="49"/>
        <v>0</v>
      </c>
      <c r="Y384" s="36">
        <f t="shared" si="50"/>
        <v>0</v>
      </c>
      <c r="Z384" s="36">
        <f t="shared" si="47"/>
        <v>0</v>
      </c>
      <c r="AA384" s="4"/>
      <c r="AB384" s="79"/>
    </row>
    <row r="385" spans="1:28" ht="46.8" x14ac:dyDescent="0.3">
      <c r="A385" s="7" t="s">
        <v>53</v>
      </c>
      <c r="B385" s="6">
        <v>366</v>
      </c>
      <c r="C385" s="7" t="s">
        <v>1077</v>
      </c>
      <c r="D385" s="7" t="s">
        <v>1516</v>
      </c>
      <c r="E385" s="7" t="s">
        <v>914</v>
      </c>
      <c r="F385" s="7" t="s">
        <v>1517</v>
      </c>
      <c r="G385" s="5"/>
      <c r="H385" s="5"/>
      <c r="I385" s="7" t="s">
        <v>1518</v>
      </c>
      <c r="J385" s="7" t="s">
        <v>24</v>
      </c>
      <c r="K385" s="7" t="s">
        <v>1519</v>
      </c>
      <c r="L385" s="3">
        <v>1715172160</v>
      </c>
      <c r="M385" s="3">
        <v>196024320</v>
      </c>
      <c r="N385" s="3">
        <v>15000000</v>
      </c>
      <c r="O385" s="40"/>
      <c r="P385" s="40"/>
      <c r="Q385" s="3">
        <f t="shared" si="48"/>
        <v>1926196480</v>
      </c>
      <c r="R385" s="3">
        <v>1715172160</v>
      </c>
      <c r="S385" s="3">
        <v>196024320</v>
      </c>
      <c r="T385" s="30">
        <v>15000000</v>
      </c>
      <c r="U385" s="7"/>
      <c r="V385" s="7"/>
      <c r="W385" s="36"/>
      <c r="X385" s="36">
        <f t="shared" si="49"/>
        <v>0</v>
      </c>
      <c r="Y385" s="36">
        <f t="shared" si="50"/>
        <v>0</v>
      </c>
      <c r="Z385" s="36">
        <f t="shared" si="47"/>
        <v>0</v>
      </c>
      <c r="AA385" s="4"/>
      <c r="AB385" s="79"/>
    </row>
    <row r="386" spans="1:28" ht="31.2" x14ac:dyDescent="0.3">
      <c r="A386" s="7" t="s">
        <v>46</v>
      </c>
      <c r="B386" s="6">
        <v>367</v>
      </c>
      <c r="C386" s="7" t="s">
        <v>1077</v>
      </c>
      <c r="D386" s="7" t="s">
        <v>1520</v>
      </c>
      <c r="E386" s="5"/>
      <c r="F386" s="7" t="s">
        <v>1521</v>
      </c>
      <c r="G386" s="5"/>
      <c r="H386" s="5"/>
      <c r="I386" s="7" t="s">
        <v>1522</v>
      </c>
      <c r="J386" s="7" t="s">
        <v>24</v>
      </c>
      <c r="K386" s="7" t="s">
        <v>1523</v>
      </c>
      <c r="L386" s="3">
        <v>1139494794</v>
      </c>
      <c r="M386" s="5"/>
      <c r="N386" s="3">
        <v>7500000</v>
      </c>
      <c r="O386" s="40"/>
      <c r="P386" s="40"/>
      <c r="Q386" s="3">
        <f t="shared" si="48"/>
        <v>1146994794</v>
      </c>
      <c r="R386" s="3">
        <v>1139494794</v>
      </c>
      <c r="S386" s="7"/>
      <c r="T386" s="30">
        <v>7500000</v>
      </c>
      <c r="U386" s="7"/>
      <c r="V386" s="7"/>
      <c r="W386" s="36"/>
      <c r="X386" s="36">
        <f t="shared" si="49"/>
        <v>0</v>
      </c>
      <c r="Y386" s="36">
        <f t="shared" si="50"/>
        <v>0</v>
      </c>
      <c r="Z386" s="36">
        <f t="shared" si="47"/>
        <v>0</v>
      </c>
      <c r="AA386" s="4"/>
      <c r="AB386" s="79"/>
    </row>
    <row r="387" spans="1:28" ht="46.8" x14ac:dyDescent="0.3">
      <c r="A387" s="7" t="s">
        <v>62</v>
      </c>
      <c r="B387" s="6">
        <v>368</v>
      </c>
      <c r="C387" s="7" t="s">
        <v>1077</v>
      </c>
      <c r="D387" s="7" t="s">
        <v>1524</v>
      </c>
      <c r="E387" s="5"/>
      <c r="F387" s="7" t="s">
        <v>1525</v>
      </c>
      <c r="G387" s="5"/>
      <c r="H387" s="5"/>
      <c r="I387" s="7" t="s">
        <v>1526</v>
      </c>
      <c r="J387" s="7" t="s">
        <v>24</v>
      </c>
      <c r="K387" s="7" t="s">
        <v>1527</v>
      </c>
      <c r="L387" s="3">
        <v>3291977680</v>
      </c>
      <c r="M387" s="5"/>
      <c r="N387" s="3">
        <v>15000000</v>
      </c>
      <c r="O387" s="40"/>
      <c r="P387" s="40"/>
      <c r="Q387" s="3">
        <f t="shared" si="48"/>
        <v>3306977680</v>
      </c>
      <c r="R387" s="3">
        <v>3291977680</v>
      </c>
      <c r="S387" s="7"/>
      <c r="T387" s="30">
        <v>15000000</v>
      </c>
      <c r="U387" s="7"/>
      <c r="V387" s="7"/>
      <c r="W387" s="36"/>
      <c r="X387" s="36">
        <f t="shared" si="49"/>
        <v>0</v>
      </c>
      <c r="Y387" s="36">
        <f t="shared" si="50"/>
        <v>0</v>
      </c>
      <c r="Z387" s="36">
        <f t="shared" si="47"/>
        <v>0</v>
      </c>
      <c r="AA387" s="4"/>
      <c r="AB387" s="79"/>
    </row>
    <row r="388" spans="1:28" ht="46.8" x14ac:dyDescent="0.3">
      <c r="A388" s="7" t="s">
        <v>18</v>
      </c>
      <c r="B388" s="6">
        <v>369</v>
      </c>
      <c r="C388" s="7" t="s">
        <v>1077</v>
      </c>
      <c r="D388" s="7" t="s">
        <v>1528</v>
      </c>
      <c r="E388" s="5"/>
      <c r="F388" s="7" t="s">
        <v>1529</v>
      </c>
      <c r="G388" s="5"/>
      <c r="H388" s="5"/>
      <c r="I388" s="7" t="s">
        <v>1530</v>
      </c>
      <c r="J388" s="7" t="s">
        <v>24</v>
      </c>
      <c r="K388" s="7" t="s">
        <v>1531</v>
      </c>
      <c r="L388" s="3">
        <v>923485600</v>
      </c>
      <c r="M388" s="5"/>
      <c r="N388" s="3">
        <v>15000000</v>
      </c>
      <c r="O388" s="40"/>
      <c r="P388" s="40"/>
      <c r="Q388" s="3">
        <f t="shared" si="48"/>
        <v>938485600</v>
      </c>
      <c r="R388" s="3">
        <v>923485600</v>
      </c>
      <c r="S388" s="7"/>
      <c r="T388" s="30">
        <v>15000000</v>
      </c>
      <c r="U388" s="7"/>
      <c r="V388" s="7"/>
      <c r="W388" s="36"/>
      <c r="X388" s="36">
        <f t="shared" si="49"/>
        <v>0</v>
      </c>
      <c r="Y388" s="36">
        <f t="shared" si="50"/>
        <v>0</v>
      </c>
      <c r="Z388" s="36">
        <f t="shared" si="47"/>
        <v>0</v>
      </c>
      <c r="AA388" s="4"/>
      <c r="AB388" s="79"/>
    </row>
    <row r="389" spans="1:28" ht="31.2" x14ac:dyDescent="0.3">
      <c r="A389" s="7" t="s">
        <v>46</v>
      </c>
      <c r="B389" s="6">
        <v>370</v>
      </c>
      <c r="C389" s="7" t="s">
        <v>1077</v>
      </c>
      <c r="D389" s="7" t="s">
        <v>1532</v>
      </c>
      <c r="E389" s="7" t="s">
        <v>1533</v>
      </c>
      <c r="F389" s="7" t="s">
        <v>1534</v>
      </c>
      <c r="G389" s="7" t="s">
        <v>1535</v>
      </c>
      <c r="H389" s="5"/>
      <c r="I389" s="7" t="s">
        <v>1536</v>
      </c>
      <c r="J389" s="7" t="s">
        <v>24</v>
      </c>
      <c r="K389" s="7" t="s">
        <v>1537</v>
      </c>
      <c r="L389" s="3">
        <v>2060615056</v>
      </c>
      <c r="M389" s="3">
        <v>207933110</v>
      </c>
      <c r="N389" s="3">
        <v>15000000</v>
      </c>
      <c r="O389" s="40"/>
      <c r="P389" s="40"/>
      <c r="Q389" s="3">
        <f t="shared" si="48"/>
        <v>2283548166</v>
      </c>
      <c r="R389" s="3">
        <v>2060615056</v>
      </c>
      <c r="S389" s="3">
        <v>207933110</v>
      </c>
      <c r="T389" s="30">
        <v>15000000</v>
      </c>
      <c r="U389" s="7"/>
      <c r="V389" s="7"/>
      <c r="W389" s="36"/>
      <c r="X389" s="36">
        <f t="shared" si="49"/>
        <v>0</v>
      </c>
      <c r="Y389" s="36">
        <f t="shared" si="50"/>
        <v>0</v>
      </c>
      <c r="Z389" s="36">
        <f t="shared" si="47"/>
        <v>0</v>
      </c>
      <c r="AA389" s="4"/>
      <c r="AB389" s="79"/>
    </row>
    <row r="390" spans="1:28" ht="31.2" x14ac:dyDescent="0.3">
      <c r="A390" s="7" t="s">
        <v>46</v>
      </c>
      <c r="B390" s="6">
        <v>371</v>
      </c>
      <c r="C390" s="7" t="s">
        <v>1077</v>
      </c>
      <c r="D390" s="7" t="s">
        <v>1538</v>
      </c>
      <c r="E390" s="5"/>
      <c r="F390" s="7" t="s">
        <v>1539</v>
      </c>
      <c r="G390" s="5"/>
      <c r="H390" s="5"/>
      <c r="I390" s="7" t="s">
        <v>1540</v>
      </c>
      <c r="J390" s="7" t="s">
        <v>24</v>
      </c>
      <c r="K390" s="7" t="s">
        <v>1541</v>
      </c>
      <c r="L390" s="6">
        <v>0</v>
      </c>
      <c r="M390" s="5"/>
      <c r="N390" s="3">
        <v>7500000</v>
      </c>
      <c r="O390" s="40"/>
      <c r="P390" s="40"/>
      <c r="Q390" s="3">
        <f t="shared" si="48"/>
        <v>7500000</v>
      </c>
      <c r="R390" s="6">
        <v>0</v>
      </c>
      <c r="S390" s="7"/>
      <c r="T390" s="72"/>
      <c r="U390" s="7"/>
      <c r="V390" s="7"/>
      <c r="W390" s="36"/>
      <c r="X390" s="36">
        <f t="shared" si="49"/>
        <v>0</v>
      </c>
      <c r="Y390" s="36">
        <f t="shared" si="50"/>
        <v>7500000</v>
      </c>
      <c r="Z390" s="36">
        <f t="shared" si="47"/>
        <v>0</v>
      </c>
      <c r="AA390" s="4"/>
      <c r="AB390" s="79"/>
    </row>
    <row r="391" spans="1:28" ht="46.8" x14ac:dyDescent="0.3">
      <c r="A391" s="7" t="s">
        <v>53</v>
      </c>
      <c r="B391" s="6">
        <v>372</v>
      </c>
      <c r="C391" s="7" t="s">
        <v>1077</v>
      </c>
      <c r="D391" s="7" t="s">
        <v>1542</v>
      </c>
      <c r="E391" s="5"/>
      <c r="F391" s="7" t="s">
        <v>1543</v>
      </c>
      <c r="G391" s="5"/>
      <c r="H391" s="5"/>
      <c r="I391" s="7" t="s">
        <v>1422</v>
      </c>
      <c r="J391" s="7" t="s">
        <v>24</v>
      </c>
      <c r="K391" s="7" t="s">
        <v>1544</v>
      </c>
      <c r="L391" s="3">
        <v>921360322</v>
      </c>
      <c r="M391" s="5"/>
      <c r="N391" s="3">
        <v>7500000</v>
      </c>
      <c r="O391" s="40"/>
      <c r="P391" s="40"/>
      <c r="Q391" s="3">
        <f t="shared" si="48"/>
        <v>928860322</v>
      </c>
      <c r="R391" s="3">
        <v>921360322</v>
      </c>
      <c r="S391" s="7"/>
      <c r="T391" s="30">
        <v>7500000</v>
      </c>
      <c r="U391" s="7"/>
      <c r="V391" s="7"/>
      <c r="W391" s="36"/>
      <c r="X391" s="36">
        <f t="shared" si="49"/>
        <v>0</v>
      </c>
      <c r="Y391" s="36">
        <f t="shared" si="50"/>
        <v>0</v>
      </c>
      <c r="Z391" s="36">
        <f t="shared" si="47"/>
        <v>0</v>
      </c>
      <c r="AA391" s="4"/>
      <c r="AB391" s="79"/>
    </row>
    <row r="392" spans="1:28" ht="46.8" x14ac:dyDescent="0.3">
      <c r="A392" s="7" t="s">
        <v>18</v>
      </c>
      <c r="B392" s="6">
        <v>373</v>
      </c>
      <c r="C392" s="7" t="s">
        <v>1077</v>
      </c>
      <c r="D392" s="7" t="s">
        <v>1545</v>
      </c>
      <c r="E392" s="5"/>
      <c r="F392" s="7" t="s">
        <v>1547</v>
      </c>
      <c r="G392" s="5"/>
      <c r="H392" s="5"/>
      <c r="I392" s="7" t="s">
        <v>1548</v>
      </c>
      <c r="J392" s="7" t="s">
        <v>24</v>
      </c>
      <c r="K392" s="7" t="s">
        <v>1549</v>
      </c>
      <c r="L392" s="3">
        <v>3862052810</v>
      </c>
      <c r="M392" s="5"/>
      <c r="N392" s="3">
        <v>15000000</v>
      </c>
      <c r="O392" s="7" t="s">
        <v>1546</v>
      </c>
      <c r="P392" s="3">
        <v>56000000</v>
      </c>
      <c r="Q392" s="3">
        <f t="shared" si="48"/>
        <v>3933052810</v>
      </c>
      <c r="R392" s="3">
        <v>3862052810</v>
      </c>
      <c r="S392" s="7"/>
      <c r="T392" s="30">
        <v>15000000</v>
      </c>
      <c r="U392" s="7"/>
      <c r="V392" s="7"/>
      <c r="W392" s="36"/>
      <c r="X392" s="36">
        <f t="shared" si="49"/>
        <v>0</v>
      </c>
      <c r="Y392" s="36">
        <f t="shared" si="50"/>
        <v>0</v>
      </c>
      <c r="Z392" s="36">
        <f t="shared" si="47"/>
        <v>56000000</v>
      </c>
      <c r="AA392" s="4"/>
      <c r="AB392" s="83"/>
    </row>
    <row r="393" spans="1:28" ht="31.2" x14ac:dyDescent="0.3">
      <c r="A393" s="7" t="s">
        <v>18</v>
      </c>
      <c r="B393" s="6">
        <v>374</v>
      </c>
      <c r="C393" s="7" t="s">
        <v>1077</v>
      </c>
      <c r="D393" s="7" t="s">
        <v>1550</v>
      </c>
      <c r="E393" s="7" t="s">
        <v>1383</v>
      </c>
      <c r="F393" s="7" t="s">
        <v>1551</v>
      </c>
      <c r="G393" s="5"/>
      <c r="H393" s="5"/>
      <c r="I393" s="7" t="s">
        <v>1552</v>
      </c>
      <c r="J393" s="7" t="s">
        <v>24</v>
      </c>
      <c r="K393" s="7" t="s">
        <v>1553</v>
      </c>
      <c r="L393" s="3">
        <v>1332855184</v>
      </c>
      <c r="M393" s="3">
        <v>1083625992</v>
      </c>
      <c r="N393" s="3">
        <v>15000000</v>
      </c>
      <c r="O393" s="40"/>
      <c r="P393" s="40"/>
      <c r="Q393" s="3">
        <f t="shared" si="48"/>
        <v>2431481176</v>
      </c>
      <c r="R393" s="3">
        <v>1332855184</v>
      </c>
      <c r="S393" s="3">
        <v>1083625992</v>
      </c>
      <c r="T393" s="30">
        <v>15000000</v>
      </c>
      <c r="U393" s="7"/>
      <c r="V393" s="7"/>
      <c r="W393" s="36"/>
      <c r="X393" s="36">
        <f t="shared" si="49"/>
        <v>0</v>
      </c>
      <c r="Y393" s="36">
        <f t="shared" si="50"/>
        <v>0</v>
      </c>
      <c r="Z393" s="36">
        <f t="shared" si="47"/>
        <v>0</v>
      </c>
      <c r="AA393" s="4"/>
      <c r="AB393" s="79"/>
    </row>
    <row r="394" spans="1:28" ht="46.8" x14ac:dyDescent="0.3">
      <c r="A394" s="7" t="s">
        <v>62</v>
      </c>
      <c r="B394" s="6">
        <v>375</v>
      </c>
      <c r="C394" s="7" t="s">
        <v>1077</v>
      </c>
      <c r="D394" s="7" t="s">
        <v>1554</v>
      </c>
      <c r="E394" s="5"/>
      <c r="F394" s="7" t="s">
        <v>1555</v>
      </c>
      <c r="G394" s="5"/>
      <c r="H394" s="5"/>
      <c r="I394" s="7" t="s">
        <v>1556</v>
      </c>
      <c r="J394" s="7" t="s">
        <v>24</v>
      </c>
      <c r="K394" s="7" t="s">
        <v>1557</v>
      </c>
      <c r="L394" s="3">
        <v>1438986832</v>
      </c>
      <c r="M394" s="5"/>
      <c r="N394" s="3">
        <v>15000000</v>
      </c>
      <c r="O394" s="40"/>
      <c r="P394" s="40"/>
      <c r="Q394" s="3">
        <f t="shared" si="48"/>
        <v>1453986832</v>
      </c>
      <c r="R394" s="3">
        <v>1438986832</v>
      </c>
      <c r="S394" s="7"/>
      <c r="T394" s="30">
        <v>15000000</v>
      </c>
      <c r="U394" s="7"/>
      <c r="V394" s="7"/>
      <c r="W394" s="36"/>
      <c r="X394" s="36">
        <f t="shared" si="49"/>
        <v>0</v>
      </c>
      <c r="Y394" s="36">
        <f t="shared" si="50"/>
        <v>0</v>
      </c>
      <c r="Z394" s="36">
        <f t="shared" si="47"/>
        <v>0</v>
      </c>
      <c r="AA394" s="4"/>
      <c r="AB394" s="79"/>
    </row>
    <row r="395" spans="1:28" ht="46.8" x14ac:dyDescent="0.3">
      <c r="A395" s="7" t="s">
        <v>46</v>
      </c>
      <c r="B395" s="6">
        <v>376</v>
      </c>
      <c r="C395" s="7" t="s">
        <v>1077</v>
      </c>
      <c r="D395" s="7" t="s">
        <v>1558</v>
      </c>
      <c r="E395" s="5"/>
      <c r="F395" s="7" t="s">
        <v>1560</v>
      </c>
      <c r="G395" s="5"/>
      <c r="H395" s="5"/>
      <c r="I395" s="7" t="s">
        <v>1561</v>
      </c>
      <c r="J395" s="7" t="s">
        <v>24</v>
      </c>
      <c r="K395" s="7" t="s">
        <v>1562</v>
      </c>
      <c r="L395" s="3">
        <v>544448656</v>
      </c>
      <c r="M395" s="5"/>
      <c r="N395" s="3">
        <v>15000000</v>
      </c>
      <c r="O395" s="7" t="s">
        <v>1559</v>
      </c>
      <c r="P395" s="3">
        <v>72000000</v>
      </c>
      <c r="Q395" s="3">
        <f t="shared" si="48"/>
        <v>631448656</v>
      </c>
      <c r="R395" s="3">
        <v>544448656</v>
      </c>
      <c r="S395" s="7"/>
      <c r="T395" s="30">
        <v>15000000</v>
      </c>
      <c r="U395" s="7"/>
      <c r="V395" s="7"/>
      <c r="W395" s="36"/>
      <c r="X395" s="36">
        <f t="shared" si="49"/>
        <v>0</v>
      </c>
      <c r="Y395" s="36">
        <f t="shared" si="50"/>
        <v>0</v>
      </c>
      <c r="Z395" s="36">
        <f t="shared" si="47"/>
        <v>72000000</v>
      </c>
      <c r="AA395" s="4"/>
      <c r="AB395" s="83"/>
    </row>
    <row r="396" spans="1:28" ht="31.2" x14ac:dyDescent="0.3">
      <c r="A396" s="7" t="s">
        <v>62</v>
      </c>
      <c r="B396" s="6">
        <v>377</v>
      </c>
      <c r="C396" s="7" t="s">
        <v>1077</v>
      </c>
      <c r="D396" s="7" t="s">
        <v>1563</v>
      </c>
      <c r="E396" s="7" t="s">
        <v>1564</v>
      </c>
      <c r="F396" s="7" t="s">
        <v>1565</v>
      </c>
      <c r="G396" s="7" t="s">
        <v>1566</v>
      </c>
      <c r="H396" s="5"/>
      <c r="I396" s="7" t="s">
        <v>1567</v>
      </c>
      <c r="J396" s="7" t="s">
        <v>24</v>
      </c>
      <c r="K396" s="7" t="s">
        <v>1406</v>
      </c>
      <c r="L396" s="3">
        <v>1565965768</v>
      </c>
      <c r="M396" s="3">
        <v>410266836</v>
      </c>
      <c r="N396" s="3">
        <v>15000000</v>
      </c>
      <c r="O396" s="40"/>
      <c r="P396" s="40"/>
      <c r="Q396" s="3">
        <f t="shared" si="48"/>
        <v>1991232604</v>
      </c>
      <c r="R396" s="3">
        <v>1565965768</v>
      </c>
      <c r="S396" s="7"/>
      <c r="T396" s="30">
        <v>15000000</v>
      </c>
      <c r="U396" s="7"/>
      <c r="V396" s="7"/>
      <c r="W396" s="36"/>
      <c r="X396" s="36">
        <f t="shared" si="49"/>
        <v>410266836</v>
      </c>
      <c r="Y396" s="36">
        <f t="shared" si="50"/>
        <v>0</v>
      </c>
      <c r="Z396" s="36">
        <f t="shared" si="47"/>
        <v>0</v>
      </c>
      <c r="AA396" s="4"/>
      <c r="AB396" s="79"/>
    </row>
    <row r="397" spans="1:28" ht="31.2" x14ac:dyDescent="0.3">
      <c r="A397" s="7" t="s">
        <v>62</v>
      </c>
      <c r="B397" s="6">
        <v>378</v>
      </c>
      <c r="C397" s="7" t="s">
        <v>1077</v>
      </c>
      <c r="D397" s="7" t="s">
        <v>1568</v>
      </c>
      <c r="E397" s="5"/>
      <c r="F397" s="7" t="s">
        <v>1569</v>
      </c>
      <c r="G397" s="5"/>
      <c r="H397" s="5"/>
      <c r="I397" s="7" t="s">
        <v>1570</v>
      </c>
      <c r="J397" s="7" t="s">
        <v>24</v>
      </c>
      <c r="K397" s="7" t="s">
        <v>1571</v>
      </c>
      <c r="L397" s="3">
        <v>1173810916</v>
      </c>
      <c r="M397" s="5"/>
      <c r="N397" s="3">
        <v>15000000</v>
      </c>
      <c r="O397" s="40"/>
      <c r="P397" s="40"/>
      <c r="Q397" s="3">
        <f t="shared" si="48"/>
        <v>1188810916</v>
      </c>
      <c r="R397" s="3">
        <v>1173810916</v>
      </c>
      <c r="S397" s="7"/>
      <c r="T397" s="30">
        <v>15000000</v>
      </c>
      <c r="U397" s="7"/>
      <c r="V397" s="7"/>
      <c r="W397" s="36"/>
      <c r="X397" s="36">
        <f t="shared" si="49"/>
        <v>0</v>
      </c>
      <c r="Y397" s="36">
        <f t="shared" si="50"/>
        <v>0</v>
      </c>
      <c r="Z397" s="36">
        <f t="shared" si="47"/>
        <v>0</v>
      </c>
      <c r="AA397" s="4"/>
      <c r="AB397" s="79"/>
    </row>
    <row r="398" spans="1:28" ht="31.2" x14ac:dyDescent="0.3">
      <c r="A398" s="7" t="s">
        <v>62</v>
      </c>
      <c r="B398" s="6">
        <v>379</v>
      </c>
      <c r="C398" s="7" t="s">
        <v>1077</v>
      </c>
      <c r="D398" s="7" t="s">
        <v>1572</v>
      </c>
      <c r="E398" s="5"/>
      <c r="F398" s="7" t="s">
        <v>1573</v>
      </c>
      <c r="G398" s="5"/>
      <c r="H398" s="5"/>
      <c r="I398" s="7" t="s">
        <v>1574</v>
      </c>
      <c r="J398" s="7" t="s">
        <v>24</v>
      </c>
      <c r="K398" s="7" t="s">
        <v>1575</v>
      </c>
      <c r="L398" s="3">
        <v>1932455460</v>
      </c>
      <c r="M398" s="5"/>
      <c r="N398" s="3">
        <v>7500000</v>
      </c>
      <c r="O398" s="40"/>
      <c r="P398" s="40"/>
      <c r="Q398" s="3">
        <f t="shared" ref="Q398:Q402" si="51">L398+M398+N398+P398</f>
        <v>1939955460</v>
      </c>
      <c r="R398" s="3">
        <v>1932455460</v>
      </c>
      <c r="S398" s="7"/>
      <c r="T398" s="72"/>
      <c r="U398" s="7"/>
      <c r="V398" s="7"/>
      <c r="W398" s="36"/>
      <c r="X398" s="36">
        <f t="shared" si="49"/>
        <v>0</v>
      </c>
      <c r="Y398" s="36">
        <f t="shared" si="50"/>
        <v>7500000</v>
      </c>
      <c r="Z398" s="36">
        <f t="shared" si="47"/>
        <v>0</v>
      </c>
      <c r="AA398" s="4"/>
      <c r="AB398" s="79"/>
    </row>
    <row r="399" spans="1:28" ht="46.8" x14ac:dyDescent="0.3">
      <c r="A399" s="7" t="s">
        <v>18</v>
      </c>
      <c r="B399" s="6">
        <v>380</v>
      </c>
      <c r="C399" s="7" t="s">
        <v>1077</v>
      </c>
      <c r="D399" s="7" t="s">
        <v>1576</v>
      </c>
      <c r="E399" s="7" t="s">
        <v>1512</v>
      </c>
      <c r="F399" s="7" t="s">
        <v>1577</v>
      </c>
      <c r="G399" s="7" t="s">
        <v>1578</v>
      </c>
      <c r="H399" s="5"/>
      <c r="I399" s="7" t="s">
        <v>1579</v>
      </c>
      <c r="J399" s="7" t="s">
        <v>24</v>
      </c>
      <c r="K399" s="7" t="s">
        <v>1580</v>
      </c>
      <c r="L399" s="3">
        <v>7987138183</v>
      </c>
      <c r="M399" s="3">
        <v>674307533</v>
      </c>
      <c r="N399" s="3">
        <v>15000000</v>
      </c>
      <c r="O399" s="40"/>
      <c r="P399" s="40"/>
      <c r="Q399" s="3">
        <f t="shared" si="51"/>
        <v>8676445716</v>
      </c>
      <c r="R399" s="3">
        <v>7987138183</v>
      </c>
      <c r="S399" s="3">
        <v>674307533</v>
      </c>
      <c r="T399" s="30">
        <v>15000000</v>
      </c>
      <c r="U399" s="7"/>
      <c r="V399" s="7"/>
      <c r="W399" s="36"/>
      <c r="X399" s="36">
        <f t="shared" si="49"/>
        <v>0</v>
      </c>
      <c r="Y399" s="36">
        <f t="shared" si="50"/>
        <v>0</v>
      </c>
      <c r="Z399" s="36">
        <f t="shared" si="47"/>
        <v>0</v>
      </c>
      <c r="AA399" s="4"/>
      <c r="AB399" s="79"/>
    </row>
    <row r="400" spans="1:28" ht="31.2" x14ac:dyDescent="0.3">
      <c r="A400" s="7" t="s">
        <v>18</v>
      </c>
      <c r="B400" s="6">
        <v>381</v>
      </c>
      <c r="C400" s="7" t="s">
        <v>1077</v>
      </c>
      <c r="D400" s="7" t="s">
        <v>1581</v>
      </c>
      <c r="E400" s="7" t="s">
        <v>1582</v>
      </c>
      <c r="F400" s="7" t="s">
        <v>1583</v>
      </c>
      <c r="G400" s="7" t="s">
        <v>1584</v>
      </c>
      <c r="H400" s="5"/>
      <c r="I400" s="7" t="s">
        <v>1585</v>
      </c>
      <c r="J400" s="7" t="s">
        <v>24</v>
      </c>
      <c r="K400" s="7" t="s">
        <v>1586</v>
      </c>
      <c r="L400" s="3">
        <v>3114350704</v>
      </c>
      <c r="M400" s="3">
        <v>818534808</v>
      </c>
      <c r="N400" s="3">
        <v>15000000</v>
      </c>
      <c r="O400" s="40"/>
      <c r="P400" s="40"/>
      <c r="Q400" s="3">
        <f t="shared" si="51"/>
        <v>3947885512</v>
      </c>
      <c r="R400" s="3">
        <v>3114350704</v>
      </c>
      <c r="S400" s="3">
        <v>818534808</v>
      </c>
      <c r="T400" s="30">
        <v>15000000</v>
      </c>
      <c r="U400" s="7"/>
      <c r="V400" s="7"/>
      <c r="W400" s="36"/>
      <c r="X400" s="36">
        <f t="shared" si="49"/>
        <v>0</v>
      </c>
      <c r="Y400" s="36">
        <f t="shared" si="50"/>
        <v>0</v>
      </c>
      <c r="Z400" s="36">
        <f t="shared" si="47"/>
        <v>0</v>
      </c>
      <c r="AA400" s="4"/>
      <c r="AB400" s="79"/>
    </row>
    <row r="401" spans="1:28" ht="46.8" x14ac:dyDescent="0.3">
      <c r="A401" s="7" t="s">
        <v>62</v>
      </c>
      <c r="B401" s="6">
        <v>382</v>
      </c>
      <c r="C401" s="7" t="s">
        <v>1077</v>
      </c>
      <c r="D401" s="7" t="s">
        <v>1587</v>
      </c>
      <c r="E401" s="5"/>
      <c r="F401" s="7" t="s">
        <v>1588</v>
      </c>
      <c r="G401" s="5"/>
      <c r="H401" s="5"/>
      <c r="I401" s="7" t="s">
        <v>1589</v>
      </c>
      <c r="J401" s="7" t="s">
        <v>24</v>
      </c>
      <c r="K401" s="7" t="s">
        <v>1590</v>
      </c>
      <c r="L401" s="3">
        <v>1601529450</v>
      </c>
      <c r="M401" s="5"/>
      <c r="N401" s="3">
        <v>7500000</v>
      </c>
      <c r="O401" s="40"/>
      <c r="P401" s="40"/>
      <c r="Q401" s="3">
        <f t="shared" si="51"/>
        <v>1609029450</v>
      </c>
      <c r="R401" s="3">
        <v>1601529450</v>
      </c>
      <c r="S401" s="7"/>
      <c r="T401" s="30">
        <v>7500000</v>
      </c>
      <c r="U401" s="7"/>
      <c r="V401" s="7"/>
      <c r="W401" s="36"/>
      <c r="X401" s="36">
        <f t="shared" si="49"/>
        <v>0</v>
      </c>
      <c r="Y401" s="36">
        <f t="shared" si="50"/>
        <v>0</v>
      </c>
      <c r="Z401" s="36">
        <f t="shared" si="47"/>
        <v>0</v>
      </c>
      <c r="AA401" s="4"/>
      <c r="AB401" s="79"/>
    </row>
    <row r="402" spans="1:28" ht="46.8" x14ac:dyDescent="0.3">
      <c r="A402" s="7" t="s">
        <v>62</v>
      </c>
      <c r="B402" s="6">
        <v>383</v>
      </c>
      <c r="C402" s="7" t="s">
        <v>1591</v>
      </c>
      <c r="D402" s="7" t="s">
        <v>1592</v>
      </c>
      <c r="E402" s="5"/>
      <c r="F402" s="7" t="s">
        <v>1593</v>
      </c>
      <c r="G402" s="5"/>
      <c r="H402" s="5"/>
      <c r="I402" s="7" t="s">
        <v>1594</v>
      </c>
      <c r="J402" s="7" t="s">
        <v>24</v>
      </c>
      <c r="K402" s="7" t="s">
        <v>1595</v>
      </c>
      <c r="L402" s="3">
        <v>11297433580</v>
      </c>
      <c r="M402" s="5"/>
      <c r="N402" s="3">
        <v>15000000</v>
      </c>
      <c r="O402" s="40"/>
      <c r="P402" s="40"/>
      <c r="Q402" s="3">
        <f t="shared" si="51"/>
        <v>11312433580</v>
      </c>
      <c r="R402" s="3">
        <v>11297433580</v>
      </c>
      <c r="S402" s="7"/>
      <c r="T402" s="30">
        <v>15000000</v>
      </c>
      <c r="U402" s="7"/>
      <c r="V402" s="7"/>
      <c r="W402" s="36"/>
      <c r="X402" s="36">
        <f t="shared" si="49"/>
        <v>0</v>
      </c>
      <c r="Y402" s="36">
        <f t="shared" si="50"/>
        <v>0</v>
      </c>
      <c r="Z402" s="36">
        <f t="shared" si="47"/>
        <v>0</v>
      </c>
      <c r="AA402" s="4"/>
      <c r="AB402" s="79"/>
    </row>
    <row r="403" spans="1:28" ht="30.6" customHeight="1" x14ac:dyDescent="0.3">
      <c r="A403" s="7"/>
      <c r="B403" s="148">
        <v>384</v>
      </c>
      <c r="C403" s="148" t="s">
        <v>1591</v>
      </c>
      <c r="D403" s="7"/>
      <c r="E403" s="5"/>
      <c r="F403" s="148" t="s">
        <v>1598</v>
      </c>
      <c r="G403" s="5"/>
      <c r="H403" s="5"/>
      <c r="I403" s="156" t="s">
        <v>1599</v>
      </c>
      <c r="J403" s="148" t="s">
        <v>24</v>
      </c>
      <c r="K403" s="148" t="s">
        <v>1600</v>
      </c>
      <c r="L403" s="3"/>
      <c r="M403" s="5"/>
      <c r="N403" s="3"/>
      <c r="O403" s="40" t="s">
        <v>3833</v>
      </c>
      <c r="P403" s="3">
        <v>42000000</v>
      </c>
      <c r="Q403" s="3"/>
      <c r="R403" s="3"/>
      <c r="S403" s="7"/>
      <c r="T403" s="30"/>
      <c r="U403" s="3">
        <v>42000000</v>
      </c>
      <c r="V403" s="7"/>
      <c r="W403" s="36"/>
      <c r="X403" s="36"/>
      <c r="Y403" s="36"/>
      <c r="Z403" s="36">
        <f t="shared" si="47"/>
        <v>0</v>
      </c>
      <c r="AA403" s="4"/>
      <c r="AB403" s="79"/>
    </row>
    <row r="404" spans="1:28" ht="31.2" x14ac:dyDescent="0.3">
      <c r="A404" s="7" t="s">
        <v>46</v>
      </c>
      <c r="B404" s="149"/>
      <c r="C404" s="149"/>
      <c r="D404" s="7" t="s">
        <v>1596</v>
      </c>
      <c r="E404" s="5"/>
      <c r="F404" s="149"/>
      <c r="G404" s="5"/>
      <c r="H404" s="5"/>
      <c r="I404" s="157"/>
      <c r="J404" s="149"/>
      <c r="K404" s="149"/>
      <c r="L404" s="3">
        <v>3413351616</v>
      </c>
      <c r="M404" s="5"/>
      <c r="N404" s="3">
        <v>15000000</v>
      </c>
      <c r="O404" s="7" t="s">
        <v>3829</v>
      </c>
      <c r="P404" s="3">
        <v>84000000</v>
      </c>
      <c r="Q404" s="3">
        <f t="shared" ref="Q404:Q435" si="52">L404+M404+N404+P404</f>
        <v>3512351616</v>
      </c>
      <c r="R404" s="3">
        <v>3413351616</v>
      </c>
      <c r="S404" s="7"/>
      <c r="T404" s="30">
        <v>15000000</v>
      </c>
      <c r="U404" s="3"/>
      <c r="V404" s="7"/>
      <c r="W404" s="36"/>
      <c r="X404" s="36">
        <f t="shared" ref="X404:X435" si="53">M404-S404</f>
        <v>0</v>
      </c>
      <c r="Y404" s="36">
        <f t="shared" ref="Y404:Y435" si="54">N404-T404</f>
        <v>0</v>
      </c>
      <c r="Z404" s="36">
        <f t="shared" si="47"/>
        <v>84000000</v>
      </c>
      <c r="AA404" s="4"/>
      <c r="AB404" s="83"/>
    </row>
    <row r="405" spans="1:28" ht="78" x14ac:dyDescent="0.3">
      <c r="A405" s="7" t="s">
        <v>1601</v>
      </c>
      <c r="B405" s="6">
        <v>385</v>
      </c>
      <c r="C405" s="7" t="s">
        <v>1591</v>
      </c>
      <c r="D405" s="7" t="s">
        <v>1602</v>
      </c>
      <c r="E405" s="7" t="s">
        <v>1603</v>
      </c>
      <c r="F405" s="7" t="s">
        <v>1604</v>
      </c>
      <c r="G405" s="5"/>
      <c r="H405" s="7" t="s">
        <v>1605</v>
      </c>
      <c r="I405" s="7" t="s">
        <v>1606</v>
      </c>
      <c r="J405" s="7" t="s">
        <v>24</v>
      </c>
      <c r="K405" s="7" t="s">
        <v>1607</v>
      </c>
      <c r="L405" s="6">
        <v>0</v>
      </c>
      <c r="M405" s="5"/>
      <c r="N405" s="3">
        <v>7500000</v>
      </c>
      <c r="O405" s="40"/>
      <c r="P405" s="40"/>
      <c r="Q405" s="3">
        <f t="shared" si="52"/>
        <v>7500000</v>
      </c>
      <c r="R405" s="6">
        <v>0</v>
      </c>
      <c r="S405" s="7"/>
      <c r="T405" s="72"/>
      <c r="U405" s="7"/>
      <c r="V405" s="7"/>
      <c r="W405" s="36"/>
      <c r="X405" s="36">
        <f t="shared" si="53"/>
        <v>0</v>
      </c>
      <c r="Y405" s="36">
        <f t="shared" si="54"/>
        <v>7500000</v>
      </c>
      <c r="Z405" s="36">
        <f t="shared" si="47"/>
        <v>0</v>
      </c>
      <c r="AA405" s="4"/>
      <c r="AB405" s="79"/>
    </row>
    <row r="406" spans="1:28" ht="46.8" x14ac:dyDescent="0.3">
      <c r="A406" s="7" t="s">
        <v>18</v>
      </c>
      <c r="B406" s="6">
        <v>386</v>
      </c>
      <c r="C406" s="7" t="s">
        <v>1591</v>
      </c>
      <c r="D406" s="7" t="s">
        <v>1608</v>
      </c>
      <c r="E406" s="5"/>
      <c r="F406" s="7" t="s">
        <v>1609</v>
      </c>
      <c r="G406" s="5"/>
      <c r="H406" s="5"/>
      <c r="I406" s="7" t="s">
        <v>1610</v>
      </c>
      <c r="J406" s="7" t="s">
        <v>24</v>
      </c>
      <c r="K406" s="7" t="s">
        <v>1611</v>
      </c>
      <c r="L406" s="3">
        <v>10000000</v>
      </c>
      <c r="M406" s="5"/>
      <c r="N406" s="3">
        <v>15000000</v>
      </c>
      <c r="O406" s="40"/>
      <c r="P406" s="40"/>
      <c r="Q406" s="3">
        <f t="shared" si="52"/>
        <v>25000000</v>
      </c>
      <c r="R406" s="7"/>
      <c r="S406" s="7"/>
      <c r="T406" s="72"/>
      <c r="U406" s="7"/>
      <c r="V406" s="7"/>
      <c r="W406" s="36">
        <v>10000000</v>
      </c>
      <c r="X406" s="36">
        <f t="shared" si="53"/>
        <v>0</v>
      </c>
      <c r="Y406" s="36">
        <f t="shared" si="54"/>
        <v>15000000</v>
      </c>
      <c r="Z406" s="36">
        <f t="shared" ref="Z406:Z469" si="55">P406-U406</f>
        <v>0</v>
      </c>
      <c r="AA406" s="13">
        <v>10000000</v>
      </c>
      <c r="AB406" s="79"/>
    </row>
    <row r="407" spans="1:28" ht="46.8" x14ac:dyDescent="0.3">
      <c r="A407" s="7" t="s">
        <v>18</v>
      </c>
      <c r="B407" s="6">
        <v>387</v>
      </c>
      <c r="C407" s="7" t="s">
        <v>1591</v>
      </c>
      <c r="D407" s="7" t="s">
        <v>1612</v>
      </c>
      <c r="E407" s="5"/>
      <c r="F407" s="7" t="s">
        <v>1613</v>
      </c>
      <c r="G407" s="5"/>
      <c r="H407" s="5"/>
      <c r="I407" s="7" t="s">
        <v>1614</v>
      </c>
      <c r="J407" s="7" t="s">
        <v>24</v>
      </c>
      <c r="K407" s="7" t="s">
        <v>1615</v>
      </c>
      <c r="L407" s="3">
        <v>316671600</v>
      </c>
      <c r="M407" s="5"/>
      <c r="N407" s="3">
        <v>7500000</v>
      </c>
      <c r="O407" s="40"/>
      <c r="P407" s="40"/>
      <c r="Q407" s="3">
        <f t="shared" si="52"/>
        <v>324171600</v>
      </c>
      <c r="R407" s="3">
        <v>316671600</v>
      </c>
      <c r="S407" s="7"/>
      <c r="T407" s="30">
        <v>7500000</v>
      </c>
      <c r="U407" s="7"/>
      <c r="V407" s="7"/>
      <c r="W407" s="36"/>
      <c r="X407" s="36">
        <f t="shared" si="53"/>
        <v>0</v>
      </c>
      <c r="Y407" s="36">
        <f t="shared" si="54"/>
        <v>0</v>
      </c>
      <c r="Z407" s="36">
        <f t="shared" si="55"/>
        <v>0</v>
      </c>
      <c r="AA407" s="4"/>
      <c r="AB407" s="79"/>
    </row>
    <row r="408" spans="1:28" ht="46.8" x14ac:dyDescent="0.3">
      <c r="A408" s="7" t="s">
        <v>18</v>
      </c>
      <c r="B408" s="6">
        <v>388</v>
      </c>
      <c r="C408" s="7" t="s">
        <v>1591</v>
      </c>
      <c r="D408" s="7" t="s">
        <v>1616</v>
      </c>
      <c r="E408" s="5"/>
      <c r="F408" s="7" t="s">
        <v>1617</v>
      </c>
      <c r="G408" s="5"/>
      <c r="H408" s="5"/>
      <c r="I408" s="7" t="s">
        <v>1618</v>
      </c>
      <c r="J408" s="7" t="s">
        <v>24</v>
      </c>
      <c r="K408" s="7" t="s">
        <v>1619</v>
      </c>
      <c r="L408" s="3">
        <v>467090610</v>
      </c>
      <c r="M408" s="5"/>
      <c r="N408" s="3">
        <v>7500000</v>
      </c>
      <c r="O408" s="40"/>
      <c r="P408" s="40"/>
      <c r="Q408" s="3">
        <f t="shared" si="52"/>
        <v>474590610</v>
      </c>
      <c r="R408" s="9">
        <v>467090610</v>
      </c>
      <c r="S408" s="7"/>
      <c r="T408" s="30">
        <v>7500000</v>
      </c>
      <c r="U408" s="7"/>
      <c r="V408" s="7"/>
      <c r="W408" s="36"/>
      <c r="X408" s="36">
        <f t="shared" si="53"/>
        <v>0</v>
      </c>
      <c r="Y408" s="36">
        <f t="shared" si="54"/>
        <v>0</v>
      </c>
      <c r="Z408" s="36">
        <f t="shared" si="55"/>
        <v>0</v>
      </c>
      <c r="AA408" s="4"/>
      <c r="AB408" s="79"/>
    </row>
    <row r="409" spans="1:28" ht="46.8" x14ac:dyDescent="0.3">
      <c r="A409" s="7" t="s">
        <v>18</v>
      </c>
      <c r="B409" s="6">
        <v>389</v>
      </c>
      <c r="C409" s="7" t="s">
        <v>1591</v>
      </c>
      <c r="D409" s="7" t="s">
        <v>1620</v>
      </c>
      <c r="E409" s="5"/>
      <c r="F409" s="7" t="s">
        <v>1621</v>
      </c>
      <c r="G409" s="5"/>
      <c r="H409" s="5"/>
      <c r="I409" s="7" t="s">
        <v>1622</v>
      </c>
      <c r="J409" s="7" t="s">
        <v>24</v>
      </c>
      <c r="K409" s="7" t="s">
        <v>1623</v>
      </c>
      <c r="L409" s="3">
        <v>938372032</v>
      </c>
      <c r="M409" s="5"/>
      <c r="N409" s="3">
        <v>15000000</v>
      </c>
      <c r="O409" s="40"/>
      <c r="P409" s="40"/>
      <c r="Q409" s="3">
        <f t="shared" si="52"/>
        <v>953372032</v>
      </c>
      <c r="R409" s="3">
        <v>938372032</v>
      </c>
      <c r="S409" s="7"/>
      <c r="T409" s="30">
        <v>15000000</v>
      </c>
      <c r="U409" s="7"/>
      <c r="V409" s="7"/>
      <c r="W409" s="36"/>
      <c r="X409" s="36">
        <f t="shared" si="53"/>
        <v>0</v>
      </c>
      <c r="Y409" s="36">
        <f t="shared" si="54"/>
        <v>0</v>
      </c>
      <c r="Z409" s="36">
        <f t="shared" si="55"/>
        <v>0</v>
      </c>
      <c r="AA409" s="4"/>
      <c r="AB409" s="79"/>
    </row>
    <row r="410" spans="1:28" ht="46.8" x14ac:dyDescent="0.3">
      <c r="A410" s="7" t="s">
        <v>1601</v>
      </c>
      <c r="B410" s="6">
        <v>390</v>
      </c>
      <c r="C410" s="7" t="s">
        <v>1591</v>
      </c>
      <c r="D410" s="7" t="s">
        <v>1624</v>
      </c>
      <c r="E410" s="5"/>
      <c r="F410" s="7" t="s">
        <v>1625</v>
      </c>
      <c r="G410" s="5"/>
      <c r="H410" s="5"/>
      <c r="I410" s="7" t="s">
        <v>1626</v>
      </c>
      <c r="J410" s="7" t="s">
        <v>24</v>
      </c>
      <c r="K410" s="7" t="s">
        <v>1627</v>
      </c>
      <c r="L410" s="3">
        <v>6416500</v>
      </c>
      <c r="M410" s="5"/>
      <c r="N410" s="3">
        <v>7500000</v>
      </c>
      <c r="O410" s="40"/>
      <c r="P410" s="40"/>
      <c r="Q410" s="3">
        <f t="shared" si="52"/>
        <v>13916500</v>
      </c>
      <c r="R410" s="7"/>
      <c r="S410" s="7"/>
      <c r="T410" s="72"/>
      <c r="U410" s="7"/>
      <c r="V410" s="7"/>
      <c r="W410" s="36">
        <v>6416500</v>
      </c>
      <c r="X410" s="36">
        <f t="shared" si="53"/>
        <v>0</v>
      </c>
      <c r="Y410" s="36">
        <f t="shared" si="54"/>
        <v>7500000</v>
      </c>
      <c r="Z410" s="36">
        <f t="shared" si="55"/>
        <v>0</v>
      </c>
      <c r="AA410" s="8">
        <v>6416500</v>
      </c>
      <c r="AB410" s="79"/>
    </row>
    <row r="411" spans="1:28" ht="46.8" x14ac:dyDescent="0.3">
      <c r="A411" s="7" t="s">
        <v>53</v>
      </c>
      <c r="B411" s="6">
        <v>391</v>
      </c>
      <c r="C411" s="7" t="s">
        <v>1591</v>
      </c>
      <c r="D411" s="7" t="s">
        <v>1628</v>
      </c>
      <c r="E411" s="5"/>
      <c r="F411" s="7" t="s">
        <v>1629</v>
      </c>
      <c r="G411" s="5"/>
      <c r="H411" s="5"/>
      <c r="I411" s="7" t="s">
        <v>1630</v>
      </c>
      <c r="J411" s="7" t="s">
        <v>24</v>
      </c>
      <c r="K411" s="7" t="s">
        <v>1631</v>
      </c>
      <c r="L411" s="3">
        <v>1417969836</v>
      </c>
      <c r="M411" s="5"/>
      <c r="N411" s="3">
        <v>15000000</v>
      </c>
      <c r="O411" s="40"/>
      <c r="P411" s="40"/>
      <c r="Q411" s="3">
        <f t="shared" si="52"/>
        <v>1432969836</v>
      </c>
      <c r="R411" s="3">
        <v>1417969836</v>
      </c>
      <c r="S411" s="7"/>
      <c r="T411" s="30">
        <v>15000000</v>
      </c>
      <c r="U411" s="7"/>
      <c r="V411" s="7"/>
      <c r="W411" s="36"/>
      <c r="X411" s="36">
        <f t="shared" si="53"/>
        <v>0</v>
      </c>
      <c r="Y411" s="36">
        <f t="shared" si="54"/>
        <v>0</v>
      </c>
      <c r="Z411" s="36">
        <f t="shared" si="55"/>
        <v>0</v>
      </c>
      <c r="AA411" s="4"/>
      <c r="AB411" s="79"/>
    </row>
    <row r="412" spans="1:28" ht="46.8" x14ac:dyDescent="0.3">
      <c r="A412" s="7" t="s">
        <v>18</v>
      </c>
      <c r="B412" s="6">
        <v>392</v>
      </c>
      <c r="C412" s="7" t="s">
        <v>1591</v>
      </c>
      <c r="D412" s="7" t="s">
        <v>1632</v>
      </c>
      <c r="E412" s="5"/>
      <c r="F412" s="7" t="s">
        <v>1633</v>
      </c>
      <c r="G412" s="5"/>
      <c r="H412" s="5"/>
      <c r="I412" s="7" t="s">
        <v>1634</v>
      </c>
      <c r="J412" s="7" t="s">
        <v>24</v>
      </c>
      <c r="K412" s="7" t="s">
        <v>1635</v>
      </c>
      <c r="L412" s="3">
        <v>593759250</v>
      </c>
      <c r="M412" s="5"/>
      <c r="N412" s="3">
        <v>7500000</v>
      </c>
      <c r="O412" s="40"/>
      <c r="P412" s="40"/>
      <c r="Q412" s="3">
        <f t="shared" si="52"/>
        <v>601259250</v>
      </c>
      <c r="R412" s="3">
        <v>593759250</v>
      </c>
      <c r="S412" s="7"/>
      <c r="T412" s="30">
        <v>7500000</v>
      </c>
      <c r="U412" s="7"/>
      <c r="V412" s="7"/>
      <c r="W412" s="36"/>
      <c r="X412" s="36">
        <f t="shared" si="53"/>
        <v>0</v>
      </c>
      <c r="Y412" s="36">
        <f t="shared" si="54"/>
        <v>0</v>
      </c>
      <c r="Z412" s="36">
        <f t="shared" si="55"/>
        <v>0</v>
      </c>
      <c r="AA412" s="4"/>
      <c r="AB412" s="79"/>
    </row>
    <row r="413" spans="1:28" ht="46.8" x14ac:dyDescent="0.3">
      <c r="A413" s="7" t="s">
        <v>46</v>
      </c>
      <c r="B413" s="6">
        <v>393</v>
      </c>
      <c r="C413" s="7" t="s">
        <v>1591</v>
      </c>
      <c r="D413" s="7" t="s">
        <v>1636</v>
      </c>
      <c r="E413" s="5"/>
      <c r="F413" s="7" t="s">
        <v>1637</v>
      </c>
      <c r="G413" s="5"/>
      <c r="H413" s="5"/>
      <c r="I413" s="7" t="s">
        <v>1638</v>
      </c>
      <c r="J413" s="7" t="s">
        <v>24</v>
      </c>
      <c r="K413" s="7" t="s">
        <v>1639</v>
      </c>
      <c r="L413" s="6">
        <v>0</v>
      </c>
      <c r="M413" s="5"/>
      <c r="N413" s="3">
        <v>7500000</v>
      </c>
      <c r="O413" s="40"/>
      <c r="P413" s="40"/>
      <c r="Q413" s="3">
        <f t="shared" si="52"/>
        <v>7500000</v>
      </c>
      <c r="R413" s="6">
        <v>0</v>
      </c>
      <c r="S413" s="7"/>
      <c r="T413" s="30">
        <v>7500000</v>
      </c>
      <c r="U413" s="7"/>
      <c r="V413" s="7"/>
      <c r="W413" s="36"/>
      <c r="X413" s="36">
        <f t="shared" si="53"/>
        <v>0</v>
      </c>
      <c r="Y413" s="36">
        <f t="shared" si="54"/>
        <v>0</v>
      </c>
      <c r="Z413" s="36">
        <f t="shared" si="55"/>
        <v>0</v>
      </c>
      <c r="AA413" s="4"/>
      <c r="AB413" s="79"/>
    </row>
    <row r="414" spans="1:28" ht="46.8" x14ac:dyDescent="0.3">
      <c r="A414" s="7" t="s">
        <v>1601</v>
      </c>
      <c r="B414" s="6">
        <v>394</v>
      </c>
      <c r="C414" s="7" t="s">
        <v>1591</v>
      </c>
      <c r="D414" s="7" t="s">
        <v>1640</v>
      </c>
      <c r="E414" s="5"/>
      <c r="F414" s="7" t="s">
        <v>1641</v>
      </c>
      <c r="G414" s="5"/>
      <c r="H414" s="5"/>
      <c r="I414" s="7" t="s">
        <v>1642</v>
      </c>
      <c r="J414" s="7" t="s">
        <v>24</v>
      </c>
      <c r="K414" s="7" t="s">
        <v>1643</v>
      </c>
      <c r="L414" s="3">
        <v>12385885580</v>
      </c>
      <c r="M414" s="5"/>
      <c r="N414" s="3">
        <v>15000000</v>
      </c>
      <c r="O414" s="40"/>
      <c r="P414" s="40"/>
      <c r="Q414" s="3">
        <f t="shared" si="52"/>
        <v>12400885580</v>
      </c>
      <c r="R414" s="3">
        <v>12385885580</v>
      </c>
      <c r="S414" s="7"/>
      <c r="T414" s="30">
        <v>15000000</v>
      </c>
      <c r="U414" s="7"/>
      <c r="V414" s="7"/>
      <c r="W414" s="36"/>
      <c r="X414" s="36">
        <f t="shared" si="53"/>
        <v>0</v>
      </c>
      <c r="Y414" s="36">
        <f t="shared" si="54"/>
        <v>0</v>
      </c>
      <c r="Z414" s="36">
        <f t="shared" si="55"/>
        <v>0</v>
      </c>
      <c r="AA414" s="4"/>
      <c r="AB414" s="79"/>
    </row>
    <row r="415" spans="1:28" ht="46.8" x14ac:dyDescent="0.3">
      <c r="A415" s="7" t="s">
        <v>62</v>
      </c>
      <c r="B415" s="6">
        <v>395</v>
      </c>
      <c r="C415" s="7" t="s">
        <v>1591</v>
      </c>
      <c r="D415" s="7" t="s">
        <v>1644</v>
      </c>
      <c r="E415" s="5"/>
      <c r="F415" s="7" t="s">
        <v>1645</v>
      </c>
      <c r="G415" s="5"/>
      <c r="H415" s="5"/>
      <c r="I415" s="7" t="s">
        <v>1646</v>
      </c>
      <c r="J415" s="7" t="s">
        <v>24</v>
      </c>
      <c r="K415" s="7" t="s">
        <v>1631</v>
      </c>
      <c r="L415" s="3">
        <v>1322232264</v>
      </c>
      <c r="M415" s="5"/>
      <c r="N415" s="3">
        <v>15000000</v>
      </c>
      <c r="O415" s="40"/>
      <c r="P415" s="40"/>
      <c r="Q415" s="3">
        <f t="shared" si="52"/>
        <v>1337232264</v>
      </c>
      <c r="R415" s="3">
        <v>1322232264</v>
      </c>
      <c r="S415" s="7"/>
      <c r="T415" s="30">
        <v>15000000</v>
      </c>
      <c r="U415" s="7"/>
      <c r="V415" s="7"/>
      <c r="W415" s="36"/>
      <c r="X415" s="36">
        <f t="shared" si="53"/>
        <v>0</v>
      </c>
      <c r="Y415" s="36">
        <f t="shared" si="54"/>
        <v>0</v>
      </c>
      <c r="Z415" s="36">
        <f t="shared" si="55"/>
        <v>0</v>
      </c>
      <c r="AA415" s="4"/>
      <c r="AB415" s="79"/>
    </row>
    <row r="416" spans="1:28" ht="46.8" x14ac:dyDescent="0.3">
      <c r="A416" s="7" t="s">
        <v>53</v>
      </c>
      <c r="B416" s="6">
        <v>396</v>
      </c>
      <c r="C416" s="7" t="s">
        <v>1591</v>
      </c>
      <c r="D416" s="7" t="s">
        <v>1647</v>
      </c>
      <c r="E416" s="7" t="s">
        <v>1648</v>
      </c>
      <c r="F416" s="7" t="s">
        <v>1649</v>
      </c>
      <c r="G416" s="7" t="s">
        <v>1650</v>
      </c>
      <c r="H416" s="5"/>
      <c r="I416" s="7" t="s">
        <v>1651</v>
      </c>
      <c r="J416" s="7" t="s">
        <v>24</v>
      </c>
      <c r="K416" s="7" t="s">
        <v>1652</v>
      </c>
      <c r="L416" s="3">
        <v>49337003090</v>
      </c>
      <c r="M416" s="3">
        <v>10000000</v>
      </c>
      <c r="N416" s="3">
        <v>15000000</v>
      </c>
      <c r="O416" s="40" t="s">
        <v>182</v>
      </c>
      <c r="P416" s="10">
        <v>144000000</v>
      </c>
      <c r="Q416" s="3">
        <f t="shared" si="52"/>
        <v>49506003090</v>
      </c>
      <c r="R416" s="3">
        <v>49337003090</v>
      </c>
      <c r="S416" s="3">
        <v>10000000</v>
      </c>
      <c r="T416" s="30">
        <v>15000000</v>
      </c>
      <c r="U416" s="3">
        <v>144000000</v>
      </c>
      <c r="V416" s="7"/>
      <c r="W416" s="36"/>
      <c r="X416" s="36">
        <f t="shared" si="53"/>
        <v>0</v>
      </c>
      <c r="Y416" s="36">
        <f t="shared" si="54"/>
        <v>0</v>
      </c>
      <c r="Z416" s="36">
        <f t="shared" si="55"/>
        <v>0</v>
      </c>
      <c r="AA416" s="4"/>
      <c r="AB416" s="79"/>
    </row>
    <row r="417" spans="1:28" ht="46.8" x14ac:dyDescent="0.3">
      <c r="A417" s="7" t="s">
        <v>46</v>
      </c>
      <c r="B417" s="6">
        <v>397</v>
      </c>
      <c r="C417" s="7" t="s">
        <v>1591</v>
      </c>
      <c r="D417" s="7" t="s">
        <v>1653</v>
      </c>
      <c r="E417" s="5"/>
      <c r="F417" s="7" t="s">
        <v>1655</v>
      </c>
      <c r="G417" s="7" t="s">
        <v>1656</v>
      </c>
      <c r="H417" s="5"/>
      <c r="I417" s="7" t="s">
        <v>1657</v>
      </c>
      <c r="J417" s="7" t="s">
        <v>24</v>
      </c>
      <c r="K417" s="7" t="s">
        <v>1631</v>
      </c>
      <c r="L417" s="3">
        <v>1599436369</v>
      </c>
      <c r="M417" s="5"/>
      <c r="N417" s="3">
        <v>15000000</v>
      </c>
      <c r="O417" s="40" t="s">
        <v>1654</v>
      </c>
      <c r="P417" s="10">
        <v>48000000</v>
      </c>
      <c r="Q417" s="3">
        <f t="shared" si="52"/>
        <v>1662436369</v>
      </c>
      <c r="R417" s="3">
        <v>1599436369</v>
      </c>
      <c r="S417" s="7"/>
      <c r="T417" s="30">
        <v>15000000</v>
      </c>
      <c r="U417" s="3">
        <v>48000000</v>
      </c>
      <c r="V417" s="7"/>
      <c r="W417" s="36"/>
      <c r="X417" s="36">
        <f t="shared" si="53"/>
        <v>0</v>
      </c>
      <c r="Y417" s="36">
        <f t="shared" si="54"/>
        <v>0</v>
      </c>
      <c r="Z417" s="36">
        <f t="shared" si="55"/>
        <v>0</v>
      </c>
      <c r="AA417" s="4"/>
      <c r="AB417" s="79"/>
    </row>
    <row r="418" spans="1:28" ht="46.8" x14ac:dyDescent="0.3">
      <c r="A418" s="7" t="s">
        <v>46</v>
      </c>
      <c r="B418" s="6">
        <v>398</v>
      </c>
      <c r="C418" s="7" t="s">
        <v>1591</v>
      </c>
      <c r="D418" s="7" t="s">
        <v>1658</v>
      </c>
      <c r="E418" s="5"/>
      <c r="F418" s="7" t="s">
        <v>1659</v>
      </c>
      <c r="G418" s="5"/>
      <c r="H418" s="5"/>
      <c r="I418" s="7" t="s">
        <v>1660</v>
      </c>
      <c r="J418" s="7" t="s">
        <v>24</v>
      </c>
      <c r="K418" s="7" t="s">
        <v>1661</v>
      </c>
      <c r="L418" s="3">
        <v>32537495820</v>
      </c>
      <c r="M418" s="5"/>
      <c r="N418" s="3">
        <v>15000000</v>
      </c>
      <c r="O418" s="40"/>
      <c r="P418" s="40"/>
      <c r="Q418" s="3">
        <f t="shared" si="52"/>
        <v>32552495820</v>
      </c>
      <c r="R418" s="3">
        <v>32537495820</v>
      </c>
      <c r="S418" s="7"/>
      <c r="T418" s="72"/>
      <c r="U418" s="7"/>
      <c r="V418" s="7"/>
      <c r="W418" s="36"/>
      <c r="X418" s="36">
        <f t="shared" si="53"/>
        <v>0</v>
      </c>
      <c r="Y418" s="36">
        <f t="shared" si="54"/>
        <v>15000000</v>
      </c>
      <c r="Z418" s="36">
        <f t="shared" si="55"/>
        <v>0</v>
      </c>
      <c r="AA418" s="4"/>
      <c r="AB418" s="79"/>
    </row>
    <row r="419" spans="1:28" ht="46.8" x14ac:dyDescent="0.3">
      <c r="A419" s="7" t="s">
        <v>53</v>
      </c>
      <c r="B419" s="6">
        <v>399</v>
      </c>
      <c r="C419" s="7" t="s">
        <v>1591</v>
      </c>
      <c r="D419" s="7" t="s">
        <v>1662</v>
      </c>
      <c r="E419" s="7" t="s">
        <v>1663</v>
      </c>
      <c r="F419" s="7" t="s">
        <v>1664</v>
      </c>
      <c r="G419" s="5"/>
      <c r="H419" s="5"/>
      <c r="I419" s="7" t="s">
        <v>1665</v>
      </c>
      <c r="J419" s="7" t="s">
        <v>24</v>
      </c>
      <c r="K419" s="7" t="s">
        <v>1666</v>
      </c>
      <c r="L419" s="3">
        <v>813568192</v>
      </c>
      <c r="M419" s="3">
        <v>98912520</v>
      </c>
      <c r="N419" s="3">
        <v>15000000</v>
      </c>
      <c r="O419" s="40"/>
      <c r="P419" s="40"/>
      <c r="Q419" s="3">
        <f t="shared" si="52"/>
        <v>927480712</v>
      </c>
      <c r="R419" s="3">
        <v>813568192</v>
      </c>
      <c r="S419" s="3">
        <v>98912520</v>
      </c>
      <c r="T419" s="72"/>
      <c r="U419" s="7"/>
      <c r="V419" s="7"/>
      <c r="W419" s="36"/>
      <c r="X419" s="36">
        <f t="shared" si="53"/>
        <v>0</v>
      </c>
      <c r="Y419" s="36">
        <f t="shared" si="54"/>
        <v>15000000</v>
      </c>
      <c r="Z419" s="36">
        <f t="shared" si="55"/>
        <v>0</v>
      </c>
      <c r="AA419" s="4"/>
      <c r="AB419" s="79"/>
    </row>
    <row r="420" spans="1:28" s="98" customFormat="1" ht="46.8" x14ac:dyDescent="0.3">
      <c r="A420" s="89" t="s">
        <v>46</v>
      </c>
      <c r="B420" s="99">
        <v>400</v>
      </c>
      <c r="C420" s="89" t="s">
        <v>1591</v>
      </c>
      <c r="D420" s="89" t="s">
        <v>1667</v>
      </c>
      <c r="E420" s="89" t="s">
        <v>1669</v>
      </c>
      <c r="F420" s="89" t="s">
        <v>1670</v>
      </c>
      <c r="G420" s="89" t="s">
        <v>1671</v>
      </c>
      <c r="H420" s="100"/>
      <c r="I420" s="89" t="s">
        <v>1672</v>
      </c>
      <c r="J420" s="89" t="s">
        <v>24</v>
      </c>
      <c r="K420" s="89" t="s">
        <v>1673</v>
      </c>
      <c r="L420" s="93">
        <v>10872345664</v>
      </c>
      <c r="M420" s="93">
        <v>425645424</v>
      </c>
      <c r="N420" s="93">
        <v>15000000</v>
      </c>
      <c r="O420" s="91" t="s">
        <v>1668</v>
      </c>
      <c r="P420" s="103">
        <v>48000000</v>
      </c>
      <c r="Q420" s="93">
        <f t="shared" si="52"/>
        <v>11360991088</v>
      </c>
      <c r="R420" s="93">
        <v>10872345664</v>
      </c>
      <c r="S420" s="93">
        <v>425645424</v>
      </c>
      <c r="T420" s="94">
        <v>15000000</v>
      </c>
      <c r="U420" s="89"/>
      <c r="V420" s="89"/>
      <c r="W420" s="95"/>
      <c r="X420" s="95">
        <f t="shared" si="53"/>
        <v>0</v>
      </c>
      <c r="Y420" s="95">
        <f t="shared" si="54"/>
        <v>0</v>
      </c>
      <c r="Z420" s="95">
        <f t="shared" si="55"/>
        <v>48000000</v>
      </c>
      <c r="AA420" s="96"/>
      <c r="AB420" s="97" t="s">
        <v>3852</v>
      </c>
    </row>
    <row r="421" spans="1:28" ht="46.8" x14ac:dyDescent="0.3">
      <c r="A421" s="7" t="s">
        <v>46</v>
      </c>
      <c r="B421" s="6">
        <v>401</v>
      </c>
      <c r="C421" s="7" t="s">
        <v>1591</v>
      </c>
      <c r="D421" s="7" t="s">
        <v>1674</v>
      </c>
      <c r="E421" s="5"/>
      <c r="F421" s="7" t="s">
        <v>1675</v>
      </c>
      <c r="G421" s="5"/>
      <c r="H421" s="5"/>
      <c r="I421" s="7" t="s">
        <v>1676</v>
      </c>
      <c r="J421" s="7" t="s">
        <v>24</v>
      </c>
      <c r="K421" s="7" t="s">
        <v>1677</v>
      </c>
      <c r="L421" s="3">
        <v>1621052482</v>
      </c>
      <c r="M421" s="5"/>
      <c r="N421" s="3">
        <v>7500000</v>
      </c>
      <c r="O421" s="40"/>
      <c r="P421" s="40"/>
      <c r="Q421" s="3">
        <f t="shared" si="52"/>
        <v>1628552482</v>
      </c>
      <c r="R421" s="3">
        <v>1621052482</v>
      </c>
      <c r="S421" s="7"/>
      <c r="T421" s="30">
        <v>7500000</v>
      </c>
      <c r="U421" s="7"/>
      <c r="V421" s="7"/>
      <c r="W421" s="36"/>
      <c r="X421" s="36">
        <f t="shared" si="53"/>
        <v>0</v>
      </c>
      <c r="Y421" s="36">
        <f t="shared" si="54"/>
        <v>0</v>
      </c>
      <c r="Z421" s="36">
        <f t="shared" si="55"/>
        <v>0</v>
      </c>
      <c r="AA421" s="4"/>
      <c r="AB421" s="79"/>
    </row>
    <row r="422" spans="1:28" ht="62.4" x14ac:dyDescent="0.3">
      <c r="A422" s="7" t="s">
        <v>53</v>
      </c>
      <c r="B422" s="6">
        <v>402</v>
      </c>
      <c r="C422" s="7" t="s">
        <v>1591</v>
      </c>
      <c r="D422" s="7" t="s">
        <v>1678</v>
      </c>
      <c r="E422" s="5"/>
      <c r="F422" s="7" t="s">
        <v>1680</v>
      </c>
      <c r="G422" s="5"/>
      <c r="H422" s="5"/>
      <c r="I422" s="7" t="s">
        <v>1681</v>
      </c>
      <c r="J422" s="7" t="s">
        <v>24</v>
      </c>
      <c r="K422" s="7" t="s">
        <v>1631</v>
      </c>
      <c r="L422" s="3">
        <v>1956750750</v>
      </c>
      <c r="M422" s="5"/>
      <c r="N422" s="3">
        <v>15000000</v>
      </c>
      <c r="O422" s="40" t="s">
        <v>1679</v>
      </c>
      <c r="P422" s="10">
        <v>144000000</v>
      </c>
      <c r="Q422" s="3">
        <f t="shared" si="52"/>
        <v>2115750750</v>
      </c>
      <c r="R422" s="3">
        <v>1956750750</v>
      </c>
      <c r="S422" s="7"/>
      <c r="T422" s="30">
        <v>15000000</v>
      </c>
      <c r="U422" s="3">
        <v>144000000</v>
      </c>
      <c r="V422" s="7"/>
      <c r="W422" s="36"/>
      <c r="X422" s="36">
        <f t="shared" si="53"/>
        <v>0</v>
      </c>
      <c r="Y422" s="36">
        <f t="shared" si="54"/>
        <v>0</v>
      </c>
      <c r="Z422" s="36">
        <f t="shared" si="55"/>
        <v>0</v>
      </c>
      <c r="AA422" s="4"/>
      <c r="AB422" s="79"/>
    </row>
    <row r="423" spans="1:28" ht="46.8" x14ac:dyDescent="0.3">
      <c r="A423" s="7" t="s">
        <v>53</v>
      </c>
      <c r="B423" s="6">
        <v>403</v>
      </c>
      <c r="C423" s="7" t="s">
        <v>1591</v>
      </c>
      <c r="D423" s="7" t="s">
        <v>1682</v>
      </c>
      <c r="E423" s="5"/>
      <c r="F423" s="7" t="s">
        <v>1683</v>
      </c>
      <c r="G423" s="5"/>
      <c r="H423" s="5"/>
      <c r="I423" s="7" t="s">
        <v>1684</v>
      </c>
      <c r="J423" s="7" t="s">
        <v>24</v>
      </c>
      <c r="K423" s="7" t="s">
        <v>1631</v>
      </c>
      <c r="L423" s="3">
        <v>1938637001</v>
      </c>
      <c r="M423" s="5"/>
      <c r="N423" s="3">
        <v>15000000</v>
      </c>
      <c r="O423" s="40"/>
      <c r="P423" s="40"/>
      <c r="Q423" s="3">
        <f t="shared" si="52"/>
        <v>1953637001</v>
      </c>
      <c r="R423" s="3">
        <v>1938637001</v>
      </c>
      <c r="S423" s="7"/>
      <c r="T423" s="30">
        <v>15000000</v>
      </c>
      <c r="U423" s="7"/>
      <c r="V423" s="7"/>
      <c r="W423" s="36"/>
      <c r="X423" s="36">
        <f t="shared" si="53"/>
        <v>0</v>
      </c>
      <c r="Y423" s="36">
        <f t="shared" si="54"/>
        <v>0</v>
      </c>
      <c r="Z423" s="36">
        <f t="shared" si="55"/>
        <v>0</v>
      </c>
      <c r="AA423" s="4"/>
      <c r="AB423" s="79"/>
    </row>
    <row r="424" spans="1:28" ht="46.8" x14ac:dyDescent="0.3">
      <c r="A424" s="7" t="s">
        <v>62</v>
      </c>
      <c r="B424" s="6">
        <v>404</v>
      </c>
      <c r="C424" s="7" t="s">
        <v>1591</v>
      </c>
      <c r="D424" s="7" t="s">
        <v>1685</v>
      </c>
      <c r="E424" s="5"/>
      <c r="F424" s="7" t="s">
        <v>1686</v>
      </c>
      <c r="G424" s="5"/>
      <c r="H424" s="5"/>
      <c r="I424" s="7" t="s">
        <v>1687</v>
      </c>
      <c r="J424" s="7" t="s">
        <v>24</v>
      </c>
      <c r="K424" s="7" t="s">
        <v>1688</v>
      </c>
      <c r="L424" s="3">
        <v>1137670028</v>
      </c>
      <c r="M424" s="5"/>
      <c r="N424" s="3">
        <v>7500000</v>
      </c>
      <c r="O424" s="40"/>
      <c r="P424" s="40"/>
      <c r="Q424" s="3">
        <f t="shared" si="52"/>
        <v>1145170028</v>
      </c>
      <c r="R424" s="3">
        <v>1137670028</v>
      </c>
      <c r="S424" s="7"/>
      <c r="T424" s="30">
        <v>7500000</v>
      </c>
      <c r="U424" s="7"/>
      <c r="V424" s="7"/>
      <c r="W424" s="36"/>
      <c r="X424" s="36">
        <f t="shared" si="53"/>
        <v>0</v>
      </c>
      <c r="Y424" s="36">
        <f t="shared" si="54"/>
        <v>0</v>
      </c>
      <c r="Z424" s="36">
        <f t="shared" si="55"/>
        <v>0</v>
      </c>
      <c r="AA424" s="4"/>
      <c r="AB424" s="79"/>
    </row>
    <row r="425" spans="1:28" ht="46.8" x14ac:dyDescent="0.3">
      <c r="A425" s="7" t="s">
        <v>1601</v>
      </c>
      <c r="B425" s="6">
        <v>405</v>
      </c>
      <c r="C425" s="7" t="s">
        <v>1591</v>
      </c>
      <c r="D425" s="7" t="s">
        <v>1689</v>
      </c>
      <c r="E425" s="5"/>
      <c r="F425" s="7" t="s">
        <v>1690</v>
      </c>
      <c r="G425" s="5"/>
      <c r="H425" s="5"/>
      <c r="I425" s="7" t="s">
        <v>1691</v>
      </c>
      <c r="J425" s="7" t="s">
        <v>24</v>
      </c>
      <c r="K425" s="7" t="s">
        <v>1692</v>
      </c>
      <c r="L425" s="3">
        <v>4490379050</v>
      </c>
      <c r="M425" s="5"/>
      <c r="N425" s="3">
        <v>15000000</v>
      </c>
      <c r="O425" s="40" t="s">
        <v>1654</v>
      </c>
      <c r="P425" s="10">
        <v>16000000</v>
      </c>
      <c r="Q425" s="3">
        <f t="shared" si="52"/>
        <v>4521379050</v>
      </c>
      <c r="R425" s="36">
        <v>4490379050</v>
      </c>
      <c r="S425" s="7"/>
      <c r="T425" s="30">
        <v>15000000</v>
      </c>
      <c r="U425" s="3">
        <v>16000000</v>
      </c>
      <c r="V425" s="7"/>
      <c r="W425" s="36"/>
      <c r="X425" s="36">
        <f t="shared" si="53"/>
        <v>0</v>
      </c>
      <c r="Y425" s="36">
        <f t="shared" si="54"/>
        <v>0</v>
      </c>
      <c r="Z425" s="36">
        <f t="shared" si="55"/>
        <v>0</v>
      </c>
      <c r="AA425" s="4"/>
      <c r="AB425" s="79"/>
    </row>
    <row r="426" spans="1:28" ht="46.8" x14ac:dyDescent="0.3">
      <c r="A426" s="7" t="s">
        <v>1601</v>
      </c>
      <c r="B426" s="6">
        <v>406</v>
      </c>
      <c r="C426" s="7" t="s">
        <v>1591</v>
      </c>
      <c r="D426" s="7" t="s">
        <v>1693</v>
      </c>
      <c r="E426" s="5"/>
      <c r="F426" s="7" t="s">
        <v>1694</v>
      </c>
      <c r="G426" s="5"/>
      <c r="H426" s="5"/>
      <c r="I426" s="7" t="s">
        <v>1695</v>
      </c>
      <c r="J426" s="7" t="s">
        <v>24</v>
      </c>
      <c r="K426" s="7" t="s">
        <v>1696</v>
      </c>
      <c r="L426" s="3">
        <v>4967225580</v>
      </c>
      <c r="M426" s="5"/>
      <c r="N426" s="3">
        <v>7500000</v>
      </c>
      <c r="O426" s="40"/>
      <c r="P426" s="40"/>
      <c r="Q426" s="3">
        <f t="shared" si="52"/>
        <v>4974725580</v>
      </c>
      <c r="R426" s="36">
        <v>4967225580</v>
      </c>
      <c r="S426" s="7"/>
      <c r="T426" s="30">
        <v>7500000</v>
      </c>
      <c r="U426" s="7"/>
      <c r="V426" s="7"/>
      <c r="W426" s="36"/>
      <c r="X426" s="36">
        <f t="shared" si="53"/>
        <v>0</v>
      </c>
      <c r="Y426" s="36">
        <f t="shared" si="54"/>
        <v>0</v>
      </c>
      <c r="Z426" s="36">
        <f t="shared" si="55"/>
        <v>0</v>
      </c>
      <c r="AA426" s="4"/>
      <c r="AB426" s="79"/>
    </row>
    <row r="427" spans="1:28" ht="46.8" x14ac:dyDescent="0.3">
      <c r="A427" s="7" t="s">
        <v>1601</v>
      </c>
      <c r="B427" s="6">
        <v>407</v>
      </c>
      <c r="C427" s="7" t="s">
        <v>1591</v>
      </c>
      <c r="D427" s="7" t="s">
        <v>1697</v>
      </c>
      <c r="E427" s="5"/>
      <c r="F427" s="7" t="s">
        <v>1698</v>
      </c>
      <c r="G427" s="5"/>
      <c r="H427" s="5"/>
      <c r="I427" s="7" t="s">
        <v>1699</v>
      </c>
      <c r="J427" s="7" t="s">
        <v>24</v>
      </c>
      <c r="K427" s="7" t="s">
        <v>1700</v>
      </c>
      <c r="L427" s="3">
        <v>10000000</v>
      </c>
      <c r="M427" s="5"/>
      <c r="N427" s="3">
        <v>15000000</v>
      </c>
      <c r="O427" s="40"/>
      <c r="P427" s="40"/>
      <c r="Q427" s="3">
        <f t="shared" si="52"/>
        <v>25000000</v>
      </c>
      <c r="R427" s="7"/>
      <c r="S427" s="7"/>
      <c r="T427" s="72"/>
      <c r="U427" s="7"/>
      <c r="V427" s="7"/>
      <c r="W427" s="36">
        <v>10000000</v>
      </c>
      <c r="X427" s="36">
        <f t="shared" si="53"/>
        <v>0</v>
      </c>
      <c r="Y427" s="36">
        <f t="shared" si="54"/>
        <v>15000000</v>
      </c>
      <c r="Z427" s="36">
        <f t="shared" si="55"/>
        <v>0</v>
      </c>
      <c r="AA427" s="8">
        <v>10000000</v>
      </c>
      <c r="AB427" s="79"/>
    </row>
    <row r="428" spans="1:28" ht="46.8" x14ac:dyDescent="0.3">
      <c r="A428" s="7" t="s">
        <v>62</v>
      </c>
      <c r="B428" s="6">
        <v>408</v>
      </c>
      <c r="C428" s="7" t="s">
        <v>1591</v>
      </c>
      <c r="D428" s="7" t="s">
        <v>1701</v>
      </c>
      <c r="E428" s="5"/>
      <c r="F428" s="7" t="s">
        <v>1702</v>
      </c>
      <c r="G428" s="5"/>
      <c r="H428" s="5"/>
      <c r="I428" s="7" t="s">
        <v>1703</v>
      </c>
      <c r="J428" s="7" t="s">
        <v>24</v>
      </c>
      <c r="K428" s="7" t="s">
        <v>1704</v>
      </c>
      <c r="L428" s="3">
        <v>6525000</v>
      </c>
      <c r="M428" s="5"/>
      <c r="N428" s="3">
        <v>7500000</v>
      </c>
      <c r="O428" s="40"/>
      <c r="P428" s="40"/>
      <c r="Q428" s="3">
        <f t="shared" si="52"/>
        <v>14025000</v>
      </c>
      <c r="R428" s="7"/>
      <c r="S428" s="7"/>
      <c r="T428" s="72"/>
      <c r="U428" s="7"/>
      <c r="V428" s="7"/>
      <c r="W428" s="36">
        <v>6525000</v>
      </c>
      <c r="X428" s="36">
        <f t="shared" si="53"/>
        <v>0</v>
      </c>
      <c r="Y428" s="36">
        <f t="shared" si="54"/>
        <v>7500000</v>
      </c>
      <c r="Z428" s="36">
        <f t="shared" si="55"/>
        <v>0</v>
      </c>
      <c r="AA428" s="10">
        <v>6525000</v>
      </c>
      <c r="AB428" s="79"/>
    </row>
    <row r="429" spans="1:28" ht="46.8" x14ac:dyDescent="0.3">
      <c r="A429" s="7" t="s">
        <v>46</v>
      </c>
      <c r="B429" s="6">
        <v>409</v>
      </c>
      <c r="C429" s="7" t="s">
        <v>1591</v>
      </c>
      <c r="D429" s="7" t="s">
        <v>1705</v>
      </c>
      <c r="E429" s="5"/>
      <c r="F429" s="7" t="s">
        <v>1706</v>
      </c>
      <c r="G429" s="5"/>
      <c r="H429" s="7" t="s">
        <v>1707</v>
      </c>
      <c r="I429" s="7" t="s">
        <v>1708</v>
      </c>
      <c r="J429" s="7" t="s">
        <v>24</v>
      </c>
      <c r="K429" s="7" t="s">
        <v>1709</v>
      </c>
      <c r="L429" s="6">
        <v>0</v>
      </c>
      <c r="M429" s="5"/>
      <c r="N429" s="3">
        <v>7500000</v>
      </c>
      <c r="O429" s="40"/>
      <c r="P429" s="40"/>
      <c r="Q429" s="3">
        <f t="shared" si="52"/>
        <v>7500000</v>
      </c>
      <c r="R429" s="6">
        <v>0</v>
      </c>
      <c r="S429" s="7"/>
      <c r="T429" s="72"/>
      <c r="U429" s="7"/>
      <c r="V429" s="7"/>
      <c r="W429" s="36"/>
      <c r="X429" s="36">
        <f t="shared" si="53"/>
        <v>0</v>
      </c>
      <c r="Y429" s="36">
        <f t="shared" si="54"/>
        <v>7500000</v>
      </c>
      <c r="Z429" s="36">
        <f t="shared" si="55"/>
        <v>0</v>
      </c>
      <c r="AA429" s="4"/>
      <c r="AB429" s="79"/>
    </row>
    <row r="430" spans="1:28" ht="46.8" x14ac:dyDescent="0.3">
      <c r="A430" s="7" t="s">
        <v>46</v>
      </c>
      <c r="B430" s="6">
        <v>410</v>
      </c>
      <c r="C430" s="7" t="s">
        <v>1591</v>
      </c>
      <c r="D430" s="7" t="s">
        <v>1710</v>
      </c>
      <c r="E430" s="7" t="s">
        <v>828</v>
      </c>
      <c r="F430" s="7" t="s">
        <v>1711</v>
      </c>
      <c r="G430" s="7" t="s">
        <v>1712</v>
      </c>
      <c r="H430" s="5"/>
      <c r="I430" s="7" t="s">
        <v>1713</v>
      </c>
      <c r="J430" s="7" t="s">
        <v>24</v>
      </c>
      <c r="K430" s="7" t="s">
        <v>1714</v>
      </c>
      <c r="L430" s="3">
        <v>4152104400</v>
      </c>
      <c r="M430" s="3">
        <v>332999424</v>
      </c>
      <c r="N430" s="3">
        <v>15000000</v>
      </c>
      <c r="O430" s="40" t="s">
        <v>637</v>
      </c>
      <c r="P430" s="10">
        <v>48000000</v>
      </c>
      <c r="Q430" s="3">
        <f t="shared" si="52"/>
        <v>4548103824</v>
      </c>
      <c r="R430" s="3">
        <v>4152104400</v>
      </c>
      <c r="S430" s="7"/>
      <c r="T430" s="30">
        <v>15000000</v>
      </c>
      <c r="U430" s="3">
        <v>48000000</v>
      </c>
      <c r="V430" s="7"/>
      <c r="W430" s="36"/>
      <c r="X430" s="36">
        <f t="shared" si="53"/>
        <v>332999424</v>
      </c>
      <c r="Y430" s="36">
        <f t="shared" si="54"/>
        <v>0</v>
      </c>
      <c r="Z430" s="36">
        <f t="shared" si="55"/>
        <v>0</v>
      </c>
      <c r="AA430" s="4"/>
      <c r="AB430" s="79"/>
    </row>
    <row r="431" spans="1:28" ht="62.4" x14ac:dyDescent="0.3">
      <c r="A431" s="7" t="s">
        <v>62</v>
      </c>
      <c r="B431" s="6">
        <v>411</v>
      </c>
      <c r="C431" s="7" t="s">
        <v>1591</v>
      </c>
      <c r="D431" s="7" t="s">
        <v>1715</v>
      </c>
      <c r="E431" s="5"/>
      <c r="F431" s="7" t="s">
        <v>1717</v>
      </c>
      <c r="G431" s="5"/>
      <c r="H431" s="5"/>
      <c r="I431" s="7" t="s">
        <v>1718</v>
      </c>
      <c r="J431" s="7" t="s">
        <v>24</v>
      </c>
      <c r="K431" s="7" t="s">
        <v>1719</v>
      </c>
      <c r="L431" s="3">
        <v>1375587700</v>
      </c>
      <c r="M431" s="5"/>
      <c r="N431" s="3">
        <v>15000000</v>
      </c>
      <c r="O431" s="40" t="s">
        <v>1716</v>
      </c>
      <c r="P431" s="10">
        <v>88000000</v>
      </c>
      <c r="Q431" s="3">
        <f t="shared" si="52"/>
        <v>1478587700</v>
      </c>
      <c r="R431" s="3">
        <v>1375587700</v>
      </c>
      <c r="S431" s="7"/>
      <c r="T431" s="30">
        <v>15000000</v>
      </c>
      <c r="U431" s="3">
        <v>40000000</v>
      </c>
      <c r="V431" s="7"/>
      <c r="W431" s="36"/>
      <c r="X431" s="36">
        <f t="shared" si="53"/>
        <v>0</v>
      </c>
      <c r="Y431" s="36">
        <f t="shared" si="54"/>
        <v>0</v>
      </c>
      <c r="Z431" s="36">
        <f t="shared" si="55"/>
        <v>48000000</v>
      </c>
      <c r="AA431" s="4"/>
      <c r="AB431" s="80" t="s">
        <v>3827</v>
      </c>
    </row>
    <row r="432" spans="1:28" ht="46.8" x14ac:dyDescent="0.3">
      <c r="A432" s="7" t="s">
        <v>1601</v>
      </c>
      <c r="B432" s="6">
        <v>412</v>
      </c>
      <c r="C432" s="7" t="s">
        <v>1591</v>
      </c>
      <c r="D432" s="7" t="s">
        <v>1720</v>
      </c>
      <c r="E432" s="5"/>
      <c r="F432" s="7" t="s">
        <v>1721</v>
      </c>
      <c r="G432" s="5"/>
      <c r="H432" s="5"/>
      <c r="I432" s="7" t="s">
        <v>1722</v>
      </c>
      <c r="J432" s="7" t="s">
        <v>24</v>
      </c>
      <c r="K432" s="7" t="s">
        <v>1723</v>
      </c>
      <c r="L432" s="3">
        <v>2422464300</v>
      </c>
      <c r="M432" s="5"/>
      <c r="N432" s="3">
        <v>7500000</v>
      </c>
      <c r="O432" s="40"/>
      <c r="P432" s="40"/>
      <c r="Q432" s="3">
        <f t="shared" si="52"/>
        <v>2429964300</v>
      </c>
      <c r="R432" s="36">
        <v>2422464300</v>
      </c>
      <c r="S432" s="7"/>
      <c r="T432" s="30">
        <v>7500000</v>
      </c>
      <c r="U432" s="7"/>
      <c r="V432" s="7"/>
      <c r="W432" s="36"/>
      <c r="X432" s="36">
        <f t="shared" si="53"/>
        <v>0</v>
      </c>
      <c r="Y432" s="36">
        <f t="shared" si="54"/>
        <v>0</v>
      </c>
      <c r="Z432" s="36">
        <f t="shared" si="55"/>
        <v>0</v>
      </c>
      <c r="AA432" s="4"/>
      <c r="AB432" s="79"/>
    </row>
    <row r="433" spans="1:28" ht="46.8" x14ac:dyDescent="0.3">
      <c r="A433" s="7" t="s">
        <v>53</v>
      </c>
      <c r="B433" s="6">
        <v>413</v>
      </c>
      <c r="C433" s="7" t="s">
        <v>1591</v>
      </c>
      <c r="D433" s="7" t="s">
        <v>1724</v>
      </c>
      <c r="E433" s="5"/>
      <c r="F433" s="7" t="s">
        <v>1725</v>
      </c>
      <c r="G433" s="5"/>
      <c r="H433" s="5"/>
      <c r="I433" s="7" t="s">
        <v>1726</v>
      </c>
      <c r="J433" s="7" t="s">
        <v>24</v>
      </c>
      <c r="K433" s="7" t="s">
        <v>1727</v>
      </c>
      <c r="L433" s="3">
        <v>2392845896</v>
      </c>
      <c r="M433" s="5"/>
      <c r="N433" s="3">
        <v>7500000</v>
      </c>
      <c r="O433" s="40"/>
      <c r="P433" s="40"/>
      <c r="Q433" s="3">
        <f t="shared" si="52"/>
        <v>2400345896</v>
      </c>
      <c r="R433" s="3">
        <v>2392845896</v>
      </c>
      <c r="S433" s="7"/>
      <c r="T433" s="30">
        <v>7500000</v>
      </c>
      <c r="U433" s="7"/>
      <c r="V433" s="7"/>
      <c r="W433" s="36"/>
      <c r="X433" s="36">
        <f t="shared" si="53"/>
        <v>0</v>
      </c>
      <c r="Y433" s="36">
        <f t="shared" si="54"/>
        <v>0</v>
      </c>
      <c r="Z433" s="36">
        <f t="shared" si="55"/>
        <v>0</v>
      </c>
      <c r="AA433" s="4"/>
      <c r="AB433" s="79"/>
    </row>
    <row r="434" spans="1:28" ht="46.8" x14ac:dyDescent="0.3">
      <c r="A434" s="7" t="s">
        <v>62</v>
      </c>
      <c r="B434" s="6">
        <v>414</v>
      </c>
      <c r="C434" s="7" t="s">
        <v>1591</v>
      </c>
      <c r="D434" s="7" t="s">
        <v>1728</v>
      </c>
      <c r="E434" s="5"/>
      <c r="F434" s="7" t="s">
        <v>1729</v>
      </c>
      <c r="G434" s="5"/>
      <c r="H434" s="5"/>
      <c r="I434" s="7" t="s">
        <v>1730</v>
      </c>
      <c r="J434" s="7" t="s">
        <v>24</v>
      </c>
      <c r="K434" s="7" t="s">
        <v>1731</v>
      </c>
      <c r="L434" s="3">
        <v>3732755792</v>
      </c>
      <c r="M434" s="5"/>
      <c r="N434" s="3">
        <v>15000000</v>
      </c>
      <c r="O434" s="40"/>
      <c r="P434" s="40"/>
      <c r="Q434" s="3">
        <f t="shared" si="52"/>
        <v>3747755792</v>
      </c>
      <c r="R434" s="3">
        <v>3732755792</v>
      </c>
      <c r="S434" s="7"/>
      <c r="T434" s="30">
        <v>15000000</v>
      </c>
      <c r="U434" s="7"/>
      <c r="V434" s="7"/>
      <c r="W434" s="36"/>
      <c r="X434" s="36">
        <f t="shared" si="53"/>
        <v>0</v>
      </c>
      <c r="Y434" s="36">
        <f t="shared" si="54"/>
        <v>0</v>
      </c>
      <c r="Z434" s="36">
        <f t="shared" si="55"/>
        <v>0</v>
      </c>
      <c r="AA434" s="4"/>
      <c r="AB434" s="79"/>
    </row>
    <row r="435" spans="1:28" ht="46.8" x14ac:dyDescent="0.3">
      <c r="A435" s="7" t="s">
        <v>1601</v>
      </c>
      <c r="B435" s="6">
        <v>415</v>
      </c>
      <c r="C435" s="7" t="s">
        <v>1591</v>
      </c>
      <c r="D435" s="7" t="s">
        <v>1732</v>
      </c>
      <c r="E435" s="5"/>
      <c r="F435" s="7" t="s">
        <v>1733</v>
      </c>
      <c r="G435" s="5"/>
      <c r="H435" s="5"/>
      <c r="I435" s="7" t="s">
        <v>1734</v>
      </c>
      <c r="J435" s="7" t="s">
        <v>24</v>
      </c>
      <c r="K435" s="7" t="s">
        <v>1735</v>
      </c>
      <c r="L435" s="3">
        <v>585805584</v>
      </c>
      <c r="M435" s="5"/>
      <c r="N435" s="3">
        <v>7500000</v>
      </c>
      <c r="O435" s="40"/>
      <c r="P435" s="40"/>
      <c r="Q435" s="3">
        <f t="shared" si="52"/>
        <v>593305584</v>
      </c>
      <c r="R435" s="36">
        <v>585805584</v>
      </c>
      <c r="S435" s="7"/>
      <c r="T435" s="30">
        <v>7500000</v>
      </c>
      <c r="U435" s="7"/>
      <c r="V435" s="7"/>
      <c r="W435" s="36"/>
      <c r="X435" s="36">
        <f t="shared" si="53"/>
        <v>0</v>
      </c>
      <c r="Y435" s="36">
        <f t="shared" si="54"/>
        <v>0</v>
      </c>
      <c r="Z435" s="36">
        <f t="shared" si="55"/>
        <v>0</v>
      </c>
      <c r="AA435" s="4"/>
      <c r="AB435" s="79"/>
    </row>
    <row r="436" spans="1:28" ht="46.8" x14ac:dyDescent="0.3">
      <c r="A436" s="7" t="s">
        <v>18</v>
      </c>
      <c r="B436" s="6">
        <v>416</v>
      </c>
      <c r="C436" s="7" t="s">
        <v>1591</v>
      </c>
      <c r="D436" s="7" t="s">
        <v>1736</v>
      </c>
      <c r="E436" s="5"/>
      <c r="F436" s="7" t="s">
        <v>1737</v>
      </c>
      <c r="G436" s="5"/>
      <c r="H436" s="5"/>
      <c r="I436" s="7" t="s">
        <v>1738</v>
      </c>
      <c r="J436" s="7" t="s">
        <v>24</v>
      </c>
      <c r="K436" s="7" t="s">
        <v>1739</v>
      </c>
      <c r="L436" s="3">
        <v>2508309760</v>
      </c>
      <c r="M436" s="5"/>
      <c r="N436" s="3">
        <v>15000000</v>
      </c>
      <c r="O436" s="40"/>
      <c r="P436" s="40"/>
      <c r="Q436" s="3">
        <f t="shared" ref="Q436:Q467" si="56">L436+M436+N436+P436</f>
        <v>2523309760</v>
      </c>
      <c r="R436" s="3">
        <v>2508309760</v>
      </c>
      <c r="S436" s="7"/>
      <c r="T436" s="30">
        <v>15000000</v>
      </c>
      <c r="U436" s="7"/>
      <c r="V436" s="7"/>
      <c r="W436" s="36"/>
      <c r="X436" s="36">
        <f t="shared" ref="X436:X467" si="57">M436-S436</f>
        <v>0</v>
      </c>
      <c r="Y436" s="36">
        <f t="shared" ref="Y436:Y467" si="58">N436-T436</f>
        <v>0</v>
      </c>
      <c r="Z436" s="36">
        <f t="shared" si="55"/>
        <v>0</v>
      </c>
      <c r="AA436" s="4"/>
      <c r="AB436" s="79"/>
    </row>
    <row r="437" spans="1:28" ht="46.8" x14ac:dyDescent="0.3">
      <c r="A437" s="7" t="s">
        <v>1601</v>
      </c>
      <c r="B437" s="6">
        <v>417</v>
      </c>
      <c r="C437" s="7" t="s">
        <v>1591</v>
      </c>
      <c r="D437" s="7" t="s">
        <v>1740</v>
      </c>
      <c r="E437" s="5"/>
      <c r="F437" s="7" t="s">
        <v>1741</v>
      </c>
      <c r="G437" s="5"/>
      <c r="H437" s="5"/>
      <c r="I437" s="7" t="s">
        <v>1742</v>
      </c>
      <c r="J437" s="7" t="s">
        <v>24</v>
      </c>
      <c r="K437" s="7" t="s">
        <v>1743</v>
      </c>
      <c r="L437" s="6">
        <v>0</v>
      </c>
      <c r="M437" s="5"/>
      <c r="N437" s="3">
        <v>7500000</v>
      </c>
      <c r="O437" s="40"/>
      <c r="P437" s="40"/>
      <c r="Q437" s="3">
        <f t="shared" si="56"/>
        <v>7500000</v>
      </c>
      <c r="R437" s="6">
        <v>0</v>
      </c>
      <c r="S437" s="7"/>
      <c r="T437" s="72"/>
      <c r="U437" s="7"/>
      <c r="V437" s="7"/>
      <c r="W437" s="36"/>
      <c r="X437" s="36">
        <f t="shared" si="57"/>
        <v>0</v>
      </c>
      <c r="Y437" s="36">
        <f t="shared" si="58"/>
        <v>7500000</v>
      </c>
      <c r="Z437" s="36">
        <f t="shared" si="55"/>
        <v>0</v>
      </c>
      <c r="AA437" s="4"/>
      <c r="AB437" s="79"/>
    </row>
    <row r="438" spans="1:28" ht="46.8" x14ac:dyDescent="0.3">
      <c r="A438" s="7" t="s">
        <v>18</v>
      </c>
      <c r="B438" s="6">
        <v>418</v>
      </c>
      <c r="C438" s="7" t="s">
        <v>1591</v>
      </c>
      <c r="D438" s="7" t="s">
        <v>1744</v>
      </c>
      <c r="E438" s="5"/>
      <c r="F438" s="7" t="s">
        <v>1745</v>
      </c>
      <c r="G438" s="5"/>
      <c r="H438" s="5"/>
      <c r="I438" s="7" t="s">
        <v>1746</v>
      </c>
      <c r="J438" s="7" t="s">
        <v>24</v>
      </c>
      <c r="K438" s="7" t="s">
        <v>1747</v>
      </c>
      <c r="L438" s="3">
        <v>515507992</v>
      </c>
      <c r="M438" s="5"/>
      <c r="N438" s="3">
        <v>7500000</v>
      </c>
      <c r="O438" s="40"/>
      <c r="P438" s="40"/>
      <c r="Q438" s="3">
        <f t="shared" si="56"/>
        <v>523007992</v>
      </c>
      <c r="R438" s="9">
        <v>515507992</v>
      </c>
      <c r="S438" s="7"/>
      <c r="T438" s="30">
        <v>7500000</v>
      </c>
      <c r="U438" s="7"/>
      <c r="V438" s="7"/>
      <c r="W438" s="36"/>
      <c r="X438" s="36">
        <f t="shared" si="57"/>
        <v>0</v>
      </c>
      <c r="Y438" s="36">
        <f t="shared" si="58"/>
        <v>0</v>
      </c>
      <c r="Z438" s="36">
        <f t="shared" si="55"/>
        <v>0</v>
      </c>
      <c r="AA438" s="4"/>
      <c r="AB438" s="79"/>
    </row>
    <row r="439" spans="1:28" ht="46.8" x14ac:dyDescent="0.3">
      <c r="A439" s="7" t="s">
        <v>62</v>
      </c>
      <c r="B439" s="6">
        <v>419</v>
      </c>
      <c r="C439" s="7" t="s">
        <v>1591</v>
      </c>
      <c r="D439" s="7" t="s">
        <v>1748</v>
      </c>
      <c r="E439" s="5"/>
      <c r="F439" s="7" t="s">
        <v>1749</v>
      </c>
      <c r="G439" s="5"/>
      <c r="H439" s="5"/>
      <c r="I439" s="7" t="s">
        <v>1750</v>
      </c>
      <c r="J439" s="7" t="s">
        <v>24</v>
      </c>
      <c r="K439" s="7" t="s">
        <v>1751</v>
      </c>
      <c r="L439" s="3">
        <v>1967943264</v>
      </c>
      <c r="M439" s="5"/>
      <c r="N439" s="3">
        <v>7500000</v>
      </c>
      <c r="O439" s="40"/>
      <c r="P439" s="40"/>
      <c r="Q439" s="3">
        <f t="shared" si="56"/>
        <v>1975443264</v>
      </c>
      <c r="R439" s="3">
        <v>1967943264</v>
      </c>
      <c r="S439" s="7"/>
      <c r="T439" s="30">
        <v>7500000</v>
      </c>
      <c r="U439" s="7"/>
      <c r="V439" s="7"/>
      <c r="W439" s="36"/>
      <c r="X439" s="36">
        <f t="shared" si="57"/>
        <v>0</v>
      </c>
      <c r="Y439" s="36">
        <f t="shared" si="58"/>
        <v>0</v>
      </c>
      <c r="Z439" s="36">
        <f t="shared" si="55"/>
        <v>0</v>
      </c>
      <c r="AA439" s="4"/>
      <c r="AB439" s="79"/>
    </row>
    <row r="440" spans="1:28" ht="46.8" x14ac:dyDescent="0.3">
      <c r="A440" s="7" t="s">
        <v>62</v>
      </c>
      <c r="B440" s="6">
        <v>420</v>
      </c>
      <c r="C440" s="7" t="s">
        <v>1591</v>
      </c>
      <c r="D440" s="7" t="s">
        <v>1752</v>
      </c>
      <c r="E440" s="5"/>
      <c r="F440" s="7" t="s">
        <v>1753</v>
      </c>
      <c r="G440" s="5"/>
      <c r="H440" s="5"/>
      <c r="I440" s="7" t="s">
        <v>1754</v>
      </c>
      <c r="J440" s="7" t="s">
        <v>24</v>
      </c>
      <c r="K440" s="7" t="s">
        <v>1755</v>
      </c>
      <c r="L440" s="3">
        <v>3075917326</v>
      </c>
      <c r="M440" s="5"/>
      <c r="N440" s="3">
        <v>7500000</v>
      </c>
      <c r="O440" s="40"/>
      <c r="P440" s="40"/>
      <c r="Q440" s="3">
        <f t="shared" si="56"/>
        <v>3083417326</v>
      </c>
      <c r="R440" s="7"/>
      <c r="S440" s="7"/>
      <c r="T440" s="72"/>
      <c r="U440" s="7"/>
      <c r="V440" s="7"/>
      <c r="W440" s="36">
        <v>3075917326</v>
      </c>
      <c r="X440" s="36">
        <f t="shared" si="57"/>
        <v>0</v>
      </c>
      <c r="Y440" s="36">
        <f t="shared" si="58"/>
        <v>7500000</v>
      </c>
      <c r="Z440" s="36">
        <f t="shared" si="55"/>
        <v>0</v>
      </c>
      <c r="AA440" s="10">
        <v>3075917326</v>
      </c>
      <c r="AB440" s="79"/>
    </row>
    <row r="441" spans="1:28" ht="46.8" x14ac:dyDescent="0.3">
      <c r="A441" s="7" t="s">
        <v>18</v>
      </c>
      <c r="B441" s="6">
        <v>421</v>
      </c>
      <c r="C441" s="7" t="s">
        <v>1591</v>
      </c>
      <c r="D441" s="7" t="s">
        <v>1756</v>
      </c>
      <c r="E441" s="5"/>
      <c r="F441" s="7" t="s">
        <v>1757</v>
      </c>
      <c r="G441" s="5"/>
      <c r="H441" s="5"/>
      <c r="I441" s="7" t="s">
        <v>1758</v>
      </c>
      <c r="J441" s="7" t="s">
        <v>24</v>
      </c>
      <c r="K441" s="7" t="s">
        <v>1759</v>
      </c>
      <c r="L441" s="3">
        <v>10850167780</v>
      </c>
      <c r="M441" s="5"/>
      <c r="N441" s="3">
        <v>15000000</v>
      </c>
      <c r="O441" s="40"/>
      <c r="P441" s="40"/>
      <c r="Q441" s="3">
        <f t="shared" si="56"/>
        <v>10865167780</v>
      </c>
      <c r="R441" s="3">
        <v>10850167780</v>
      </c>
      <c r="S441" s="7"/>
      <c r="T441" s="30">
        <v>15000000</v>
      </c>
      <c r="U441" s="7"/>
      <c r="V441" s="7"/>
      <c r="W441" s="36"/>
      <c r="X441" s="36">
        <f t="shared" si="57"/>
        <v>0</v>
      </c>
      <c r="Y441" s="36">
        <f t="shared" si="58"/>
        <v>0</v>
      </c>
      <c r="Z441" s="36">
        <f t="shared" si="55"/>
        <v>0</v>
      </c>
      <c r="AA441" s="4"/>
      <c r="AB441" s="79"/>
    </row>
    <row r="442" spans="1:28" ht="46.8" x14ac:dyDescent="0.3">
      <c r="A442" s="7" t="s">
        <v>53</v>
      </c>
      <c r="B442" s="6">
        <v>422</v>
      </c>
      <c r="C442" s="7" t="s">
        <v>1591</v>
      </c>
      <c r="D442" s="7" t="s">
        <v>1760</v>
      </c>
      <c r="E442" s="5"/>
      <c r="F442" s="7" t="s">
        <v>1761</v>
      </c>
      <c r="G442" s="5"/>
      <c r="H442" s="5"/>
      <c r="I442" s="7" t="s">
        <v>1762</v>
      </c>
      <c r="J442" s="7" t="s">
        <v>24</v>
      </c>
      <c r="K442" s="7" t="s">
        <v>1763</v>
      </c>
      <c r="L442" s="3">
        <v>963584580</v>
      </c>
      <c r="M442" s="5"/>
      <c r="N442" s="3">
        <v>7500000</v>
      </c>
      <c r="O442" s="40"/>
      <c r="P442" s="40"/>
      <c r="Q442" s="3">
        <f t="shared" si="56"/>
        <v>971084580</v>
      </c>
      <c r="R442" s="3">
        <v>963584580</v>
      </c>
      <c r="S442" s="7"/>
      <c r="T442" s="30">
        <v>7500000</v>
      </c>
      <c r="U442" s="7"/>
      <c r="V442" s="7"/>
      <c r="W442" s="36"/>
      <c r="X442" s="36">
        <f t="shared" si="57"/>
        <v>0</v>
      </c>
      <c r="Y442" s="36">
        <f t="shared" si="58"/>
        <v>0</v>
      </c>
      <c r="Z442" s="36">
        <f t="shared" si="55"/>
        <v>0</v>
      </c>
      <c r="AA442" s="4"/>
      <c r="AB442" s="79"/>
    </row>
    <row r="443" spans="1:28" ht="62.4" x14ac:dyDescent="0.3">
      <c r="A443" s="7" t="s">
        <v>53</v>
      </c>
      <c r="B443" s="6">
        <v>423</v>
      </c>
      <c r="C443" s="7" t="s">
        <v>1591</v>
      </c>
      <c r="D443" s="7" t="s">
        <v>1764</v>
      </c>
      <c r="E443" s="5"/>
      <c r="F443" s="7" t="s">
        <v>1765</v>
      </c>
      <c r="G443" s="5"/>
      <c r="H443" s="5"/>
      <c r="I443" s="7" t="s">
        <v>1766</v>
      </c>
      <c r="J443" s="7" t="s">
        <v>24</v>
      </c>
      <c r="K443" s="7" t="s">
        <v>1767</v>
      </c>
      <c r="L443" s="3">
        <v>7215729060</v>
      </c>
      <c r="M443" s="5"/>
      <c r="N443" s="3">
        <v>15000000</v>
      </c>
      <c r="O443" s="40"/>
      <c r="P443" s="40"/>
      <c r="Q443" s="3">
        <f t="shared" si="56"/>
        <v>7230729060</v>
      </c>
      <c r="R443" s="3">
        <v>7215729060</v>
      </c>
      <c r="S443" s="7"/>
      <c r="T443" s="30">
        <v>15000000</v>
      </c>
      <c r="U443" s="7"/>
      <c r="V443" s="7"/>
      <c r="W443" s="36"/>
      <c r="X443" s="36">
        <f t="shared" si="57"/>
        <v>0</v>
      </c>
      <c r="Y443" s="36">
        <f t="shared" si="58"/>
        <v>0</v>
      </c>
      <c r="Z443" s="36">
        <f t="shared" si="55"/>
        <v>0</v>
      </c>
      <c r="AA443" s="4"/>
      <c r="AB443" s="79"/>
    </row>
    <row r="444" spans="1:28" ht="46.8" x14ac:dyDescent="0.3">
      <c r="A444" s="7" t="s">
        <v>62</v>
      </c>
      <c r="B444" s="6">
        <v>424</v>
      </c>
      <c r="C444" s="7" t="s">
        <v>1591</v>
      </c>
      <c r="D444" s="7" t="s">
        <v>1768</v>
      </c>
      <c r="E444" s="5"/>
      <c r="F444" s="7" t="s">
        <v>1769</v>
      </c>
      <c r="G444" s="5"/>
      <c r="H444" s="5"/>
      <c r="I444" s="7" t="s">
        <v>1770</v>
      </c>
      <c r="J444" s="7" t="s">
        <v>24</v>
      </c>
      <c r="K444" s="7" t="s">
        <v>1771</v>
      </c>
      <c r="L444" s="6">
        <v>0</v>
      </c>
      <c r="M444" s="5"/>
      <c r="N444" s="3">
        <v>7500000</v>
      </c>
      <c r="O444" s="40"/>
      <c r="P444" s="40"/>
      <c r="Q444" s="3">
        <f t="shared" si="56"/>
        <v>7500000</v>
      </c>
      <c r="R444" s="6">
        <v>0</v>
      </c>
      <c r="S444" s="7"/>
      <c r="T444" s="30">
        <v>7500000</v>
      </c>
      <c r="U444" s="7"/>
      <c r="V444" s="7"/>
      <c r="W444" s="36"/>
      <c r="X444" s="36">
        <f t="shared" si="57"/>
        <v>0</v>
      </c>
      <c r="Y444" s="36">
        <f t="shared" si="58"/>
        <v>0</v>
      </c>
      <c r="Z444" s="36">
        <f t="shared" si="55"/>
        <v>0</v>
      </c>
      <c r="AA444" s="4"/>
      <c r="AB444" s="79"/>
    </row>
    <row r="445" spans="1:28" ht="46.8" x14ac:dyDescent="0.3">
      <c r="A445" s="7" t="s">
        <v>18</v>
      </c>
      <c r="B445" s="6">
        <v>425</v>
      </c>
      <c r="C445" s="7" t="s">
        <v>1591</v>
      </c>
      <c r="D445" s="7" t="s">
        <v>1772</v>
      </c>
      <c r="E445" s="5"/>
      <c r="F445" s="7" t="s">
        <v>1773</v>
      </c>
      <c r="G445" s="7" t="s">
        <v>1774</v>
      </c>
      <c r="H445" s="5"/>
      <c r="I445" s="7" t="s">
        <v>1775</v>
      </c>
      <c r="J445" s="7" t="s">
        <v>24</v>
      </c>
      <c r="K445" s="7" t="s">
        <v>1776</v>
      </c>
      <c r="L445" s="3">
        <v>803736494</v>
      </c>
      <c r="M445" s="5"/>
      <c r="N445" s="3">
        <v>7500000</v>
      </c>
      <c r="O445" s="40"/>
      <c r="P445" s="40"/>
      <c r="Q445" s="3">
        <f t="shared" si="56"/>
        <v>811236494</v>
      </c>
      <c r="R445" s="3">
        <v>803736494</v>
      </c>
      <c r="S445" s="7"/>
      <c r="T445" s="30">
        <v>7500000</v>
      </c>
      <c r="U445" s="7"/>
      <c r="V445" s="7"/>
      <c r="W445" s="36"/>
      <c r="X445" s="36">
        <f t="shared" si="57"/>
        <v>0</v>
      </c>
      <c r="Y445" s="36">
        <f t="shared" si="58"/>
        <v>0</v>
      </c>
      <c r="Z445" s="36">
        <f t="shared" si="55"/>
        <v>0</v>
      </c>
      <c r="AA445" s="4"/>
      <c r="AB445" s="79"/>
    </row>
    <row r="446" spans="1:28" ht="46.8" x14ac:dyDescent="0.3">
      <c r="A446" s="7" t="s">
        <v>1601</v>
      </c>
      <c r="B446" s="6">
        <v>426</v>
      </c>
      <c r="C446" s="7" t="s">
        <v>1591</v>
      </c>
      <c r="D446" s="7" t="s">
        <v>1777</v>
      </c>
      <c r="E446" s="5"/>
      <c r="F446" s="7" t="s">
        <v>1778</v>
      </c>
      <c r="G446" s="5"/>
      <c r="H446" s="5"/>
      <c r="I446" s="7" t="s">
        <v>1779</v>
      </c>
      <c r="J446" s="7" t="s">
        <v>24</v>
      </c>
      <c r="K446" s="7" t="s">
        <v>1780</v>
      </c>
      <c r="L446" s="3">
        <v>135006020</v>
      </c>
      <c r="M446" s="5"/>
      <c r="N446" s="3">
        <v>7500000</v>
      </c>
      <c r="O446" s="40"/>
      <c r="P446" s="40"/>
      <c r="Q446" s="3">
        <f t="shared" si="56"/>
        <v>142506020</v>
      </c>
      <c r="R446" s="3">
        <v>135006020</v>
      </c>
      <c r="S446" s="7"/>
      <c r="T446" s="30">
        <v>7500000</v>
      </c>
      <c r="U446" s="7"/>
      <c r="V446" s="7"/>
      <c r="W446" s="36"/>
      <c r="X446" s="36">
        <f t="shared" si="57"/>
        <v>0</v>
      </c>
      <c r="Y446" s="36">
        <f t="shared" si="58"/>
        <v>0</v>
      </c>
      <c r="Z446" s="36">
        <f t="shared" si="55"/>
        <v>0</v>
      </c>
      <c r="AA446" s="4"/>
      <c r="AB446" s="79"/>
    </row>
    <row r="447" spans="1:28" ht="46.8" x14ac:dyDescent="0.3">
      <c r="A447" s="7" t="s">
        <v>53</v>
      </c>
      <c r="B447" s="6">
        <v>427</v>
      </c>
      <c r="C447" s="7" t="s">
        <v>1591</v>
      </c>
      <c r="D447" s="7" t="s">
        <v>1781</v>
      </c>
      <c r="E447" s="5"/>
      <c r="F447" s="7" t="s">
        <v>1782</v>
      </c>
      <c r="G447" s="5"/>
      <c r="H447" s="5"/>
      <c r="I447" s="7" t="s">
        <v>1783</v>
      </c>
      <c r="J447" s="7" t="s">
        <v>24</v>
      </c>
      <c r="K447" s="7" t="s">
        <v>1784</v>
      </c>
      <c r="L447" s="3">
        <v>2820833362</v>
      </c>
      <c r="M447" s="5"/>
      <c r="N447" s="3">
        <v>15000000</v>
      </c>
      <c r="O447" s="40" t="s">
        <v>154</v>
      </c>
      <c r="P447" s="10">
        <v>48000000</v>
      </c>
      <c r="Q447" s="3">
        <f t="shared" si="56"/>
        <v>2883833362</v>
      </c>
      <c r="R447" s="3">
        <v>2820833362</v>
      </c>
      <c r="S447" s="7"/>
      <c r="T447" s="30">
        <v>15000000</v>
      </c>
      <c r="U447" s="3">
        <v>48000000</v>
      </c>
      <c r="V447" s="7"/>
      <c r="W447" s="36"/>
      <c r="X447" s="36">
        <f t="shared" si="57"/>
        <v>0</v>
      </c>
      <c r="Y447" s="36">
        <f t="shared" si="58"/>
        <v>0</v>
      </c>
      <c r="Z447" s="36">
        <f t="shared" si="55"/>
        <v>0</v>
      </c>
      <c r="AA447" s="4"/>
      <c r="AB447" s="79"/>
    </row>
    <row r="448" spans="1:28" ht="31.2" x14ac:dyDescent="0.3">
      <c r="A448" s="7" t="s">
        <v>62</v>
      </c>
      <c r="B448" s="6">
        <v>428</v>
      </c>
      <c r="C448" s="7" t="s">
        <v>1785</v>
      </c>
      <c r="D448" s="7" t="s">
        <v>1786</v>
      </c>
      <c r="E448" s="5"/>
      <c r="F448" s="7" t="s">
        <v>1787</v>
      </c>
      <c r="G448" s="5"/>
      <c r="H448" s="5"/>
      <c r="I448" s="7" t="s">
        <v>1788</v>
      </c>
      <c r="J448" s="7" t="s">
        <v>24</v>
      </c>
      <c r="K448" s="7" t="s">
        <v>1789</v>
      </c>
      <c r="L448" s="3">
        <v>356131600</v>
      </c>
      <c r="M448" s="5"/>
      <c r="N448" s="3">
        <v>7500000</v>
      </c>
      <c r="O448" s="40"/>
      <c r="P448" s="40"/>
      <c r="Q448" s="3">
        <f t="shared" si="56"/>
        <v>363631600</v>
      </c>
      <c r="R448" s="3">
        <v>356131600</v>
      </c>
      <c r="S448" s="7"/>
      <c r="T448" s="30">
        <v>7500000</v>
      </c>
      <c r="U448" s="7"/>
      <c r="V448" s="7"/>
      <c r="W448" s="36"/>
      <c r="X448" s="36">
        <f t="shared" si="57"/>
        <v>0</v>
      </c>
      <c r="Y448" s="36">
        <f t="shared" si="58"/>
        <v>0</v>
      </c>
      <c r="Z448" s="36">
        <f t="shared" si="55"/>
        <v>0</v>
      </c>
      <c r="AA448" s="4"/>
      <c r="AB448" s="79"/>
    </row>
    <row r="449" spans="1:28" ht="31.2" x14ac:dyDescent="0.3">
      <c r="A449" s="7" t="s">
        <v>1601</v>
      </c>
      <c r="B449" s="6">
        <v>429</v>
      </c>
      <c r="C449" s="7" t="s">
        <v>1785</v>
      </c>
      <c r="D449" s="7" t="s">
        <v>1790</v>
      </c>
      <c r="E449" s="5"/>
      <c r="F449" s="7" t="s">
        <v>1791</v>
      </c>
      <c r="G449" s="5"/>
      <c r="H449" s="5"/>
      <c r="I449" s="7" t="s">
        <v>1792</v>
      </c>
      <c r="J449" s="7" t="s">
        <v>24</v>
      </c>
      <c r="K449" s="7" t="s">
        <v>1793</v>
      </c>
      <c r="L449" s="3">
        <v>3113721600</v>
      </c>
      <c r="M449" s="5"/>
      <c r="N449" s="3">
        <v>15000000</v>
      </c>
      <c r="O449" s="40"/>
      <c r="P449" s="40"/>
      <c r="Q449" s="3">
        <f t="shared" si="56"/>
        <v>3128721600</v>
      </c>
      <c r="R449" s="36">
        <v>3113721600</v>
      </c>
      <c r="S449" s="7"/>
      <c r="T449" s="30">
        <v>15000000</v>
      </c>
      <c r="U449" s="7"/>
      <c r="V449" s="7"/>
      <c r="W449" s="36"/>
      <c r="X449" s="36">
        <f t="shared" si="57"/>
        <v>0</v>
      </c>
      <c r="Y449" s="36">
        <f t="shared" si="58"/>
        <v>0</v>
      </c>
      <c r="Z449" s="36">
        <f t="shared" si="55"/>
        <v>0</v>
      </c>
      <c r="AA449" s="4"/>
      <c r="AB449" s="79"/>
    </row>
    <row r="450" spans="1:28" ht="31.2" x14ac:dyDescent="0.3">
      <c r="A450" s="7" t="s">
        <v>18</v>
      </c>
      <c r="B450" s="6">
        <v>430</v>
      </c>
      <c r="C450" s="7" t="s">
        <v>1785</v>
      </c>
      <c r="D450" s="7" t="s">
        <v>1794</v>
      </c>
      <c r="E450" s="5"/>
      <c r="F450" s="7" t="s">
        <v>1795</v>
      </c>
      <c r="G450" s="5"/>
      <c r="H450" s="5"/>
      <c r="I450" s="7" t="s">
        <v>1796</v>
      </c>
      <c r="J450" s="7" t="s">
        <v>24</v>
      </c>
      <c r="K450" s="7" t="s">
        <v>1797</v>
      </c>
      <c r="L450" s="3">
        <v>3291977680</v>
      </c>
      <c r="M450" s="5"/>
      <c r="N450" s="3">
        <v>15000000</v>
      </c>
      <c r="O450" s="40"/>
      <c r="P450" s="40"/>
      <c r="Q450" s="3">
        <f t="shared" si="56"/>
        <v>3306977680</v>
      </c>
      <c r="R450" s="9">
        <v>3291977680</v>
      </c>
      <c r="S450" s="7"/>
      <c r="T450" s="30">
        <v>15000000</v>
      </c>
      <c r="U450" s="7"/>
      <c r="V450" s="7"/>
      <c r="W450" s="36"/>
      <c r="X450" s="36">
        <f t="shared" si="57"/>
        <v>0</v>
      </c>
      <c r="Y450" s="36">
        <f t="shared" si="58"/>
        <v>0</v>
      </c>
      <c r="Z450" s="36">
        <f t="shared" si="55"/>
        <v>0</v>
      </c>
      <c r="AA450" s="4"/>
      <c r="AB450" s="79"/>
    </row>
    <row r="451" spans="1:28" ht="31.2" x14ac:dyDescent="0.3">
      <c r="A451" s="7" t="s">
        <v>18</v>
      </c>
      <c r="B451" s="6">
        <v>431</v>
      </c>
      <c r="C451" s="7" t="s">
        <v>1785</v>
      </c>
      <c r="D451" s="7" t="s">
        <v>1798</v>
      </c>
      <c r="E451" s="5"/>
      <c r="F451" s="7" t="s">
        <v>1799</v>
      </c>
      <c r="G451" s="7" t="s">
        <v>1800</v>
      </c>
      <c r="H451" s="5"/>
      <c r="I451" s="7" t="s">
        <v>1801</v>
      </c>
      <c r="J451" s="7" t="s">
        <v>24</v>
      </c>
      <c r="K451" s="7" t="s">
        <v>1802</v>
      </c>
      <c r="L451" s="3">
        <v>1490425300</v>
      </c>
      <c r="M451" s="5"/>
      <c r="N451" s="3">
        <v>15000000</v>
      </c>
      <c r="O451" s="40"/>
      <c r="P451" s="40"/>
      <c r="Q451" s="3">
        <f t="shared" si="56"/>
        <v>1505425300</v>
      </c>
      <c r="R451" s="9">
        <v>1490425300</v>
      </c>
      <c r="S451" s="7"/>
      <c r="T451" s="30">
        <v>15000000</v>
      </c>
      <c r="U451" s="7"/>
      <c r="V451" s="7"/>
      <c r="W451" s="36"/>
      <c r="X451" s="36">
        <f t="shared" si="57"/>
        <v>0</v>
      </c>
      <c r="Y451" s="36">
        <f t="shared" si="58"/>
        <v>0</v>
      </c>
      <c r="Z451" s="36">
        <f t="shared" si="55"/>
        <v>0</v>
      </c>
      <c r="AA451" s="4"/>
      <c r="AB451" s="79"/>
    </row>
    <row r="452" spans="1:28" ht="31.2" x14ac:dyDescent="0.3">
      <c r="A452" s="7" t="s">
        <v>18</v>
      </c>
      <c r="B452" s="6">
        <v>432</v>
      </c>
      <c r="C452" s="7" t="s">
        <v>1785</v>
      </c>
      <c r="D452" s="7" t="s">
        <v>1803</v>
      </c>
      <c r="E452" s="5"/>
      <c r="F452" s="7" t="s">
        <v>1804</v>
      </c>
      <c r="G452" s="5"/>
      <c r="H452" s="5"/>
      <c r="I452" s="7" t="s">
        <v>1805</v>
      </c>
      <c r="J452" s="7" t="s">
        <v>24</v>
      </c>
      <c r="K452" s="7" t="s">
        <v>1806</v>
      </c>
      <c r="L452" s="3">
        <v>938372032</v>
      </c>
      <c r="M452" s="5"/>
      <c r="N452" s="3">
        <v>15000000</v>
      </c>
      <c r="O452" s="40"/>
      <c r="P452" s="40"/>
      <c r="Q452" s="3">
        <f t="shared" si="56"/>
        <v>953372032</v>
      </c>
      <c r="R452" s="3">
        <v>938372032</v>
      </c>
      <c r="S452" s="7"/>
      <c r="T452" s="30">
        <v>15000000</v>
      </c>
      <c r="U452" s="7"/>
      <c r="V452" s="7"/>
      <c r="W452" s="36"/>
      <c r="X452" s="36">
        <f t="shared" si="57"/>
        <v>0</v>
      </c>
      <c r="Y452" s="36">
        <f t="shared" si="58"/>
        <v>0</v>
      </c>
      <c r="Z452" s="36">
        <f t="shared" si="55"/>
        <v>0</v>
      </c>
      <c r="AA452" s="4"/>
      <c r="AB452" s="79"/>
    </row>
    <row r="453" spans="1:28" ht="31.2" x14ac:dyDescent="0.3">
      <c r="A453" s="7" t="s">
        <v>46</v>
      </c>
      <c r="B453" s="6">
        <v>433</v>
      </c>
      <c r="C453" s="7" t="s">
        <v>1785</v>
      </c>
      <c r="D453" s="7" t="s">
        <v>1807</v>
      </c>
      <c r="E453" s="7" t="s">
        <v>1808</v>
      </c>
      <c r="F453" s="7" t="s">
        <v>1809</v>
      </c>
      <c r="G453" s="7" t="s">
        <v>1810</v>
      </c>
      <c r="H453" s="5"/>
      <c r="I453" s="7" t="s">
        <v>1811</v>
      </c>
      <c r="J453" s="7" t="s">
        <v>24</v>
      </c>
      <c r="K453" s="7" t="s">
        <v>1812</v>
      </c>
      <c r="L453" s="3">
        <v>749331672</v>
      </c>
      <c r="M453" s="3">
        <v>37628928</v>
      </c>
      <c r="N453" s="3">
        <v>7500000</v>
      </c>
      <c r="O453" s="40"/>
      <c r="P453" s="40"/>
      <c r="Q453" s="3">
        <f t="shared" si="56"/>
        <v>794460600</v>
      </c>
      <c r="R453" s="3">
        <v>749331672</v>
      </c>
      <c r="S453" s="7"/>
      <c r="T453" s="30">
        <v>7500000</v>
      </c>
      <c r="U453" s="7"/>
      <c r="V453" s="7"/>
      <c r="W453" s="36"/>
      <c r="X453" s="36">
        <f t="shared" si="57"/>
        <v>37628928</v>
      </c>
      <c r="Y453" s="36">
        <f t="shared" si="58"/>
        <v>0</v>
      </c>
      <c r="Z453" s="36">
        <f t="shared" si="55"/>
        <v>0</v>
      </c>
      <c r="AA453" s="4"/>
      <c r="AB453" s="79"/>
    </row>
    <row r="454" spans="1:28" ht="31.2" x14ac:dyDescent="0.3">
      <c r="A454" s="7" t="s">
        <v>1601</v>
      </c>
      <c r="B454" s="6">
        <v>434</v>
      </c>
      <c r="C454" s="7" t="s">
        <v>1785</v>
      </c>
      <c r="D454" s="7" t="s">
        <v>1813</v>
      </c>
      <c r="E454" s="5"/>
      <c r="F454" s="7" t="s">
        <v>1814</v>
      </c>
      <c r="G454" s="5"/>
      <c r="H454" s="5"/>
      <c r="I454" s="7" t="s">
        <v>1815</v>
      </c>
      <c r="J454" s="7" t="s">
        <v>24</v>
      </c>
      <c r="K454" s="7" t="s">
        <v>1816</v>
      </c>
      <c r="L454" s="3">
        <v>4110860698</v>
      </c>
      <c r="M454" s="5"/>
      <c r="N454" s="3">
        <v>15000000</v>
      </c>
      <c r="O454" s="40" t="s">
        <v>858</v>
      </c>
      <c r="P454" s="10">
        <v>72000000</v>
      </c>
      <c r="Q454" s="3">
        <f t="shared" si="56"/>
        <v>4197860698</v>
      </c>
      <c r="R454" s="3">
        <v>4110860698</v>
      </c>
      <c r="S454" s="7"/>
      <c r="T454" s="30">
        <v>15000000</v>
      </c>
      <c r="U454" s="3">
        <v>72000000</v>
      </c>
      <c r="V454" s="7"/>
      <c r="W454" s="36"/>
      <c r="X454" s="36">
        <f t="shared" si="57"/>
        <v>0</v>
      </c>
      <c r="Y454" s="36">
        <f t="shared" si="58"/>
        <v>0</v>
      </c>
      <c r="Z454" s="36">
        <f t="shared" si="55"/>
        <v>0</v>
      </c>
      <c r="AA454" s="4"/>
      <c r="AB454" s="79"/>
    </row>
    <row r="455" spans="1:28" ht="31.2" x14ac:dyDescent="0.3">
      <c r="A455" s="7" t="s">
        <v>62</v>
      </c>
      <c r="B455" s="6">
        <v>435</v>
      </c>
      <c r="C455" s="7" t="s">
        <v>1785</v>
      </c>
      <c r="D455" s="7" t="s">
        <v>1817</v>
      </c>
      <c r="E455" s="7" t="s">
        <v>1818</v>
      </c>
      <c r="F455" s="7" t="s">
        <v>1819</v>
      </c>
      <c r="G455" s="7" t="s">
        <v>1820</v>
      </c>
      <c r="H455" s="5"/>
      <c r="I455" s="7" t="s">
        <v>1821</v>
      </c>
      <c r="J455" s="7" t="s">
        <v>24</v>
      </c>
      <c r="K455" s="7" t="s">
        <v>1822</v>
      </c>
      <c r="L455" s="3">
        <v>15629867106</v>
      </c>
      <c r="M455" s="3">
        <v>1473748861</v>
      </c>
      <c r="N455" s="3">
        <v>7500000</v>
      </c>
      <c r="O455" s="40"/>
      <c r="P455" s="40"/>
      <c r="Q455" s="3">
        <f t="shared" si="56"/>
        <v>17111115967</v>
      </c>
      <c r="R455" s="7"/>
      <c r="S455" s="7"/>
      <c r="T455" s="72"/>
      <c r="U455" s="7"/>
      <c r="V455" s="7"/>
      <c r="W455" s="36">
        <v>15629867106</v>
      </c>
      <c r="X455" s="36">
        <f t="shared" si="57"/>
        <v>1473748861</v>
      </c>
      <c r="Y455" s="36">
        <f t="shared" si="58"/>
        <v>7500000</v>
      </c>
      <c r="Z455" s="36">
        <f t="shared" si="55"/>
        <v>0</v>
      </c>
      <c r="AA455" s="10">
        <v>15629867106</v>
      </c>
      <c r="AB455" s="79"/>
    </row>
    <row r="456" spans="1:28" ht="31.2" x14ac:dyDescent="0.3">
      <c r="A456" s="7" t="s">
        <v>53</v>
      </c>
      <c r="B456" s="6">
        <v>436</v>
      </c>
      <c r="C456" s="7" t="s">
        <v>1785</v>
      </c>
      <c r="D456" s="7" t="s">
        <v>1823</v>
      </c>
      <c r="E456" s="7" t="s">
        <v>1138</v>
      </c>
      <c r="F456" s="7" t="s">
        <v>1824</v>
      </c>
      <c r="G456" s="7" t="s">
        <v>1825</v>
      </c>
      <c r="H456" s="5"/>
      <c r="I456" s="7" t="s">
        <v>1826</v>
      </c>
      <c r="J456" s="7" t="s">
        <v>24</v>
      </c>
      <c r="K456" s="7" t="s">
        <v>1827</v>
      </c>
      <c r="L456" s="3">
        <v>2887795865</v>
      </c>
      <c r="M456" s="3">
        <v>38730048</v>
      </c>
      <c r="N456" s="3">
        <v>7500000</v>
      </c>
      <c r="O456" s="40"/>
      <c r="P456" s="40"/>
      <c r="Q456" s="3">
        <f t="shared" si="56"/>
        <v>2934025913</v>
      </c>
      <c r="R456" s="3">
        <v>2887795865</v>
      </c>
      <c r="S456" s="7"/>
      <c r="T456" s="72"/>
      <c r="U456" s="7"/>
      <c r="V456" s="7"/>
      <c r="W456" s="36"/>
      <c r="X456" s="36">
        <f t="shared" si="57"/>
        <v>38730048</v>
      </c>
      <c r="Y456" s="36">
        <f t="shared" si="58"/>
        <v>7500000</v>
      </c>
      <c r="Z456" s="36">
        <f t="shared" si="55"/>
        <v>0</v>
      </c>
      <c r="AA456" s="4"/>
      <c r="AB456" s="79"/>
    </row>
    <row r="457" spans="1:28" ht="31.2" x14ac:dyDescent="0.3">
      <c r="A457" s="7" t="s">
        <v>46</v>
      </c>
      <c r="B457" s="6">
        <v>437</v>
      </c>
      <c r="C457" s="7" t="s">
        <v>1785</v>
      </c>
      <c r="D457" s="7" t="s">
        <v>1828</v>
      </c>
      <c r="E457" s="5"/>
      <c r="F457" s="7" t="s">
        <v>1829</v>
      </c>
      <c r="G457" s="5"/>
      <c r="H457" s="5"/>
      <c r="I457" s="7" t="s">
        <v>1830</v>
      </c>
      <c r="J457" s="7" t="s">
        <v>24</v>
      </c>
      <c r="K457" s="7" t="s">
        <v>1831</v>
      </c>
      <c r="L457" s="3">
        <v>51726960</v>
      </c>
      <c r="M457" s="5"/>
      <c r="N457" s="3">
        <v>7500000</v>
      </c>
      <c r="O457" s="40"/>
      <c r="P457" s="40"/>
      <c r="Q457" s="3">
        <f t="shared" si="56"/>
        <v>59226960</v>
      </c>
      <c r="R457" s="3">
        <v>51726960</v>
      </c>
      <c r="S457" s="7"/>
      <c r="T457" s="72"/>
      <c r="U457" s="7"/>
      <c r="V457" s="7"/>
      <c r="W457" s="36"/>
      <c r="X457" s="36">
        <f t="shared" si="57"/>
        <v>0</v>
      </c>
      <c r="Y457" s="36">
        <f t="shared" si="58"/>
        <v>7500000</v>
      </c>
      <c r="Z457" s="36">
        <f t="shared" si="55"/>
        <v>0</v>
      </c>
      <c r="AA457" s="4"/>
      <c r="AB457" s="79"/>
    </row>
    <row r="458" spans="1:28" ht="31.2" x14ac:dyDescent="0.3">
      <c r="A458" s="7" t="s">
        <v>53</v>
      </c>
      <c r="B458" s="6">
        <v>438</v>
      </c>
      <c r="C458" s="7" t="s">
        <v>1785</v>
      </c>
      <c r="D458" s="7" t="s">
        <v>1832</v>
      </c>
      <c r="E458" s="5"/>
      <c r="F458" s="7" t="s">
        <v>1833</v>
      </c>
      <c r="G458" s="5"/>
      <c r="H458" s="5"/>
      <c r="I458" s="7" t="s">
        <v>1834</v>
      </c>
      <c r="J458" s="7" t="s">
        <v>24</v>
      </c>
      <c r="K458" s="7" t="s">
        <v>1835</v>
      </c>
      <c r="L458" s="3">
        <v>2988121529</v>
      </c>
      <c r="M458" s="5"/>
      <c r="N458" s="3">
        <v>7500000</v>
      </c>
      <c r="O458" s="40"/>
      <c r="P458" s="40"/>
      <c r="Q458" s="3">
        <f t="shared" si="56"/>
        <v>2995621529</v>
      </c>
      <c r="R458" s="3">
        <v>2988121529</v>
      </c>
      <c r="S458" s="7"/>
      <c r="T458" s="72"/>
      <c r="U458" s="7"/>
      <c r="V458" s="7"/>
      <c r="W458" s="36"/>
      <c r="X458" s="36">
        <f t="shared" si="57"/>
        <v>0</v>
      </c>
      <c r="Y458" s="36">
        <f t="shared" si="58"/>
        <v>7500000</v>
      </c>
      <c r="Z458" s="36">
        <f t="shared" si="55"/>
        <v>0</v>
      </c>
      <c r="AA458" s="4"/>
      <c r="AB458" s="79"/>
    </row>
    <row r="459" spans="1:28" ht="31.2" x14ac:dyDescent="0.3">
      <c r="A459" s="7" t="s">
        <v>53</v>
      </c>
      <c r="B459" s="6">
        <v>439</v>
      </c>
      <c r="C459" s="7" t="s">
        <v>1785</v>
      </c>
      <c r="D459" s="7" t="s">
        <v>1836</v>
      </c>
      <c r="E459" s="5"/>
      <c r="F459" s="7" t="s">
        <v>1837</v>
      </c>
      <c r="G459" s="5"/>
      <c r="H459" s="5"/>
      <c r="I459" s="7" t="s">
        <v>1838</v>
      </c>
      <c r="J459" s="7" t="s">
        <v>24</v>
      </c>
      <c r="K459" s="7" t="s">
        <v>1839</v>
      </c>
      <c r="L459" s="3">
        <v>2121301600</v>
      </c>
      <c r="M459" s="5"/>
      <c r="N459" s="3">
        <v>7500000</v>
      </c>
      <c r="O459" s="40"/>
      <c r="P459" s="40"/>
      <c r="Q459" s="3">
        <f t="shared" si="56"/>
        <v>2128801600</v>
      </c>
      <c r="R459" s="3">
        <v>2121301600</v>
      </c>
      <c r="S459" s="7"/>
      <c r="T459" s="30">
        <v>7500000</v>
      </c>
      <c r="U459" s="7"/>
      <c r="V459" s="7"/>
      <c r="W459" s="36"/>
      <c r="X459" s="36">
        <f t="shared" si="57"/>
        <v>0</v>
      </c>
      <c r="Y459" s="36">
        <f t="shared" si="58"/>
        <v>0</v>
      </c>
      <c r="Z459" s="36">
        <f t="shared" si="55"/>
        <v>0</v>
      </c>
      <c r="AA459" s="4"/>
      <c r="AB459" s="79"/>
    </row>
    <row r="460" spans="1:28" ht="31.2" x14ac:dyDescent="0.3">
      <c r="A460" s="7" t="s">
        <v>53</v>
      </c>
      <c r="B460" s="6">
        <v>440</v>
      </c>
      <c r="C460" s="7" t="s">
        <v>1785</v>
      </c>
      <c r="D460" s="7" t="s">
        <v>1840</v>
      </c>
      <c r="E460" s="5"/>
      <c r="F460" s="7" t="s">
        <v>1841</v>
      </c>
      <c r="G460" s="5"/>
      <c r="H460" s="5"/>
      <c r="I460" s="7" t="s">
        <v>1842</v>
      </c>
      <c r="J460" s="7" t="s">
        <v>24</v>
      </c>
      <c r="K460" s="7" t="s">
        <v>1843</v>
      </c>
      <c r="L460" s="3">
        <v>1804834020</v>
      </c>
      <c r="M460" s="5"/>
      <c r="N460" s="3">
        <v>15000000</v>
      </c>
      <c r="O460" s="40" t="s">
        <v>1559</v>
      </c>
      <c r="P460" s="10">
        <v>72000000</v>
      </c>
      <c r="Q460" s="3">
        <f t="shared" si="56"/>
        <v>1891834020</v>
      </c>
      <c r="R460" s="3">
        <v>1804834020</v>
      </c>
      <c r="S460" s="7"/>
      <c r="T460" s="30">
        <v>15000000</v>
      </c>
      <c r="U460" s="3">
        <v>72000000</v>
      </c>
      <c r="V460" s="7"/>
      <c r="W460" s="36"/>
      <c r="X460" s="36">
        <f t="shared" si="57"/>
        <v>0</v>
      </c>
      <c r="Y460" s="36">
        <f t="shared" si="58"/>
        <v>0</v>
      </c>
      <c r="Z460" s="36">
        <f t="shared" si="55"/>
        <v>0</v>
      </c>
      <c r="AA460" s="4"/>
      <c r="AB460" s="79"/>
    </row>
    <row r="461" spans="1:28" ht="31.2" x14ac:dyDescent="0.3">
      <c r="A461" s="7" t="s">
        <v>46</v>
      </c>
      <c r="B461" s="6">
        <v>441</v>
      </c>
      <c r="C461" s="7" t="s">
        <v>1785</v>
      </c>
      <c r="D461" s="7" t="s">
        <v>1844</v>
      </c>
      <c r="E461" s="5"/>
      <c r="F461" s="7" t="s">
        <v>1845</v>
      </c>
      <c r="G461" s="5"/>
      <c r="H461" s="5"/>
      <c r="I461" s="7" t="s">
        <v>1846</v>
      </c>
      <c r="J461" s="7" t="s">
        <v>24</v>
      </c>
      <c r="K461" s="7" t="s">
        <v>1847</v>
      </c>
      <c r="L461" s="3">
        <v>4606383064</v>
      </c>
      <c r="M461" s="5"/>
      <c r="N461" s="3">
        <v>15000000</v>
      </c>
      <c r="O461" s="40"/>
      <c r="P461" s="40"/>
      <c r="Q461" s="3">
        <f t="shared" si="56"/>
        <v>4621383064</v>
      </c>
      <c r="R461" s="3">
        <v>4606383064</v>
      </c>
      <c r="S461" s="7"/>
      <c r="T461" s="30">
        <v>15000000</v>
      </c>
      <c r="U461" s="7"/>
      <c r="V461" s="7"/>
      <c r="W461" s="36"/>
      <c r="X461" s="36">
        <f t="shared" si="57"/>
        <v>0</v>
      </c>
      <c r="Y461" s="36">
        <f t="shared" si="58"/>
        <v>0</v>
      </c>
      <c r="Z461" s="36">
        <f t="shared" si="55"/>
        <v>0</v>
      </c>
      <c r="AA461" s="4"/>
      <c r="AB461" s="79"/>
    </row>
    <row r="462" spans="1:28" ht="46.8" x14ac:dyDescent="0.3">
      <c r="A462" s="7" t="s">
        <v>62</v>
      </c>
      <c r="B462" s="6">
        <v>442</v>
      </c>
      <c r="C462" s="7" t="s">
        <v>1785</v>
      </c>
      <c r="D462" s="7" t="s">
        <v>1848</v>
      </c>
      <c r="E462" s="7" t="s">
        <v>1850</v>
      </c>
      <c r="F462" s="7" t="s">
        <v>1851</v>
      </c>
      <c r="G462" s="7" t="s">
        <v>1852</v>
      </c>
      <c r="H462" s="5"/>
      <c r="I462" s="7" t="s">
        <v>1853</v>
      </c>
      <c r="J462" s="7" t="s">
        <v>24</v>
      </c>
      <c r="K462" s="7" t="s">
        <v>1854</v>
      </c>
      <c r="L462" s="3">
        <v>1155653236</v>
      </c>
      <c r="M462" s="3">
        <v>1188367986</v>
      </c>
      <c r="N462" s="3">
        <v>15000000</v>
      </c>
      <c r="O462" s="40" t="s">
        <v>1849</v>
      </c>
      <c r="P462" s="10">
        <v>24000000</v>
      </c>
      <c r="Q462" s="3">
        <f t="shared" si="56"/>
        <v>2383021222</v>
      </c>
      <c r="R462" s="3">
        <v>1155653236</v>
      </c>
      <c r="S462" s="3">
        <v>1188367986</v>
      </c>
      <c r="T462" s="30">
        <v>15000000</v>
      </c>
      <c r="U462" s="3">
        <v>24000000</v>
      </c>
      <c r="V462" s="7"/>
      <c r="W462" s="36"/>
      <c r="X462" s="36">
        <f t="shared" si="57"/>
        <v>0</v>
      </c>
      <c r="Y462" s="36">
        <f t="shared" si="58"/>
        <v>0</v>
      </c>
      <c r="Z462" s="36">
        <f t="shared" si="55"/>
        <v>0</v>
      </c>
      <c r="AA462" s="4"/>
      <c r="AB462" s="79"/>
    </row>
    <row r="463" spans="1:28" ht="31.2" x14ac:dyDescent="0.3">
      <c r="A463" s="7" t="s">
        <v>1601</v>
      </c>
      <c r="B463" s="6">
        <v>443</v>
      </c>
      <c r="C463" s="7" t="s">
        <v>1785</v>
      </c>
      <c r="D463" s="7" t="s">
        <v>1855</v>
      </c>
      <c r="E463" s="5"/>
      <c r="F463" s="7" t="s">
        <v>1856</v>
      </c>
      <c r="G463" s="5"/>
      <c r="H463" s="5"/>
      <c r="I463" s="7" t="s">
        <v>1857</v>
      </c>
      <c r="J463" s="7" t="s">
        <v>24</v>
      </c>
      <c r="K463" s="7" t="s">
        <v>1858</v>
      </c>
      <c r="L463" s="3">
        <v>11944033780</v>
      </c>
      <c r="M463" s="5"/>
      <c r="N463" s="3">
        <v>15000000</v>
      </c>
      <c r="O463" s="40"/>
      <c r="P463" s="40"/>
      <c r="Q463" s="3">
        <f t="shared" si="56"/>
        <v>11959033780</v>
      </c>
      <c r="R463" s="3">
        <v>11944033780</v>
      </c>
      <c r="S463" s="7"/>
      <c r="T463" s="30">
        <v>15000000</v>
      </c>
      <c r="U463" s="7"/>
      <c r="V463" s="7"/>
      <c r="W463" s="36"/>
      <c r="X463" s="36">
        <f t="shared" si="57"/>
        <v>0</v>
      </c>
      <c r="Y463" s="36">
        <f t="shared" si="58"/>
        <v>0</v>
      </c>
      <c r="Z463" s="36">
        <f t="shared" si="55"/>
        <v>0</v>
      </c>
      <c r="AA463" s="4"/>
      <c r="AB463" s="79"/>
    </row>
    <row r="464" spans="1:28" ht="31.2" x14ac:dyDescent="0.3">
      <c r="A464" s="7" t="s">
        <v>53</v>
      </c>
      <c r="B464" s="6">
        <v>444</v>
      </c>
      <c r="C464" s="7" t="s">
        <v>1785</v>
      </c>
      <c r="D464" s="7" t="s">
        <v>1859</v>
      </c>
      <c r="E464" s="5"/>
      <c r="F464" s="7" t="s">
        <v>1860</v>
      </c>
      <c r="G464" s="5"/>
      <c r="H464" s="5"/>
      <c r="I464" s="7" t="s">
        <v>1861</v>
      </c>
      <c r="J464" s="7" t="s">
        <v>24</v>
      </c>
      <c r="K464" s="7" t="s">
        <v>1862</v>
      </c>
      <c r="L464" s="3">
        <v>672852940</v>
      </c>
      <c r="M464" s="5"/>
      <c r="N464" s="3">
        <v>7500000</v>
      </c>
      <c r="O464" s="40"/>
      <c r="P464" s="40"/>
      <c r="Q464" s="3">
        <f t="shared" si="56"/>
        <v>680352940</v>
      </c>
      <c r="R464" s="7"/>
      <c r="S464" s="7"/>
      <c r="T464" s="30">
        <v>7500000</v>
      </c>
      <c r="U464" s="7"/>
      <c r="V464" s="7"/>
      <c r="W464" s="36">
        <v>672852940</v>
      </c>
      <c r="X464" s="36">
        <f t="shared" si="57"/>
        <v>0</v>
      </c>
      <c r="Y464" s="36">
        <f t="shared" si="58"/>
        <v>0</v>
      </c>
      <c r="Z464" s="36">
        <f t="shared" si="55"/>
        <v>0</v>
      </c>
      <c r="AA464" s="10">
        <v>672852940</v>
      </c>
      <c r="AB464" s="79"/>
    </row>
    <row r="465" spans="1:28" ht="31.2" x14ac:dyDescent="0.3">
      <c r="A465" s="7" t="s">
        <v>46</v>
      </c>
      <c r="B465" s="6">
        <v>445</v>
      </c>
      <c r="C465" s="7" t="s">
        <v>1785</v>
      </c>
      <c r="D465" s="7" t="s">
        <v>1863</v>
      </c>
      <c r="E465" s="5"/>
      <c r="F465" s="7" t="s">
        <v>1864</v>
      </c>
      <c r="G465" s="5"/>
      <c r="H465" s="5"/>
      <c r="I465" s="7" t="s">
        <v>1865</v>
      </c>
      <c r="J465" s="7" t="s">
        <v>24</v>
      </c>
      <c r="K465" s="7" t="s">
        <v>1866</v>
      </c>
      <c r="L465" s="3">
        <v>2508309760</v>
      </c>
      <c r="M465" s="5"/>
      <c r="N465" s="3">
        <v>15000000</v>
      </c>
      <c r="O465" s="40"/>
      <c r="P465" s="40"/>
      <c r="Q465" s="3">
        <f t="shared" si="56"/>
        <v>2523309760</v>
      </c>
      <c r="R465" s="3">
        <v>2508309760</v>
      </c>
      <c r="S465" s="7"/>
      <c r="T465" s="30">
        <v>15000000</v>
      </c>
      <c r="U465" s="7"/>
      <c r="V465" s="7"/>
      <c r="W465" s="36"/>
      <c r="X465" s="36">
        <f t="shared" si="57"/>
        <v>0</v>
      </c>
      <c r="Y465" s="36">
        <f t="shared" si="58"/>
        <v>0</v>
      </c>
      <c r="Z465" s="36">
        <f t="shared" si="55"/>
        <v>0</v>
      </c>
      <c r="AA465" s="4"/>
      <c r="AB465" s="79"/>
    </row>
    <row r="466" spans="1:28" ht="31.2" x14ac:dyDescent="0.3">
      <c r="A466" s="7" t="s">
        <v>18</v>
      </c>
      <c r="B466" s="6">
        <v>446</v>
      </c>
      <c r="C466" s="7" t="s">
        <v>1785</v>
      </c>
      <c r="D466" s="7" t="s">
        <v>1867</v>
      </c>
      <c r="E466" s="5"/>
      <c r="F466" s="7" t="s">
        <v>1868</v>
      </c>
      <c r="G466" s="5"/>
      <c r="H466" s="5"/>
      <c r="I466" s="7" t="s">
        <v>1869</v>
      </c>
      <c r="J466" s="7" t="s">
        <v>24</v>
      </c>
      <c r="K466" s="7" t="s">
        <v>1870</v>
      </c>
      <c r="L466" s="3">
        <v>696677520</v>
      </c>
      <c r="M466" s="5"/>
      <c r="N466" s="3">
        <v>7500000</v>
      </c>
      <c r="O466" s="40"/>
      <c r="P466" s="40"/>
      <c r="Q466" s="3">
        <f t="shared" si="56"/>
        <v>704177520</v>
      </c>
      <c r="R466" s="9">
        <v>696677520</v>
      </c>
      <c r="S466" s="7"/>
      <c r="T466" s="30">
        <v>7500000</v>
      </c>
      <c r="U466" s="7"/>
      <c r="V466" s="7"/>
      <c r="W466" s="36"/>
      <c r="X466" s="36">
        <f t="shared" si="57"/>
        <v>0</v>
      </c>
      <c r="Y466" s="36">
        <f t="shared" si="58"/>
        <v>0</v>
      </c>
      <c r="Z466" s="36">
        <f t="shared" si="55"/>
        <v>0</v>
      </c>
      <c r="AA466" s="4"/>
      <c r="AB466" s="79"/>
    </row>
    <row r="467" spans="1:28" ht="62.4" x14ac:dyDescent="0.3">
      <c r="A467" s="7" t="s">
        <v>46</v>
      </c>
      <c r="B467" s="6">
        <v>447</v>
      </c>
      <c r="C467" s="7" t="s">
        <v>1785</v>
      </c>
      <c r="D467" s="7" t="s">
        <v>1871</v>
      </c>
      <c r="E467" s="5"/>
      <c r="F467" s="7" t="s">
        <v>1873</v>
      </c>
      <c r="G467" s="5"/>
      <c r="H467" s="5"/>
      <c r="I467" s="7" t="s">
        <v>3826</v>
      </c>
      <c r="J467" s="7" t="s">
        <v>24</v>
      </c>
      <c r="K467" s="7" t="s">
        <v>1874</v>
      </c>
      <c r="L467" s="3">
        <v>1371254860</v>
      </c>
      <c r="M467" s="5"/>
      <c r="N467" s="3">
        <v>15000000</v>
      </c>
      <c r="O467" s="40" t="s">
        <v>1872</v>
      </c>
      <c r="P467" s="10">
        <v>192000000</v>
      </c>
      <c r="Q467" s="3">
        <f t="shared" si="56"/>
        <v>1578254860</v>
      </c>
      <c r="R467" s="3">
        <v>1371254860</v>
      </c>
      <c r="S467" s="7"/>
      <c r="T467" s="30">
        <v>15000000</v>
      </c>
      <c r="U467" s="3">
        <v>96000000</v>
      </c>
      <c r="V467" s="7"/>
      <c r="W467" s="36"/>
      <c r="X467" s="36">
        <f t="shared" si="57"/>
        <v>0</v>
      </c>
      <c r="Y467" s="36">
        <f t="shared" si="58"/>
        <v>0</v>
      </c>
      <c r="Z467" s="36">
        <f t="shared" si="55"/>
        <v>96000000</v>
      </c>
      <c r="AA467" s="4"/>
      <c r="AB467" s="80" t="s">
        <v>3852</v>
      </c>
    </row>
    <row r="468" spans="1:28" ht="46.8" x14ac:dyDescent="0.3">
      <c r="A468" s="7" t="s">
        <v>62</v>
      </c>
      <c r="B468" s="6">
        <v>448</v>
      </c>
      <c r="C468" s="7" t="s">
        <v>1785</v>
      </c>
      <c r="D468" s="7" t="s">
        <v>1875</v>
      </c>
      <c r="E468" s="5"/>
      <c r="F468" s="7" t="s">
        <v>1877</v>
      </c>
      <c r="G468" s="5"/>
      <c r="H468" s="5"/>
      <c r="I468" s="7" t="s">
        <v>1878</v>
      </c>
      <c r="J468" s="7" t="s">
        <v>24</v>
      </c>
      <c r="K468" s="7" t="s">
        <v>1879</v>
      </c>
      <c r="L468" s="3">
        <v>1330580934</v>
      </c>
      <c r="M468" s="5"/>
      <c r="N468" s="3">
        <v>15000000</v>
      </c>
      <c r="O468" s="40" t="s">
        <v>1876</v>
      </c>
      <c r="P468" s="10">
        <v>48000000</v>
      </c>
      <c r="Q468" s="3">
        <f t="shared" ref="Q468:Q499" si="59">L468+M468+N468+P468</f>
        <v>1393580934</v>
      </c>
      <c r="R468" s="3">
        <v>1330580934</v>
      </c>
      <c r="S468" s="7"/>
      <c r="T468" s="30">
        <v>15000000</v>
      </c>
      <c r="U468" s="3">
        <v>48000000</v>
      </c>
      <c r="V468" s="7"/>
      <c r="W468" s="36"/>
      <c r="X468" s="36">
        <f t="shared" ref="X468:X499" si="60">M468-S468</f>
        <v>0</v>
      </c>
      <c r="Y468" s="36">
        <f t="shared" ref="Y468:Y499" si="61">N468-T468</f>
        <v>0</v>
      </c>
      <c r="Z468" s="36">
        <f t="shared" si="55"/>
        <v>0</v>
      </c>
      <c r="AA468" s="4"/>
      <c r="AB468" s="79"/>
    </row>
    <row r="469" spans="1:28" ht="31.2" x14ac:dyDescent="0.3">
      <c r="A469" s="7" t="s">
        <v>53</v>
      </c>
      <c r="B469" s="6">
        <v>449</v>
      </c>
      <c r="C469" s="7" t="s">
        <v>1785</v>
      </c>
      <c r="D469" s="7" t="s">
        <v>1880</v>
      </c>
      <c r="E469" s="5"/>
      <c r="F469" s="7" t="s">
        <v>1881</v>
      </c>
      <c r="G469" s="5"/>
      <c r="H469" s="5"/>
      <c r="I469" s="7" t="s">
        <v>1882</v>
      </c>
      <c r="J469" s="7" t="s">
        <v>24</v>
      </c>
      <c r="K469" s="7" t="s">
        <v>1883</v>
      </c>
      <c r="L469" s="3">
        <v>1491958086</v>
      </c>
      <c r="M469" s="5"/>
      <c r="N469" s="3">
        <v>7500000</v>
      </c>
      <c r="O469" s="40"/>
      <c r="P469" s="40"/>
      <c r="Q469" s="3">
        <f t="shared" si="59"/>
        <v>1499458086</v>
      </c>
      <c r="R469" s="3">
        <v>1491958086</v>
      </c>
      <c r="S469" s="7"/>
      <c r="T469" s="30">
        <v>7500000</v>
      </c>
      <c r="U469" s="7"/>
      <c r="V469" s="7"/>
      <c r="W469" s="36"/>
      <c r="X469" s="36">
        <f t="shared" si="60"/>
        <v>0</v>
      </c>
      <c r="Y469" s="36">
        <f t="shared" si="61"/>
        <v>0</v>
      </c>
      <c r="Z469" s="36">
        <f t="shared" si="55"/>
        <v>0</v>
      </c>
      <c r="AA469" s="4"/>
      <c r="AB469" s="79"/>
    </row>
    <row r="470" spans="1:28" ht="31.2" x14ac:dyDescent="0.3">
      <c r="A470" s="7" t="s">
        <v>46</v>
      </c>
      <c r="B470" s="6">
        <v>450</v>
      </c>
      <c r="C470" s="7" t="s">
        <v>1785</v>
      </c>
      <c r="D470" s="7" t="s">
        <v>1884</v>
      </c>
      <c r="E470" s="7" t="s">
        <v>1885</v>
      </c>
      <c r="F470" s="7" t="s">
        <v>1886</v>
      </c>
      <c r="G470" s="5"/>
      <c r="H470" s="5"/>
      <c r="I470" s="7" t="s">
        <v>1887</v>
      </c>
      <c r="J470" s="7" t="s">
        <v>24</v>
      </c>
      <c r="K470" s="7" t="s">
        <v>1888</v>
      </c>
      <c r="L470" s="3">
        <v>2330983840</v>
      </c>
      <c r="M470" s="3">
        <v>316785560</v>
      </c>
      <c r="N470" s="3">
        <v>15000000</v>
      </c>
      <c r="O470" s="40"/>
      <c r="P470" s="40"/>
      <c r="Q470" s="3">
        <f t="shared" si="59"/>
        <v>2662769400</v>
      </c>
      <c r="R470" s="3">
        <v>2330983840</v>
      </c>
      <c r="S470" s="3">
        <v>316785560</v>
      </c>
      <c r="T470" s="30">
        <v>15000000</v>
      </c>
      <c r="U470" s="7"/>
      <c r="V470" s="7"/>
      <c r="W470" s="36"/>
      <c r="X470" s="36">
        <f t="shared" si="60"/>
        <v>0</v>
      </c>
      <c r="Y470" s="36">
        <f t="shared" si="61"/>
        <v>0</v>
      </c>
      <c r="Z470" s="36">
        <f t="shared" ref="Z470:Z534" si="62">P470-U470</f>
        <v>0</v>
      </c>
      <c r="AA470" s="4"/>
      <c r="AB470" s="79"/>
    </row>
    <row r="471" spans="1:28" ht="31.2" x14ac:dyDescent="0.3">
      <c r="A471" s="7" t="s">
        <v>18</v>
      </c>
      <c r="B471" s="6">
        <v>451</v>
      </c>
      <c r="C471" s="7" t="s">
        <v>1785</v>
      </c>
      <c r="D471" s="7" t="s">
        <v>1889</v>
      </c>
      <c r="E471" s="5"/>
      <c r="F471" s="7" t="s">
        <v>1890</v>
      </c>
      <c r="G471" s="5"/>
      <c r="H471" s="5"/>
      <c r="I471" s="7" t="s">
        <v>1891</v>
      </c>
      <c r="J471" s="7" t="s">
        <v>24</v>
      </c>
      <c r="K471" s="7" t="s">
        <v>1892</v>
      </c>
      <c r="L471" s="3">
        <v>6729310220</v>
      </c>
      <c r="M471" s="5"/>
      <c r="N471" s="3">
        <v>15000000</v>
      </c>
      <c r="O471" s="40"/>
      <c r="P471" s="40"/>
      <c r="Q471" s="3">
        <f t="shared" si="59"/>
        <v>6744310220</v>
      </c>
      <c r="R471" s="9">
        <v>6729310220</v>
      </c>
      <c r="S471" s="7"/>
      <c r="T471" s="30">
        <v>15000000</v>
      </c>
      <c r="U471" s="7"/>
      <c r="V471" s="7"/>
      <c r="W471" s="36"/>
      <c r="X471" s="36">
        <f t="shared" si="60"/>
        <v>0</v>
      </c>
      <c r="Y471" s="36">
        <f t="shared" si="61"/>
        <v>0</v>
      </c>
      <c r="Z471" s="36">
        <f t="shared" si="62"/>
        <v>0</v>
      </c>
      <c r="AA471" s="4"/>
      <c r="AB471" s="79"/>
    </row>
    <row r="472" spans="1:28" ht="31.2" x14ac:dyDescent="0.3">
      <c r="A472" s="7" t="s">
        <v>46</v>
      </c>
      <c r="B472" s="6">
        <v>452</v>
      </c>
      <c r="C472" s="7" t="s">
        <v>1785</v>
      </c>
      <c r="D472" s="7" t="s">
        <v>1893</v>
      </c>
      <c r="E472" s="5"/>
      <c r="F472" s="7" t="s">
        <v>1894</v>
      </c>
      <c r="G472" s="5"/>
      <c r="H472" s="5"/>
      <c r="I472" s="7" t="s">
        <v>1895</v>
      </c>
      <c r="J472" s="7" t="s">
        <v>24</v>
      </c>
      <c r="K472" s="7" t="s">
        <v>1896</v>
      </c>
      <c r="L472" s="3">
        <v>1850880899</v>
      </c>
      <c r="M472" s="5"/>
      <c r="N472" s="3">
        <v>7500000</v>
      </c>
      <c r="O472" s="40"/>
      <c r="P472" s="40"/>
      <c r="Q472" s="3">
        <f t="shared" si="59"/>
        <v>1858380899</v>
      </c>
      <c r="R472" s="3">
        <v>1850880899</v>
      </c>
      <c r="S472" s="7"/>
      <c r="T472" s="30">
        <v>7500000</v>
      </c>
      <c r="U472" s="7"/>
      <c r="V472" s="7"/>
      <c r="W472" s="36"/>
      <c r="X472" s="36">
        <f t="shared" si="60"/>
        <v>0</v>
      </c>
      <c r="Y472" s="36">
        <f t="shared" si="61"/>
        <v>0</v>
      </c>
      <c r="Z472" s="36">
        <f t="shared" si="62"/>
        <v>0</v>
      </c>
      <c r="AA472" s="4"/>
      <c r="AB472" s="79"/>
    </row>
    <row r="473" spans="1:28" ht="31.2" x14ac:dyDescent="0.3">
      <c r="A473" s="7" t="s">
        <v>18</v>
      </c>
      <c r="B473" s="6">
        <v>453</v>
      </c>
      <c r="C473" s="7" t="s">
        <v>1785</v>
      </c>
      <c r="D473" s="7" t="s">
        <v>1897</v>
      </c>
      <c r="E473" s="5"/>
      <c r="F473" s="7" t="s">
        <v>1898</v>
      </c>
      <c r="G473" s="5"/>
      <c r="H473" s="7" t="s">
        <v>28</v>
      </c>
      <c r="I473" s="7" t="s">
        <v>1899</v>
      </c>
      <c r="J473" s="7" t="s">
        <v>24</v>
      </c>
      <c r="K473" s="7" t="s">
        <v>1900</v>
      </c>
      <c r="L473" s="3">
        <v>634835870</v>
      </c>
      <c r="M473" s="5"/>
      <c r="N473" s="3">
        <v>3750000</v>
      </c>
      <c r="O473" s="40"/>
      <c r="P473" s="40"/>
      <c r="Q473" s="3">
        <f t="shared" si="59"/>
        <v>638585870</v>
      </c>
      <c r="R473" s="7"/>
      <c r="S473" s="7"/>
      <c r="T473" s="72"/>
      <c r="U473" s="7"/>
      <c r="V473" s="7"/>
      <c r="W473" s="36">
        <v>634835870</v>
      </c>
      <c r="X473" s="36">
        <f t="shared" si="60"/>
        <v>0</v>
      </c>
      <c r="Y473" s="36">
        <f t="shared" si="61"/>
        <v>3750000</v>
      </c>
      <c r="Z473" s="36">
        <f t="shared" si="62"/>
        <v>0</v>
      </c>
      <c r="AA473" s="10">
        <v>634835870</v>
      </c>
      <c r="AB473" s="79"/>
    </row>
    <row r="474" spans="1:28" ht="31.2" x14ac:dyDescent="0.3">
      <c r="A474" s="7" t="s">
        <v>1601</v>
      </c>
      <c r="B474" s="6">
        <v>454</v>
      </c>
      <c r="C474" s="7" t="s">
        <v>1785</v>
      </c>
      <c r="D474" s="7" t="s">
        <v>1901</v>
      </c>
      <c r="E474" s="5"/>
      <c r="F474" s="7" t="s">
        <v>1902</v>
      </c>
      <c r="G474" s="5"/>
      <c r="H474" s="5"/>
      <c r="I474" s="7" t="s">
        <v>1903</v>
      </c>
      <c r="J474" s="7" t="s">
        <v>24</v>
      </c>
      <c r="K474" s="7" t="s">
        <v>1904</v>
      </c>
      <c r="L474" s="6">
        <v>0</v>
      </c>
      <c r="M474" s="5"/>
      <c r="N474" s="3">
        <v>7500000</v>
      </c>
      <c r="O474" s="40"/>
      <c r="P474" s="40"/>
      <c r="Q474" s="3">
        <f t="shared" si="59"/>
        <v>7500000</v>
      </c>
      <c r="R474" s="6">
        <v>0</v>
      </c>
      <c r="S474" s="7"/>
      <c r="T474" s="72"/>
      <c r="U474" s="7"/>
      <c r="V474" s="7"/>
      <c r="W474" s="36"/>
      <c r="X474" s="36">
        <f t="shared" si="60"/>
        <v>0</v>
      </c>
      <c r="Y474" s="36">
        <f t="shared" si="61"/>
        <v>7500000</v>
      </c>
      <c r="Z474" s="36">
        <f t="shared" si="62"/>
        <v>0</v>
      </c>
      <c r="AA474" s="4"/>
      <c r="AB474" s="79"/>
    </row>
    <row r="475" spans="1:28" ht="31.2" x14ac:dyDescent="0.3">
      <c r="A475" s="7" t="s">
        <v>18</v>
      </c>
      <c r="B475" s="6">
        <v>455</v>
      </c>
      <c r="C475" s="7" t="s">
        <v>1785</v>
      </c>
      <c r="D475" s="7" t="s">
        <v>1905</v>
      </c>
      <c r="E475" s="5"/>
      <c r="F475" s="7" t="s">
        <v>1906</v>
      </c>
      <c r="G475" s="5"/>
      <c r="H475" s="5"/>
      <c r="I475" s="7" t="s">
        <v>1907</v>
      </c>
      <c r="J475" s="7" t="s">
        <v>24</v>
      </c>
      <c r="K475" s="7" t="s">
        <v>1908</v>
      </c>
      <c r="L475" s="3">
        <v>1786505570</v>
      </c>
      <c r="M475" s="5"/>
      <c r="N475" s="3">
        <v>15000000</v>
      </c>
      <c r="O475" s="40"/>
      <c r="P475" s="40"/>
      <c r="Q475" s="3">
        <f t="shared" si="59"/>
        <v>1801505570</v>
      </c>
      <c r="R475" s="3">
        <v>1786505570</v>
      </c>
      <c r="S475" s="7"/>
      <c r="T475" s="30">
        <v>15000000</v>
      </c>
      <c r="U475" s="7"/>
      <c r="V475" s="7"/>
      <c r="W475" s="36"/>
      <c r="X475" s="36">
        <f t="shared" si="60"/>
        <v>0</v>
      </c>
      <c r="Y475" s="36">
        <f t="shared" si="61"/>
        <v>0</v>
      </c>
      <c r="Z475" s="36">
        <f t="shared" si="62"/>
        <v>0</v>
      </c>
      <c r="AA475" s="4"/>
      <c r="AB475" s="79"/>
    </row>
    <row r="476" spans="1:28" ht="31.2" x14ac:dyDescent="0.3">
      <c r="A476" s="7" t="s">
        <v>53</v>
      </c>
      <c r="B476" s="6">
        <v>456</v>
      </c>
      <c r="C476" s="7" t="s">
        <v>1785</v>
      </c>
      <c r="D476" s="7" t="s">
        <v>1909</v>
      </c>
      <c r="E476" s="5"/>
      <c r="F476" s="7" t="s">
        <v>1910</v>
      </c>
      <c r="G476" s="5"/>
      <c r="H476" s="5"/>
      <c r="I476" s="7" t="s">
        <v>1911</v>
      </c>
      <c r="J476" s="7" t="s">
        <v>24</v>
      </c>
      <c r="K476" s="7" t="s">
        <v>1912</v>
      </c>
      <c r="L476" s="3">
        <v>5179078192</v>
      </c>
      <c r="M476" s="5"/>
      <c r="N476" s="3">
        <v>15000000</v>
      </c>
      <c r="O476" s="7" t="s">
        <v>1177</v>
      </c>
      <c r="P476" s="3">
        <v>54000000</v>
      </c>
      <c r="Q476" s="3">
        <f t="shared" si="59"/>
        <v>5248078192</v>
      </c>
      <c r="R476" s="3">
        <v>5179078192</v>
      </c>
      <c r="S476" s="7"/>
      <c r="T476" s="72"/>
      <c r="U476" s="7"/>
      <c r="V476" s="7"/>
      <c r="W476" s="36"/>
      <c r="X476" s="36">
        <f t="shared" si="60"/>
        <v>0</v>
      </c>
      <c r="Y476" s="36">
        <f t="shared" si="61"/>
        <v>15000000</v>
      </c>
      <c r="Z476" s="36">
        <f t="shared" si="62"/>
        <v>54000000</v>
      </c>
      <c r="AA476" s="4"/>
      <c r="AB476" s="83"/>
    </row>
    <row r="477" spans="1:28" ht="31.2" x14ac:dyDescent="0.3">
      <c r="A477" s="7" t="s">
        <v>1601</v>
      </c>
      <c r="B477" s="6">
        <v>457</v>
      </c>
      <c r="C477" s="7" t="s">
        <v>1785</v>
      </c>
      <c r="D477" s="7" t="s">
        <v>1913</v>
      </c>
      <c r="E477" s="5"/>
      <c r="F477" s="7" t="s">
        <v>1914</v>
      </c>
      <c r="G477" s="5"/>
      <c r="H477" s="5"/>
      <c r="I477" s="7" t="s">
        <v>1915</v>
      </c>
      <c r="J477" s="7" t="s">
        <v>24</v>
      </c>
      <c r="K477" s="7" t="s">
        <v>1916</v>
      </c>
      <c r="L477" s="3">
        <v>3193648512</v>
      </c>
      <c r="M477" s="5"/>
      <c r="N477" s="3">
        <v>15000000</v>
      </c>
      <c r="O477" s="40"/>
      <c r="P477" s="40"/>
      <c r="Q477" s="3">
        <f t="shared" si="59"/>
        <v>3208648512</v>
      </c>
      <c r="R477" s="3">
        <v>3193648512</v>
      </c>
      <c r="S477" s="7"/>
      <c r="T477" s="30">
        <v>15000000</v>
      </c>
      <c r="U477" s="7"/>
      <c r="V477" s="7"/>
      <c r="W477" s="36"/>
      <c r="X477" s="36">
        <f t="shared" si="60"/>
        <v>0</v>
      </c>
      <c r="Y477" s="36">
        <f t="shared" si="61"/>
        <v>0</v>
      </c>
      <c r="Z477" s="36">
        <f t="shared" si="62"/>
        <v>0</v>
      </c>
      <c r="AA477" s="4"/>
      <c r="AB477" s="79"/>
    </row>
    <row r="478" spans="1:28" ht="31.2" x14ac:dyDescent="0.3">
      <c r="A478" s="7" t="s">
        <v>1601</v>
      </c>
      <c r="B478" s="6">
        <v>458</v>
      </c>
      <c r="C478" s="7" t="s">
        <v>1785</v>
      </c>
      <c r="D478" s="7" t="s">
        <v>1917</v>
      </c>
      <c r="E478" s="5"/>
      <c r="F478" s="7" t="s">
        <v>1918</v>
      </c>
      <c r="G478" s="5"/>
      <c r="H478" s="5"/>
      <c r="I478" s="7" t="s">
        <v>1919</v>
      </c>
      <c r="J478" s="7" t="s">
        <v>24</v>
      </c>
      <c r="K478" s="7" t="s">
        <v>1920</v>
      </c>
      <c r="L478" s="3">
        <v>1952469640</v>
      </c>
      <c r="M478" s="5"/>
      <c r="N478" s="3">
        <v>7500000</v>
      </c>
      <c r="O478" s="40"/>
      <c r="P478" s="40"/>
      <c r="Q478" s="3">
        <f t="shared" si="59"/>
        <v>1959969640</v>
      </c>
      <c r="R478" s="36">
        <v>1952469640</v>
      </c>
      <c r="S478" s="7"/>
      <c r="T478" s="30">
        <v>7500000</v>
      </c>
      <c r="U478" s="7"/>
      <c r="V478" s="7"/>
      <c r="W478" s="36"/>
      <c r="X478" s="36">
        <f t="shared" si="60"/>
        <v>0</v>
      </c>
      <c r="Y478" s="36">
        <f t="shared" si="61"/>
        <v>0</v>
      </c>
      <c r="Z478" s="36">
        <f t="shared" si="62"/>
        <v>0</v>
      </c>
      <c r="AA478" s="4"/>
      <c r="AB478" s="79"/>
    </row>
    <row r="479" spans="1:28" ht="31.2" x14ac:dyDescent="0.3">
      <c r="A479" s="7" t="s">
        <v>1601</v>
      </c>
      <c r="B479" s="6">
        <v>459</v>
      </c>
      <c r="C479" s="7" t="s">
        <v>1785</v>
      </c>
      <c r="D479" s="7" t="s">
        <v>1921</v>
      </c>
      <c r="E479" s="7" t="s">
        <v>1922</v>
      </c>
      <c r="F479" s="7" t="s">
        <v>1923</v>
      </c>
      <c r="G479" s="7" t="s">
        <v>1924</v>
      </c>
      <c r="H479" s="5"/>
      <c r="I479" s="7" t="s">
        <v>1925</v>
      </c>
      <c r="J479" s="7" t="s">
        <v>24</v>
      </c>
      <c r="K479" s="7" t="s">
        <v>1926</v>
      </c>
      <c r="L479" s="3">
        <v>42946103602</v>
      </c>
      <c r="M479" s="3">
        <v>1821979150</v>
      </c>
      <c r="N479" s="3">
        <v>7500000</v>
      </c>
      <c r="O479" s="40"/>
      <c r="P479" s="40"/>
      <c r="Q479" s="3">
        <f t="shared" si="59"/>
        <v>44775582752</v>
      </c>
      <c r="R479" s="36">
        <v>42946103602</v>
      </c>
      <c r="S479" s="3">
        <v>1821979150</v>
      </c>
      <c r="T479" s="72"/>
      <c r="U479" s="7"/>
      <c r="V479" s="7"/>
      <c r="W479" s="36"/>
      <c r="X479" s="36">
        <f t="shared" si="60"/>
        <v>0</v>
      </c>
      <c r="Y479" s="36">
        <f t="shared" si="61"/>
        <v>7500000</v>
      </c>
      <c r="Z479" s="36">
        <f t="shared" si="62"/>
        <v>0</v>
      </c>
      <c r="AA479" s="4"/>
      <c r="AB479" s="79"/>
    </row>
    <row r="480" spans="1:28" ht="31.2" x14ac:dyDescent="0.3">
      <c r="A480" s="7" t="s">
        <v>18</v>
      </c>
      <c r="B480" s="6">
        <v>460</v>
      </c>
      <c r="C480" s="7" t="s">
        <v>1785</v>
      </c>
      <c r="D480" s="7" t="s">
        <v>1927</v>
      </c>
      <c r="E480" s="5"/>
      <c r="F480" s="7" t="s">
        <v>1928</v>
      </c>
      <c r="G480" s="5"/>
      <c r="H480" s="5"/>
      <c r="I480" s="7" t="s">
        <v>1929</v>
      </c>
      <c r="J480" s="7" t="s">
        <v>24</v>
      </c>
      <c r="K480" s="7" t="s">
        <v>1930</v>
      </c>
      <c r="L480" s="3">
        <v>25138264737</v>
      </c>
      <c r="M480" s="5"/>
      <c r="N480" s="3">
        <v>15000000</v>
      </c>
      <c r="O480" s="40"/>
      <c r="P480" s="40"/>
      <c r="Q480" s="3">
        <f t="shared" si="59"/>
        <v>25153264737</v>
      </c>
      <c r="R480" s="3">
        <v>25138264737</v>
      </c>
      <c r="S480" s="7"/>
      <c r="T480" s="30">
        <v>15000000</v>
      </c>
      <c r="U480" s="7"/>
      <c r="V480" s="7"/>
      <c r="W480" s="36"/>
      <c r="X480" s="36">
        <f t="shared" si="60"/>
        <v>0</v>
      </c>
      <c r="Y480" s="36">
        <f t="shared" si="61"/>
        <v>0</v>
      </c>
      <c r="Z480" s="36">
        <f t="shared" si="62"/>
        <v>0</v>
      </c>
      <c r="AA480" s="4"/>
      <c r="AB480" s="79"/>
    </row>
    <row r="481" spans="1:28" ht="31.2" x14ac:dyDescent="0.3">
      <c r="A481" s="7" t="s">
        <v>1601</v>
      </c>
      <c r="B481" s="6">
        <v>461</v>
      </c>
      <c r="C481" s="7" t="s">
        <v>1785</v>
      </c>
      <c r="D481" s="7" t="s">
        <v>1931</v>
      </c>
      <c r="E481" s="5"/>
      <c r="F481" s="7" t="s">
        <v>1932</v>
      </c>
      <c r="G481" s="5"/>
      <c r="H481" s="5"/>
      <c r="I481" s="7" t="s">
        <v>1933</v>
      </c>
      <c r="J481" s="7" t="s">
        <v>24</v>
      </c>
      <c r="K481" s="7" t="s">
        <v>1934</v>
      </c>
      <c r="L481" s="3">
        <v>1315436172</v>
      </c>
      <c r="M481" s="5"/>
      <c r="N481" s="3">
        <v>15000000</v>
      </c>
      <c r="O481" s="40"/>
      <c r="P481" s="40"/>
      <c r="Q481" s="3">
        <f t="shared" si="59"/>
        <v>1330436172</v>
      </c>
      <c r="R481" s="36">
        <v>1315436172</v>
      </c>
      <c r="S481" s="7"/>
      <c r="T481" s="30">
        <v>15000000</v>
      </c>
      <c r="U481" s="7"/>
      <c r="V481" s="7"/>
      <c r="W481" s="36"/>
      <c r="X481" s="36">
        <f t="shared" si="60"/>
        <v>0</v>
      </c>
      <c r="Y481" s="36">
        <f t="shared" si="61"/>
        <v>0</v>
      </c>
      <c r="Z481" s="36">
        <f t="shared" si="62"/>
        <v>0</v>
      </c>
      <c r="AA481" s="4"/>
      <c r="AB481" s="79"/>
    </row>
    <row r="482" spans="1:28" ht="31.2" x14ac:dyDescent="0.3">
      <c r="A482" s="7" t="s">
        <v>46</v>
      </c>
      <c r="B482" s="6">
        <v>462</v>
      </c>
      <c r="C482" s="7" t="s">
        <v>1785</v>
      </c>
      <c r="D482" s="7" t="s">
        <v>1935</v>
      </c>
      <c r="E482" s="5"/>
      <c r="F482" s="7" t="s">
        <v>1936</v>
      </c>
      <c r="G482" s="5"/>
      <c r="H482" s="5"/>
      <c r="I482" s="7" t="s">
        <v>1937</v>
      </c>
      <c r="J482" s="7" t="s">
        <v>24</v>
      </c>
      <c r="K482" s="7" t="s">
        <v>1938</v>
      </c>
      <c r="L482" s="3">
        <v>456882641</v>
      </c>
      <c r="M482" s="5"/>
      <c r="N482" s="3">
        <v>7500000</v>
      </c>
      <c r="O482" s="40"/>
      <c r="P482" s="40"/>
      <c r="Q482" s="3">
        <f t="shared" si="59"/>
        <v>464382641</v>
      </c>
      <c r="R482" s="3">
        <v>456882641</v>
      </c>
      <c r="S482" s="7"/>
      <c r="T482" s="30">
        <v>7500000</v>
      </c>
      <c r="U482" s="7"/>
      <c r="V482" s="7"/>
      <c r="W482" s="36"/>
      <c r="X482" s="36">
        <f t="shared" si="60"/>
        <v>0</v>
      </c>
      <c r="Y482" s="36">
        <f t="shared" si="61"/>
        <v>0</v>
      </c>
      <c r="Z482" s="36">
        <f t="shared" si="62"/>
        <v>0</v>
      </c>
      <c r="AA482" s="4"/>
      <c r="AB482" s="79"/>
    </row>
    <row r="483" spans="1:28" ht="31.2" x14ac:dyDescent="0.3">
      <c r="A483" s="7" t="s">
        <v>62</v>
      </c>
      <c r="B483" s="6">
        <v>463</v>
      </c>
      <c r="C483" s="7" t="s">
        <v>1785</v>
      </c>
      <c r="D483" s="7" t="s">
        <v>1939</v>
      </c>
      <c r="E483" s="5"/>
      <c r="F483" s="7" t="s">
        <v>1940</v>
      </c>
      <c r="G483" s="5"/>
      <c r="H483" s="5"/>
      <c r="I483" s="7" t="s">
        <v>1941</v>
      </c>
      <c r="J483" s="7" t="s">
        <v>24</v>
      </c>
      <c r="K483" s="7" t="s">
        <v>1942</v>
      </c>
      <c r="L483" s="3">
        <v>2133943076</v>
      </c>
      <c r="M483" s="5"/>
      <c r="N483" s="3">
        <v>15000000</v>
      </c>
      <c r="O483" s="40"/>
      <c r="P483" s="40"/>
      <c r="Q483" s="3">
        <f t="shared" si="59"/>
        <v>2148943076</v>
      </c>
      <c r="R483" s="3">
        <v>2133943076</v>
      </c>
      <c r="S483" s="7"/>
      <c r="T483" s="30">
        <v>15000000</v>
      </c>
      <c r="U483" s="7"/>
      <c r="V483" s="7"/>
      <c r="W483" s="36"/>
      <c r="X483" s="36">
        <f t="shared" si="60"/>
        <v>0</v>
      </c>
      <c r="Y483" s="36">
        <f t="shared" si="61"/>
        <v>0</v>
      </c>
      <c r="Z483" s="36">
        <f t="shared" si="62"/>
        <v>0</v>
      </c>
      <c r="AA483" s="4"/>
      <c r="AB483" s="79"/>
    </row>
    <row r="484" spans="1:28" ht="31.2" x14ac:dyDescent="0.3">
      <c r="A484" s="7" t="s">
        <v>53</v>
      </c>
      <c r="B484" s="6">
        <v>464</v>
      </c>
      <c r="C484" s="7" t="s">
        <v>1785</v>
      </c>
      <c r="D484" s="7" t="s">
        <v>1943</v>
      </c>
      <c r="E484" s="5"/>
      <c r="F484" s="7" t="s">
        <v>1944</v>
      </c>
      <c r="G484" s="5"/>
      <c r="H484" s="5"/>
      <c r="I484" s="7" t="s">
        <v>1945</v>
      </c>
      <c r="J484" s="7" t="s">
        <v>24</v>
      </c>
      <c r="K484" s="7" t="s">
        <v>1946</v>
      </c>
      <c r="L484" s="3">
        <v>212669251</v>
      </c>
      <c r="M484" s="5"/>
      <c r="N484" s="3">
        <v>7500000</v>
      </c>
      <c r="O484" s="40"/>
      <c r="P484" s="40"/>
      <c r="Q484" s="3">
        <f t="shared" si="59"/>
        <v>220169251</v>
      </c>
      <c r="R484" s="3">
        <v>212669251</v>
      </c>
      <c r="S484" s="7"/>
      <c r="T484" s="30">
        <v>7500000</v>
      </c>
      <c r="U484" s="7"/>
      <c r="V484" s="7"/>
      <c r="W484" s="36"/>
      <c r="X484" s="36">
        <f t="shared" si="60"/>
        <v>0</v>
      </c>
      <c r="Y484" s="36">
        <f t="shared" si="61"/>
        <v>0</v>
      </c>
      <c r="Z484" s="36">
        <f t="shared" si="62"/>
        <v>0</v>
      </c>
      <c r="AA484" s="4"/>
      <c r="AB484" s="79"/>
    </row>
    <row r="485" spans="1:28" ht="31.2" x14ac:dyDescent="0.3">
      <c r="A485" s="7" t="s">
        <v>62</v>
      </c>
      <c r="B485" s="6">
        <v>465</v>
      </c>
      <c r="C485" s="7" t="s">
        <v>1785</v>
      </c>
      <c r="D485" s="7" t="s">
        <v>1947</v>
      </c>
      <c r="E485" s="5"/>
      <c r="F485" s="7" t="s">
        <v>1948</v>
      </c>
      <c r="G485" s="5"/>
      <c r="H485" s="5"/>
      <c r="I485" s="7" t="s">
        <v>1949</v>
      </c>
      <c r="J485" s="7" t="s">
        <v>24</v>
      </c>
      <c r="K485" s="7" t="s">
        <v>1950</v>
      </c>
      <c r="L485" s="3">
        <v>1529398466</v>
      </c>
      <c r="M485" s="5"/>
      <c r="N485" s="3">
        <v>7500000</v>
      </c>
      <c r="O485" s="40"/>
      <c r="P485" s="40"/>
      <c r="Q485" s="3">
        <f t="shared" si="59"/>
        <v>1536898466</v>
      </c>
      <c r="R485" s="3">
        <v>1529398466</v>
      </c>
      <c r="S485" s="7"/>
      <c r="T485" s="30">
        <v>7500000</v>
      </c>
      <c r="U485" s="7"/>
      <c r="V485" s="7"/>
      <c r="W485" s="36"/>
      <c r="X485" s="36">
        <f t="shared" si="60"/>
        <v>0</v>
      </c>
      <c r="Y485" s="36">
        <f t="shared" si="61"/>
        <v>0</v>
      </c>
      <c r="Z485" s="36">
        <f t="shared" si="62"/>
        <v>0</v>
      </c>
      <c r="AA485" s="4"/>
      <c r="AB485" s="79"/>
    </row>
    <row r="486" spans="1:28" ht="31.2" x14ac:dyDescent="0.3">
      <c r="A486" s="7" t="s">
        <v>53</v>
      </c>
      <c r="B486" s="6">
        <v>466</v>
      </c>
      <c r="C486" s="7" t="s">
        <v>1785</v>
      </c>
      <c r="D486" s="7" t="s">
        <v>1951</v>
      </c>
      <c r="E486" s="5"/>
      <c r="F486" s="7" t="s">
        <v>1952</v>
      </c>
      <c r="G486" s="5"/>
      <c r="H486" s="5"/>
      <c r="I486" s="7" t="s">
        <v>1953</v>
      </c>
      <c r="J486" s="7" t="s">
        <v>24</v>
      </c>
      <c r="K486" s="7" t="s">
        <v>1954</v>
      </c>
      <c r="L486" s="3">
        <v>9079262352</v>
      </c>
      <c r="M486" s="5"/>
      <c r="N486" s="3">
        <v>15000000</v>
      </c>
      <c r="O486" s="40"/>
      <c r="P486" s="40"/>
      <c r="Q486" s="3">
        <f t="shared" si="59"/>
        <v>9094262352</v>
      </c>
      <c r="R486" s="3">
        <v>9079262352</v>
      </c>
      <c r="S486" s="7"/>
      <c r="T486" s="30">
        <v>15000000</v>
      </c>
      <c r="U486" s="7"/>
      <c r="V486" s="7"/>
      <c r="W486" s="36"/>
      <c r="X486" s="36">
        <f t="shared" si="60"/>
        <v>0</v>
      </c>
      <c r="Y486" s="36">
        <f t="shared" si="61"/>
        <v>0</v>
      </c>
      <c r="Z486" s="36">
        <f t="shared" si="62"/>
        <v>0</v>
      </c>
      <c r="AA486" s="4"/>
      <c r="AB486" s="79"/>
    </row>
    <row r="487" spans="1:28" ht="31.2" x14ac:dyDescent="0.3">
      <c r="A487" s="7" t="s">
        <v>62</v>
      </c>
      <c r="B487" s="6">
        <v>467</v>
      </c>
      <c r="C487" s="7" t="s">
        <v>1785</v>
      </c>
      <c r="D487" s="7" t="s">
        <v>1955</v>
      </c>
      <c r="E487" s="5"/>
      <c r="F487" s="7" t="s">
        <v>1956</v>
      </c>
      <c r="G487" s="5"/>
      <c r="H487" s="5"/>
      <c r="I487" s="7" t="s">
        <v>1957</v>
      </c>
      <c r="J487" s="7" t="s">
        <v>24</v>
      </c>
      <c r="K487" s="7" t="s">
        <v>1958</v>
      </c>
      <c r="L487" s="3">
        <v>693114964</v>
      </c>
      <c r="M487" s="5"/>
      <c r="N487" s="3">
        <v>15000000</v>
      </c>
      <c r="O487" s="40"/>
      <c r="P487" s="40"/>
      <c r="Q487" s="3">
        <f t="shared" si="59"/>
        <v>708114964</v>
      </c>
      <c r="R487" s="3">
        <v>693114964</v>
      </c>
      <c r="S487" s="7"/>
      <c r="T487" s="30">
        <v>15000000</v>
      </c>
      <c r="U487" s="7"/>
      <c r="V487" s="7"/>
      <c r="W487" s="36"/>
      <c r="X487" s="36">
        <f t="shared" si="60"/>
        <v>0</v>
      </c>
      <c r="Y487" s="36">
        <f t="shared" si="61"/>
        <v>0</v>
      </c>
      <c r="Z487" s="36">
        <f t="shared" si="62"/>
        <v>0</v>
      </c>
      <c r="AA487" s="4"/>
      <c r="AB487" s="79"/>
    </row>
    <row r="488" spans="1:28" ht="31.2" x14ac:dyDescent="0.3">
      <c r="A488" s="7" t="s">
        <v>1601</v>
      </c>
      <c r="B488" s="6">
        <v>468</v>
      </c>
      <c r="C488" s="7" t="s">
        <v>1785</v>
      </c>
      <c r="D488" s="7" t="s">
        <v>1959</v>
      </c>
      <c r="E488" s="5"/>
      <c r="F488" s="7" t="s">
        <v>1960</v>
      </c>
      <c r="G488" s="5"/>
      <c r="H488" s="5"/>
      <c r="I488" s="7" t="s">
        <v>1961</v>
      </c>
      <c r="J488" s="7" t="s">
        <v>24</v>
      </c>
      <c r="K488" s="7" t="s">
        <v>1962</v>
      </c>
      <c r="L488" s="3">
        <v>37588800</v>
      </c>
      <c r="M488" s="5"/>
      <c r="N488" s="3">
        <v>7500000</v>
      </c>
      <c r="O488" s="40"/>
      <c r="P488" s="40"/>
      <c r="Q488" s="3">
        <f t="shared" si="59"/>
        <v>45088800</v>
      </c>
      <c r="R488" s="36">
        <v>37588800</v>
      </c>
      <c r="S488" s="7"/>
      <c r="T488" s="30">
        <v>7500000</v>
      </c>
      <c r="U488" s="7"/>
      <c r="V488" s="7"/>
      <c r="W488" s="36"/>
      <c r="X488" s="36">
        <f t="shared" si="60"/>
        <v>0</v>
      </c>
      <c r="Y488" s="36">
        <f t="shared" si="61"/>
        <v>0</v>
      </c>
      <c r="Z488" s="36">
        <f t="shared" si="62"/>
        <v>0</v>
      </c>
      <c r="AA488" s="4"/>
      <c r="AB488" s="79"/>
    </row>
    <row r="489" spans="1:28" ht="31.2" x14ac:dyDescent="0.3">
      <c r="A489" s="7" t="s">
        <v>46</v>
      </c>
      <c r="B489" s="6">
        <v>469</v>
      </c>
      <c r="C489" s="7" t="s">
        <v>1785</v>
      </c>
      <c r="D489" s="7" t="s">
        <v>1963</v>
      </c>
      <c r="E489" s="7" t="s">
        <v>1964</v>
      </c>
      <c r="F489" s="7" t="s">
        <v>1965</v>
      </c>
      <c r="G489" s="5"/>
      <c r="H489" s="5"/>
      <c r="I489" s="7" t="s">
        <v>1966</v>
      </c>
      <c r="J489" s="7" t="s">
        <v>24</v>
      </c>
      <c r="K489" s="7" t="s">
        <v>1967</v>
      </c>
      <c r="L489" s="3">
        <v>7705087400</v>
      </c>
      <c r="M489" s="3">
        <v>1014623280</v>
      </c>
      <c r="N489" s="3">
        <v>15000000</v>
      </c>
      <c r="O489" s="40"/>
      <c r="P489" s="40"/>
      <c r="Q489" s="3">
        <f t="shared" si="59"/>
        <v>8734710680</v>
      </c>
      <c r="R489" s="3">
        <v>7705087400</v>
      </c>
      <c r="S489" s="3">
        <v>1014623280</v>
      </c>
      <c r="T489" s="30">
        <v>15000000</v>
      </c>
      <c r="U489" s="7"/>
      <c r="V489" s="7"/>
      <c r="W489" s="36"/>
      <c r="X489" s="36">
        <f t="shared" si="60"/>
        <v>0</v>
      </c>
      <c r="Y489" s="36">
        <f t="shared" si="61"/>
        <v>0</v>
      </c>
      <c r="Z489" s="36">
        <f t="shared" si="62"/>
        <v>0</v>
      </c>
      <c r="AA489" s="4"/>
      <c r="AB489" s="79"/>
    </row>
    <row r="490" spans="1:28" ht="31.2" x14ac:dyDescent="0.3">
      <c r="A490" s="7" t="s">
        <v>62</v>
      </c>
      <c r="B490" s="6">
        <v>470</v>
      </c>
      <c r="C490" s="7" t="s">
        <v>1785</v>
      </c>
      <c r="D490" s="7" t="s">
        <v>1968</v>
      </c>
      <c r="E490" s="7" t="s">
        <v>1969</v>
      </c>
      <c r="F490" s="7" t="s">
        <v>1970</v>
      </c>
      <c r="G490" s="7" t="s">
        <v>1971</v>
      </c>
      <c r="H490" s="5"/>
      <c r="I490" s="7" t="s">
        <v>1972</v>
      </c>
      <c r="J490" s="7" t="s">
        <v>24</v>
      </c>
      <c r="K490" s="7" t="s">
        <v>1973</v>
      </c>
      <c r="L490" s="3">
        <v>2275010156</v>
      </c>
      <c r="M490" s="3">
        <v>937174816</v>
      </c>
      <c r="N490" s="3">
        <v>7500000</v>
      </c>
      <c r="O490" s="40"/>
      <c r="P490" s="40"/>
      <c r="Q490" s="3">
        <f t="shared" si="59"/>
        <v>3219684972</v>
      </c>
      <c r="R490" s="3">
        <v>2275010156</v>
      </c>
      <c r="S490" s="3">
        <v>937174816</v>
      </c>
      <c r="T490" s="30">
        <v>7500000</v>
      </c>
      <c r="U490" s="7"/>
      <c r="V490" s="7"/>
      <c r="W490" s="36"/>
      <c r="X490" s="36">
        <f t="shared" si="60"/>
        <v>0</v>
      </c>
      <c r="Y490" s="36">
        <f t="shared" si="61"/>
        <v>0</v>
      </c>
      <c r="Z490" s="36">
        <f t="shared" si="62"/>
        <v>0</v>
      </c>
      <c r="AA490" s="4"/>
      <c r="AB490" s="79"/>
    </row>
    <row r="491" spans="1:28" ht="31.2" x14ac:dyDescent="0.3">
      <c r="A491" s="7" t="s">
        <v>62</v>
      </c>
      <c r="B491" s="6">
        <v>471</v>
      </c>
      <c r="C491" s="7" t="s">
        <v>1785</v>
      </c>
      <c r="D491" s="7" t="s">
        <v>1974</v>
      </c>
      <c r="E491" s="5"/>
      <c r="F491" s="7" t="s">
        <v>1975</v>
      </c>
      <c r="G491" s="5"/>
      <c r="H491" s="5"/>
      <c r="I491" s="7" t="s">
        <v>1976</v>
      </c>
      <c r="J491" s="7" t="s">
        <v>24</v>
      </c>
      <c r="K491" s="7" t="s">
        <v>1977</v>
      </c>
      <c r="L491" s="3">
        <v>2904186194</v>
      </c>
      <c r="M491" s="5"/>
      <c r="N491" s="3">
        <v>7500000</v>
      </c>
      <c r="O491" s="40"/>
      <c r="P491" s="40"/>
      <c r="Q491" s="3">
        <f t="shared" si="59"/>
        <v>2911686194</v>
      </c>
      <c r="R491" s="3">
        <v>2904186194</v>
      </c>
      <c r="S491" s="7"/>
      <c r="T491" s="30">
        <v>7500000</v>
      </c>
      <c r="U491" s="7"/>
      <c r="V491" s="7"/>
      <c r="W491" s="36"/>
      <c r="X491" s="36">
        <f t="shared" si="60"/>
        <v>0</v>
      </c>
      <c r="Y491" s="36">
        <f t="shared" si="61"/>
        <v>0</v>
      </c>
      <c r="Z491" s="36">
        <f t="shared" si="62"/>
        <v>0</v>
      </c>
      <c r="AA491" s="4"/>
      <c r="AB491" s="79"/>
    </row>
    <row r="492" spans="1:28" ht="31.2" x14ac:dyDescent="0.3">
      <c r="A492" s="7" t="s">
        <v>62</v>
      </c>
      <c r="B492" s="6">
        <v>472</v>
      </c>
      <c r="C492" s="7" t="s">
        <v>1785</v>
      </c>
      <c r="D492" s="7" t="s">
        <v>1978</v>
      </c>
      <c r="E492" s="5"/>
      <c r="F492" s="7" t="s">
        <v>1979</v>
      </c>
      <c r="G492" s="5"/>
      <c r="H492" s="5"/>
      <c r="I492" s="7" t="s">
        <v>1980</v>
      </c>
      <c r="J492" s="7" t="s">
        <v>24</v>
      </c>
      <c r="K492" s="7" t="s">
        <v>1981</v>
      </c>
      <c r="L492" s="3">
        <v>562558528</v>
      </c>
      <c r="M492" s="5"/>
      <c r="N492" s="3">
        <v>15000000</v>
      </c>
      <c r="O492" s="40"/>
      <c r="P492" s="40"/>
      <c r="Q492" s="3">
        <f t="shared" si="59"/>
        <v>577558528</v>
      </c>
      <c r="R492" s="3">
        <v>562558528</v>
      </c>
      <c r="S492" s="7"/>
      <c r="T492" s="30">
        <v>15000000</v>
      </c>
      <c r="U492" s="7"/>
      <c r="V492" s="7"/>
      <c r="W492" s="36"/>
      <c r="X492" s="36">
        <f t="shared" si="60"/>
        <v>0</v>
      </c>
      <c r="Y492" s="36">
        <f t="shared" si="61"/>
        <v>0</v>
      </c>
      <c r="Z492" s="36">
        <f t="shared" si="62"/>
        <v>0</v>
      </c>
      <c r="AA492" s="4"/>
      <c r="AB492" s="79"/>
    </row>
    <row r="493" spans="1:28" ht="31.2" x14ac:dyDescent="0.3">
      <c r="A493" s="7" t="s">
        <v>18</v>
      </c>
      <c r="B493" s="6">
        <v>473</v>
      </c>
      <c r="C493" s="7" t="s">
        <v>1785</v>
      </c>
      <c r="D493" s="7" t="s">
        <v>1982</v>
      </c>
      <c r="E493" s="7" t="s">
        <v>1983</v>
      </c>
      <c r="F493" s="7" t="s">
        <v>1984</v>
      </c>
      <c r="G493" s="7" t="s">
        <v>1985</v>
      </c>
      <c r="H493" s="5"/>
      <c r="I493" s="7" t="s">
        <v>1986</v>
      </c>
      <c r="J493" s="7" t="s">
        <v>24</v>
      </c>
      <c r="K493" s="7" t="s">
        <v>1987</v>
      </c>
      <c r="L493" s="3">
        <v>7291876999</v>
      </c>
      <c r="M493" s="3">
        <v>7483383371</v>
      </c>
      <c r="N493" s="3">
        <v>7500000</v>
      </c>
      <c r="O493" s="40"/>
      <c r="P493" s="40"/>
      <c r="Q493" s="3">
        <f t="shared" si="59"/>
        <v>14782760370</v>
      </c>
      <c r="R493" s="3">
        <v>7291876999</v>
      </c>
      <c r="S493" s="3">
        <v>7483383371</v>
      </c>
      <c r="T493" s="30">
        <v>7500000</v>
      </c>
      <c r="U493" s="7"/>
      <c r="V493" s="7"/>
      <c r="W493" s="36"/>
      <c r="X493" s="36">
        <f t="shared" si="60"/>
        <v>0</v>
      </c>
      <c r="Y493" s="36">
        <f t="shared" si="61"/>
        <v>0</v>
      </c>
      <c r="Z493" s="36">
        <f t="shared" si="62"/>
        <v>0</v>
      </c>
      <c r="AA493" s="4"/>
      <c r="AB493" s="79"/>
    </row>
    <row r="494" spans="1:28" ht="31.2" x14ac:dyDescent="0.3">
      <c r="A494" s="7" t="s">
        <v>18</v>
      </c>
      <c r="B494" s="6">
        <v>474</v>
      </c>
      <c r="C494" s="7" t="s">
        <v>1785</v>
      </c>
      <c r="D494" s="7" t="s">
        <v>1988</v>
      </c>
      <c r="E494" s="5"/>
      <c r="F494" s="7" t="s">
        <v>1989</v>
      </c>
      <c r="G494" s="5"/>
      <c r="H494" s="5"/>
      <c r="I494" s="7" t="s">
        <v>1990</v>
      </c>
      <c r="J494" s="7" t="s">
        <v>24</v>
      </c>
      <c r="K494" s="7" t="s">
        <v>1631</v>
      </c>
      <c r="L494" s="3">
        <v>919227558</v>
      </c>
      <c r="M494" s="5"/>
      <c r="N494" s="3">
        <v>15000000</v>
      </c>
      <c r="O494" s="40"/>
      <c r="P494" s="40"/>
      <c r="Q494" s="3">
        <f t="shared" si="59"/>
        <v>934227558</v>
      </c>
      <c r="R494" s="3">
        <v>919227558</v>
      </c>
      <c r="S494" s="7"/>
      <c r="T494" s="30">
        <v>15000000</v>
      </c>
      <c r="U494" s="7"/>
      <c r="V494" s="7"/>
      <c r="W494" s="36"/>
      <c r="X494" s="36">
        <f t="shared" si="60"/>
        <v>0</v>
      </c>
      <c r="Y494" s="36">
        <f t="shared" si="61"/>
        <v>0</v>
      </c>
      <c r="Z494" s="36">
        <f t="shared" si="62"/>
        <v>0</v>
      </c>
      <c r="AA494" s="4"/>
      <c r="AB494" s="79"/>
    </row>
    <row r="495" spans="1:28" ht="31.2" x14ac:dyDescent="0.3">
      <c r="A495" s="7" t="s">
        <v>1601</v>
      </c>
      <c r="B495" s="6">
        <v>475</v>
      </c>
      <c r="C495" s="7" t="s">
        <v>1785</v>
      </c>
      <c r="D495" s="7" t="s">
        <v>1991</v>
      </c>
      <c r="E495" s="5"/>
      <c r="F495" s="7" t="s">
        <v>1992</v>
      </c>
      <c r="G495" s="5"/>
      <c r="H495" s="5"/>
      <c r="I495" s="7" t="s">
        <v>1993</v>
      </c>
      <c r="J495" s="7" t="s">
        <v>24</v>
      </c>
      <c r="K495" s="7" t="s">
        <v>1994</v>
      </c>
      <c r="L495" s="3">
        <v>8961548836</v>
      </c>
      <c r="M495" s="5"/>
      <c r="N495" s="3">
        <v>7500000</v>
      </c>
      <c r="O495" s="40"/>
      <c r="P495" s="40"/>
      <c r="Q495" s="3">
        <f t="shared" si="59"/>
        <v>8969048836</v>
      </c>
      <c r="R495" s="3">
        <v>8961548836</v>
      </c>
      <c r="S495" s="7"/>
      <c r="T495" s="30">
        <v>7500000</v>
      </c>
      <c r="U495" s="7"/>
      <c r="V495" s="7"/>
      <c r="W495" s="36"/>
      <c r="X495" s="36">
        <f t="shared" si="60"/>
        <v>0</v>
      </c>
      <c r="Y495" s="36">
        <f t="shared" si="61"/>
        <v>0</v>
      </c>
      <c r="Z495" s="36">
        <f t="shared" si="62"/>
        <v>0</v>
      </c>
      <c r="AA495" s="4"/>
      <c r="AB495" s="79"/>
    </row>
    <row r="496" spans="1:28" ht="46.8" x14ac:dyDescent="0.3">
      <c r="A496" s="7" t="s">
        <v>53</v>
      </c>
      <c r="B496" s="6">
        <v>476</v>
      </c>
      <c r="C496" s="7" t="s">
        <v>1785</v>
      </c>
      <c r="D496" s="7" t="s">
        <v>1995</v>
      </c>
      <c r="E496" s="5"/>
      <c r="F496" s="7" t="s">
        <v>1996</v>
      </c>
      <c r="G496" s="5"/>
      <c r="H496" s="5"/>
      <c r="I496" s="7" t="s">
        <v>1997</v>
      </c>
      <c r="J496" s="7" t="s">
        <v>24</v>
      </c>
      <c r="K496" s="7" t="s">
        <v>1998</v>
      </c>
      <c r="L496" s="3">
        <v>20421915934</v>
      </c>
      <c r="M496" s="5"/>
      <c r="N496" s="3">
        <v>15000000</v>
      </c>
      <c r="O496" s="7" t="s">
        <v>182</v>
      </c>
      <c r="P496" s="3">
        <v>48000000</v>
      </c>
      <c r="Q496" s="3">
        <f t="shared" si="59"/>
        <v>20484915934</v>
      </c>
      <c r="R496" s="3">
        <v>20421915934</v>
      </c>
      <c r="S496" s="7"/>
      <c r="T496" s="72"/>
      <c r="U496" s="7"/>
      <c r="V496" s="7"/>
      <c r="W496" s="36"/>
      <c r="X496" s="36">
        <f t="shared" si="60"/>
        <v>0</v>
      </c>
      <c r="Y496" s="36">
        <f t="shared" si="61"/>
        <v>15000000</v>
      </c>
      <c r="Z496" s="36">
        <f t="shared" si="62"/>
        <v>48000000</v>
      </c>
      <c r="AA496" s="4"/>
      <c r="AB496" s="83" t="s">
        <v>3845</v>
      </c>
    </row>
    <row r="497" spans="1:28" ht="31.2" x14ac:dyDescent="0.3">
      <c r="A497" s="7" t="s">
        <v>1601</v>
      </c>
      <c r="B497" s="6">
        <v>477</v>
      </c>
      <c r="C497" s="7" t="s">
        <v>1785</v>
      </c>
      <c r="D497" s="7" t="s">
        <v>1999</v>
      </c>
      <c r="E497" s="5"/>
      <c r="F497" s="7" t="s">
        <v>2000</v>
      </c>
      <c r="G497" s="5"/>
      <c r="H497" s="5"/>
      <c r="I497" s="7" t="s">
        <v>2001</v>
      </c>
      <c r="J497" s="7" t="s">
        <v>24</v>
      </c>
      <c r="K497" s="7" t="s">
        <v>2002</v>
      </c>
      <c r="L497" s="3">
        <v>4075525074</v>
      </c>
      <c r="M497" s="5"/>
      <c r="N497" s="3">
        <v>15000000</v>
      </c>
      <c r="O497" s="40"/>
      <c r="P497" s="40"/>
      <c r="Q497" s="3">
        <f t="shared" si="59"/>
        <v>4090525074</v>
      </c>
      <c r="R497" s="36">
        <v>4075525074</v>
      </c>
      <c r="S497" s="7"/>
      <c r="T497" s="30">
        <v>15000000</v>
      </c>
      <c r="U497" s="7"/>
      <c r="V497" s="7"/>
      <c r="W497" s="36"/>
      <c r="X497" s="36">
        <f t="shared" si="60"/>
        <v>0</v>
      </c>
      <c r="Y497" s="36">
        <f t="shared" si="61"/>
        <v>0</v>
      </c>
      <c r="Z497" s="36">
        <f t="shared" si="62"/>
        <v>0</v>
      </c>
      <c r="AA497" s="4"/>
      <c r="AB497" s="79"/>
    </row>
    <row r="498" spans="1:28" ht="31.2" x14ac:dyDescent="0.3">
      <c r="A498" s="7" t="s">
        <v>46</v>
      </c>
      <c r="B498" s="6">
        <v>478</v>
      </c>
      <c r="C498" s="7" t="s">
        <v>1785</v>
      </c>
      <c r="D498" s="7" t="s">
        <v>2003</v>
      </c>
      <c r="E498" s="5"/>
      <c r="F498" s="7" t="s">
        <v>2004</v>
      </c>
      <c r="G498" s="5"/>
      <c r="H498" s="5"/>
      <c r="I498" s="7" t="s">
        <v>2005</v>
      </c>
      <c r="J498" s="7" t="s">
        <v>24</v>
      </c>
      <c r="K498" s="7" t="s">
        <v>1977</v>
      </c>
      <c r="L498" s="3">
        <v>2187891160</v>
      </c>
      <c r="M498" s="5"/>
      <c r="N498" s="3">
        <v>7500000</v>
      </c>
      <c r="O498" s="40"/>
      <c r="P498" s="40"/>
      <c r="Q498" s="3">
        <f t="shared" si="59"/>
        <v>2195391160</v>
      </c>
      <c r="R498" s="3">
        <v>2187891160</v>
      </c>
      <c r="S498" s="7"/>
      <c r="T498" s="30">
        <v>7500000</v>
      </c>
      <c r="U498" s="7"/>
      <c r="V498" s="7"/>
      <c r="W498" s="36"/>
      <c r="X498" s="36">
        <f t="shared" si="60"/>
        <v>0</v>
      </c>
      <c r="Y498" s="36">
        <f t="shared" si="61"/>
        <v>0</v>
      </c>
      <c r="Z498" s="36">
        <f t="shared" si="62"/>
        <v>0</v>
      </c>
      <c r="AA498" s="4"/>
      <c r="AB498" s="79"/>
    </row>
    <row r="499" spans="1:28" ht="31.2" x14ac:dyDescent="0.3">
      <c r="A499" s="7" t="s">
        <v>62</v>
      </c>
      <c r="B499" s="6">
        <v>479</v>
      </c>
      <c r="C499" s="7" t="s">
        <v>1785</v>
      </c>
      <c r="D499" s="7" t="s">
        <v>2006</v>
      </c>
      <c r="E499" s="5"/>
      <c r="F499" s="7" t="s">
        <v>2007</v>
      </c>
      <c r="G499" s="5"/>
      <c r="H499" s="5"/>
      <c r="I499" s="7" t="s">
        <v>2008</v>
      </c>
      <c r="J499" s="7" t="s">
        <v>24</v>
      </c>
      <c r="K499" s="7" t="s">
        <v>2009</v>
      </c>
      <c r="L499" s="3">
        <v>68947648</v>
      </c>
      <c r="M499" s="5"/>
      <c r="N499" s="3">
        <v>7500000</v>
      </c>
      <c r="O499" s="40"/>
      <c r="P499" s="40"/>
      <c r="Q499" s="3">
        <f t="shared" si="59"/>
        <v>76447648</v>
      </c>
      <c r="R499" s="7"/>
      <c r="S499" s="7"/>
      <c r="T499" s="72"/>
      <c r="U499" s="7"/>
      <c r="V499" s="7"/>
      <c r="W499" s="36">
        <v>68947648</v>
      </c>
      <c r="X499" s="36">
        <f t="shared" si="60"/>
        <v>0</v>
      </c>
      <c r="Y499" s="36">
        <f t="shared" si="61"/>
        <v>7500000</v>
      </c>
      <c r="Z499" s="36">
        <f t="shared" si="62"/>
        <v>0</v>
      </c>
      <c r="AA499" s="10">
        <v>68947648</v>
      </c>
      <c r="AB499" s="79"/>
    </row>
    <row r="500" spans="1:28" ht="31.2" x14ac:dyDescent="0.3">
      <c r="A500" s="7" t="s">
        <v>18</v>
      </c>
      <c r="B500" s="6">
        <v>480</v>
      </c>
      <c r="C500" s="7" t="s">
        <v>1785</v>
      </c>
      <c r="D500" s="7" t="s">
        <v>2010</v>
      </c>
      <c r="E500" s="5"/>
      <c r="F500" s="7" t="s">
        <v>2011</v>
      </c>
      <c r="G500" s="5"/>
      <c r="H500" s="5"/>
      <c r="I500" s="7" t="s">
        <v>2012</v>
      </c>
      <c r="J500" s="7" t="s">
        <v>24</v>
      </c>
      <c r="K500" s="7" t="s">
        <v>2013</v>
      </c>
      <c r="L500" s="3">
        <v>1308108292</v>
      </c>
      <c r="M500" s="5"/>
      <c r="N500" s="3">
        <v>7500000</v>
      </c>
      <c r="O500" s="40"/>
      <c r="P500" s="40"/>
      <c r="Q500" s="3">
        <f t="shared" ref="Q500:Q531" si="63">L500+M500+N500+P500</f>
        <v>1315608292</v>
      </c>
      <c r="R500" s="3">
        <v>1308108292</v>
      </c>
      <c r="S500" s="7"/>
      <c r="T500" s="30">
        <v>7500000</v>
      </c>
      <c r="U500" s="7"/>
      <c r="V500" s="7"/>
      <c r="W500" s="36"/>
      <c r="X500" s="36">
        <f t="shared" ref="X500:X531" si="64">M500-S500</f>
        <v>0</v>
      </c>
      <c r="Y500" s="36">
        <f t="shared" ref="Y500:Y531" si="65">N500-T500</f>
        <v>0</v>
      </c>
      <c r="Z500" s="36">
        <f t="shared" si="62"/>
        <v>0</v>
      </c>
      <c r="AA500" s="4"/>
      <c r="AB500" s="79"/>
    </row>
    <row r="501" spans="1:28" ht="62.4" x14ac:dyDescent="0.3">
      <c r="A501" s="7" t="s">
        <v>53</v>
      </c>
      <c r="B501" s="6">
        <v>481</v>
      </c>
      <c r="C501" s="7" t="s">
        <v>1785</v>
      </c>
      <c r="D501" s="7" t="s">
        <v>2014</v>
      </c>
      <c r="E501" s="7" t="s">
        <v>2015</v>
      </c>
      <c r="F501" s="7" t="s">
        <v>2016</v>
      </c>
      <c r="G501" s="7" t="s">
        <v>2017</v>
      </c>
      <c r="H501" s="5"/>
      <c r="I501" s="7" t="s">
        <v>2018</v>
      </c>
      <c r="J501" s="7" t="s">
        <v>24</v>
      </c>
      <c r="K501" s="7" t="s">
        <v>2019</v>
      </c>
      <c r="L501" s="3">
        <v>2157190380</v>
      </c>
      <c r="M501" s="3">
        <v>64769833</v>
      </c>
      <c r="N501" s="3">
        <v>15000000</v>
      </c>
      <c r="O501" s="40"/>
      <c r="P501" s="40"/>
      <c r="Q501" s="3">
        <f t="shared" si="63"/>
        <v>2236960213</v>
      </c>
      <c r="R501" s="3">
        <v>2157190380</v>
      </c>
      <c r="S501" s="3">
        <v>64769833</v>
      </c>
      <c r="T501" s="30">
        <v>15000000</v>
      </c>
      <c r="U501" s="7"/>
      <c r="V501" s="7"/>
      <c r="W501" s="36"/>
      <c r="X501" s="36">
        <f t="shared" si="64"/>
        <v>0</v>
      </c>
      <c r="Y501" s="36">
        <f t="shared" si="65"/>
        <v>0</v>
      </c>
      <c r="Z501" s="36">
        <f t="shared" si="62"/>
        <v>0</v>
      </c>
      <c r="AA501" s="4"/>
      <c r="AB501" s="79"/>
    </row>
    <row r="502" spans="1:28" ht="31.2" x14ac:dyDescent="0.3">
      <c r="A502" s="7" t="s">
        <v>53</v>
      </c>
      <c r="B502" s="6">
        <v>482</v>
      </c>
      <c r="C502" s="7" t="s">
        <v>2020</v>
      </c>
      <c r="D502" s="7" t="s">
        <v>2021</v>
      </c>
      <c r="E502" s="7" t="s">
        <v>2022</v>
      </c>
      <c r="F502" s="7" t="s">
        <v>2023</v>
      </c>
      <c r="G502" s="7" t="s">
        <v>2024</v>
      </c>
      <c r="H502" s="5"/>
      <c r="I502" s="7" t="s">
        <v>2025</v>
      </c>
      <c r="J502" s="7" t="s">
        <v>24</v>
      </c>
      <c r="K502" s="7" t="s">
        <v>2026</v>
      </c>
      <c r="L502" s="3">
        <v>1694829034</v>
      </c>
      <c r="M502" s="3">
        <v>89809650</v>
      </c>
      <c r="N502" s="3">
        <v>15000000</v>
      </c>
      <c r="O502" s="40"/>
      <c r="P502" s="40"/>
      <c r="Q502" s="3">
        <f t="shared" si="63"/>
        <v>1799638684</v>
      </c>
      <c r="R502" s="3">
        <v>1694829034</v>
      </c>
      <c r="S502" s="3">
        <v>89809650</v>
      </c>
      <c r="T502" s="30">
        <v>15000000</v>
      </c>
      <c r="U502" s="7"/>
      <c r="V502" s="7"/>
      <c r="W502" s="36"/>
      <c r="X502" s="36">
        <f t="shared" si="64"/>
        <v>0</v>
      </c>
      <c r="Y502" s="36">
        <f t="shared" si="65"/>
        <v>0</v>
      </c>
      <c r="Z502" s="36">
        <f t="shared" si="62"/>
        <v>0</v>
      </c>
      <c r="AA502" s="4"/>
      <c r="AB502" s="79"/>
    </row>
    <row r="503" spans="1:28" ht="62.4" x14ac:dyDescent="0.3">
      <c r="A503" s="7" t="s">
        <v>46</v>
      </c>
      <c r="B503" s="6">
        <v>483</v>
      </c>
      <c r="C503" s="7" t="s">
        <v>2020</v>
      </c>
      <c r="D503" s="7" t="s">
        <v>2027</v>
      </c>
      <c r="E503" s="7" t="s">
        <v>2029</v>
      </c>
      <c r="F503" s="7" t="s">
        <v>2030</v>
      </c>
      <c r="G503" s="7" t="s">
        <v>2031</v>
      </c>
      <c r="H503" s="5"/>
      <c r="I503" s="7" t="s">
        <v>2032</v>
      </c>
      <c r="J503" s="7" t="s">
        <v>24</v>
      </c>
      <c r="K503" s="7" t="s">
        <v>2033</v>
      </c>
      <c r="L503" s="3">
        <v>2978570608</v>
      </c>
      <c r="M503" s="3">
        <v>191495014</v>
      </c>
      <c r="N503" s="3">
        <v>15000000</v>
      </c>
      <c r="O503" s="40" t="s">
        <v>2028</v>
      </c>
      <c r="P503" s="10">
        <v>144000000</v>
      </c>
      <c r="Q503" s="3">
        <f t="shared" si="63"/>
        <v>3329065622</v>
      </c>
      <c r="R503" s="3">
        <v>2978570608</v>
      </c>
      <c r="S503" s="3">
        <v>191495014</v>
      </c>
      <c r="T503" s="30">
        <v>15000000</v>
      </c>
      <c r="U503" s="3">
        <v>48000000</v>
      </c>
      <c r="V503" s="7"/>
      <c r="W503" s="36"/>
      <c r="X503" s="36">
        <f t="shared" si="64"/>
        <v>0</v>
      </c>
      <c r="Y503" s="36">
        <f t="shared" si="65"/>
        <v>0</v>
      </c>
      <c r="Z503" s="36">
        <f t="shared" si="62"/>
        <v>96000000</v>
      </c>
      <c r="AA503" s="4"/>
      <c r="AB503" s="80" t="s">
        <v>3827</v>
      </c>
    </row>
    <row r="504" spans="1:28" ht="46.8" x14ac:dyDescent="0.3">
      <c r="A504" s="7" t="s">
        <v>46</v>
      </c>
      <c r="B504" s="6">
        <v>484</v>
      </c>
      <c r="C504" s="7" t="s">
        <v>2020</v>
      </c>
      <c r="D504" s="7" t="s">
        <v>2034</v>
      </c>
      <c r="E504" s="7" t="s">
        <v>2035</v>
      </c>
      <c r="F504" s="7" t="s">
        <v>2036</v>
      </c>
      <c r="G504" s="7" t="s">
        <v>2037</v>
      </c>
      <c r="H504" s="42" t="s">
        <v>2038</v>
      </c>
      <c r="I504" s="7" t="s">
        <v>2039</v>
      </c>
      <c r="J504" s="7" t="s">
        <v>24</v>
      </c>
      <c r="K504" s="7" t="s">
        <v>2040</v>
      </c>
      <c r="L504" s="6">
        <v>0</v>
      </c>
      <c r="M504" s="3">
        <v>8678312412</v>
      </c>
      <c r="N504" s="3">
        <v>7500000</v>
      </c>
      <c r="O504" s="40"/>
      <c r="P504" s="40"/>
      <c r="Q504" s="3">
        <f t="shared" si="63"/>
        <v>8685812412</v>
      </c>
      <c r="R504" s="6">
        <v>0</v>
      </c>
      <c r="S504" s="7"/>
      <c r="T504" s="72"/>
      <c r="U504" s="7"/>
      <c r="V504" s="7"/>
      <c r="W504" s="36"/>
      <c r="X504" s="36">
        <f t="shared" si="64"/>
        <v>8678312412</v>
      </c>
      <c r="Y504" s="36">
        <f t="shared" si="65"/>
        <v>7500000</v>
      </c>
      <c r="Z504" s="36">
        <f t="shared" si="62"/>
        <v>0</v>
      </c>
      <c r="AA504" s="4"/>
      <c r="AB504" s="79"/>
    </row>
    <row r="505" spans="1:28" ht="31.2" x14ac:dyDescent="0.3">
      <c r="A505" s="7" t="s">
        <v>1601</v>
      </c>
      <c r="B505" s="6">
        <v>485</v>
      </c>
      <c r="C505" s="7" t="s">
        <v>2020</v>
      </c>
      <c r="D505" s="7" t="s">
        <v>2041</v>
      </c>
      <c r="E505" s="5"/>
      <c r="F505" s="7" t="s">
        <v>2043</v>
      </c>
      <c r="G505" s="5"/>
      <c r="H505" s="5"/>
      <c r="I505" s="7" t="s">
        <v>2044</v>
      </c>
      <c r="J505" s="7" t="s">
        <v>24</v>
      </c>
      <c r="K505" s="7" t="s">
        <v>2045</v>
      </c>
      <c r="L505" s="3">
        <v>10000000</v>
      </c>
      <c r="M505" s="5"/>
      <c r="N505" s="3">
        <v>15000000</v>
      </c>
      <c r="O505" s="40" t="s">
        <v>2042</v>
      </c>
      <c r="P505" s="10">
        <v>24000000</v>
      </c>
      <c r="Q505" s="3">
        <f t="shared" si="63"/>
        <v>49000000</v>
      </c>
      <c r="R505" s="36">
        <v>10000000</v>
      </c>
      <c r="S505" s="7"/>
      <c r="T505" s="30">
        <v>15000000</v>
      </c>
      <c r="U505" s="3">
        <v>24000000</v>
      </c>
      <c r="V505" s="7"/>
      <c r="W505" s="36"/>
      <c r="X505" s="36">
        <f t="shared" si="64"/>
        <v>0</v>
      </c>
      <c r="Y505" s="36">
        <f t="shared" si="65"/>
        <v>0</v>
      </c>
      <c r="Z505" s="36">
        <f t="shared" si="62"/>
        <v>0</v>
      </c>
      <c r="AA505" s="4"/>
      <c r="AB505" s="79"/>
    </row>
    <row r="506" spans="1:28" ht="31.2" x14ac:dyDescent="0.3">
      <c r="A506" s="7" t="s">
        <v>1601</v>
      </c>
      <c r="B506" s="6">
        <v>486</v>
      </c>
      <c r="C506" s="7" t="s">
        <v>2020</v>
      </c>
      <c r="D506" s="7" t="s">
        <v>2046</v>
      </c>
      <c r="E506" s="7" t="s">
        <v>2047</v>
      </c>
      <c r="F506" s="7" t="s">
        <v>2048</v>
      </c>
      <c r="G506" s="5"/>
      <c r="H506" s="5"/>
      <c r="I506" s="7" t="s">
        <v>2049</v>
      </c>
      <c r="J506" s="7" t="s">
        <v>24</v>
      </c>
      <c r="K506" s="7" t="s">
        <v>2050</v>
      </c>
      <c r="L506" s="3">
        <v>34664233908</v>
      </c>
      <c r="M506" s="3">
        <v>21702116352</v>
      </c>
      <c r="N506" s="3">
        <v>7500000</v>
      </c>
      <c r="O506" s="40"/>
      <c r="P506" s="40"/>
      <c r="Q506" s="3">
        <f t="shared" si="63"/>
        <v>56373850260</v>
      </c>
      <c r="R506" s="3">
        <v>34664233908</v>
      </c>
      <c r="S506" s="3">
        <v>21702116352</v>
      </c>
      <c r="T506" s="72"/>
      <c r="U506" s="7"/>
      <c r="V506" s="7"/>
      <c r="W506" s="36"/>
      <c r="X506" s="36">
        <f t="shared" si="64"/>
        <v>0</v>
      </c>
      <c r="Y506" s="36">
        <f t="shared" si="65"/>
        <v>7500000</v>
      </c>
      <c r="Z506" s="36">
        <f t="shared" si="62"/>
        <v>0</v>
      </c>
      <c r="AA506" s="4"/>
      <c r="AB506" s="79"/>
    </row>
    <row r="507" spans="1:28" ht="31.2" x14ac:dyDescent="0.3">
      <c r="A507" s="7" t="s">
        <v>53</v>
      </c>
      <c r="B507" s="6">
        <v>487</v>
      </c>
      <c r="C507" s="7" t="s">
        <v>2020</v>
      </c>
      <c r="D507" s="7" t="s">
        <v>2051</v>
      </c>
      <c r="E507" s="7" t="s">
        <v>2052</v>
      </c>
      <c r="F507" s="7" t="s">
        <v>2053</v>
      </c>
      <c r="G507" s="7" t="s">
        <v>2054</v>
      </c>
      <c r="H507" s="5"/>
      <c r="I507" s="7" t="s">
        <v>2055</v>
      </c>
      <c r="J507" s="7" t="s">
        <v>24</v>
      </c>
      <c r="K507" s="7" t="s">
        <v>2056</v>
      </c>
      <c r="L507" s="3">
        <v>7983138800</v>
      </c>
      <c r="M507" s="14">
        <v>4114228044</v>
      </c>
      <c r="N507" s="3">
        <v>7500000</v>
      </c>
      <c r="O507" s="40"/>
      <c r="P507" s="40"/>
      <c r="Q507" s="3">
        <f t="shared" si="63"/>
        <v>12104866844</v>
      </c>
      <c r="R507" s="3">
        <v>7983138800</v>
      </c>
      <c r="S507" s="3">
        <v>4114228044</v>
      </c>
      <c r="T507" s="30">
        <v>7500000</v>
      </c>
      <c r="U507" s="7"/>
      <c r="V507" s="7"/>
      <c r="W507" s="36"/>
      <c r="X507" s="36">
        <f t="shared" si="64"/>
        <v>0</v>
      </c>
      <c r="Y507" s="36">
        <f t="shared" si="65"/>
        <v>0</v>
      </c>
      <c r="Z507" s="36">
        <f t="shared" si="62"/>
        <v>0</v>
      </c>
      <c r="AA507" s="4"/>
      <c r="AB507" s="79"/>
    </row>
    <row r="508" spans="1:28" ht="31.2" x14ac:dyDescent="0.3">
      <c r="A508" s="7" t="s">
        <v>62</v>
      </c>
      <c r="B508" s="6">
        <v>488</v>
      </c>
      <c r="C508" s="7" t="s">
        <v>2020</v>
      </c>
      <c r="D508" s="7" t="s">
        <v>2057</v>
      </c>
      <c r="E508" s="5"/>
      <c r="F508" s="7" t="s">
        <v>2059</v>
      </c>
      <c r="G508" s="5"/>
      <c r="H508" s="5"/>
      <c r="I508" s="7" t="s">
        <v>2060</v>
      </c>
      <c r="J508" s="7" t="s">
        <v>24</v>
      </c>
      <c r="K508" s="7" t="s">
        <v>2061</v>
      </c>
      <c r="L508" s="3">
        <v>24488585954</v>
      </c>
      <c r="M508" s="5"/>
      <c r="N508" s="3">
        <v>15000000</v>
      </c>
      <c r="O508" s="40" t="s">
        <v>2058</v>
      </c>
      <c r="P508" s="10">
        <v>96000000</v>
      </c>
      <c r="Q508" s="3">
        <f t="shared" si="63"/>
        <v>24599585954</v>
      </c>
      <c r="R508" s="3">
        <v>24488585954</v>
      </c>
      <c r="S508" s="7"/>
      <c r="T508" s="30">
        <v>15000000</v>
      </c>
      <c r="U508" s="3">
        <v>96000000</v>
      </c>
      <c r="V508" s="7"/>
      <c r="W508" s="36"/>
      <c r="X508" s="36">
        <f t="shared" si="64"/>
        <v>0</v>
      </c>
      <c r="Y508" s="36">
        <f t="shared" si="65"/>
        <v>0</v>
      </c>
      <c r="Z508" s="36">
        <f t="shared" si="62"/>
        <v>0</v>
      </c>
      <c r="AA508" s="4"/>
      <c r="AB508" s="79"/>
    </row>
    <row r="509" spans="1:28" ht="31.2" x14ac:dyDescent="0.3">
      <c r="A509" s="7" t="s">
        <v>62</v>
      </c>
      <c r="B509" s="6">
        <v>489</v>
      </c>
      <c r="C509" s="7" t="s">
        <v>2020</v>
      </c>
      <c r="D509" s="7" t="s">
        <v>2062</v>
      </c>
      <c r="E509" s="7" t="s">
        <v>2064</v>
      </c>
      <c r="F509" s="7" t="s">
        <v>2065</v>
      </c>
      <c r="G509" s="5"/>
      <c r="H509" s="5"/>
      <c r="I509" s="7" t="s">
        <v>2066</v>
      </c>
      <c r="J509" s="7" t="s">
        <v>24</v>
      </c>
      <c r="K509" s="7" t="s">
        <v>2067</v>
      </c>
      <c r="L509" s="3">
        <v>8321720844</v>
      </c>
      <c r="M509" s="3">
        <v>606267120</v>
      </c>
      <c r="N509" s="3">
        <v>15000000</v>
      </c>
      <c r="O509" s="40" t="s">
        <v>2063</v>
      </c>
      <c r="P509" s="10">
        <v>30000000</v>
      </c>
      <c r="Q509" s="3">
        <f t="shared" si="63"/>
        <v>8972987964</v>
      </c>
      <c r="R509" s="3">
        <v>8321720844</v>
      </c>
      <c r="S509" s="3">
        <v>606267120</v>
      </c>
      <c r="T509" s="30">
        <v>15000000</v>
      </c>
      <c r="U509" s="3">
        <v>30000000</v>
      </c>
      <c r="V509" s="7"/>
      <c r="W509" s="36"/>
      <c r="X509" s="36">
        <f t="shared" si="64"/>
        <v>0</v>
      </c>
      <c r="Y509" s="36">
        <f t="shared" si="65"/>
        <v>0</v>
      </c>
      <c r="Z509" s="36">
        <f t="shared" si="62"/>
        <v>0</v>
      </c>
      <c r="AA509" s="4"/>
      <c r="AB509" s="79"/>
    </row>
    <row r="510" spans="1:28" ht="31.2" x14ac:dyDescent="0.3">
      <c r="A510" s="7" t="s">
        <v>46</v>
      </c>
      <c r="B510" s="6">
        <v>490</v>
      </c>
      <c r="C510" s="7" t="s">
        <v>2020</v>
      </c>
      <c r="D510" s="7" t="s">
        <v>2068</v>
      </c>
      <c r="E510" s="5"/>
      <c r="F510" s="7" t="s">
        <v>2069</v>
      </c>
      <c r="G510" s="5"/>
      <c r="H510" s="5"/>
      <c r="I510" s="7" t="s">
        <v>2070</v>
      </c>
      <c r="J510" s="7" t="s">
        <v>24</v>
      </c>
      <c r="K510" s="7" t="s">
        <v>2071</v>
      </c>
      <c r="L510" s="3">
        <v>75048522880</v>
      </c>
      <c r="M510" s="5"/>
      <c r="N510" s="3">
        <v>7500000</v>
      </c>
      <c r="O510" s="40"/>
      <c r="P510" s="40"/>
      <c r="Q510" s="3">
        <f t="shared" si="63"/>
        <v>75056022880</v>
      </c>
      <c r="R510" s="3">
        <v>75048522880</v>
      </c>
      <c r="S510" s="7"/>
      <c r="T510" s="30">
        <v>7500000</v>
      </c>
      <c r="U510" s="7"/>
      <c r="V510" s="7"/>
      <c r="W510" s="36"/>
      <c r="X510" s="36">
        <f t="shared" si="64"/>
        <v>0</v>
      </c>
      <c r="Y510" s="36">
        <f t="shared" si="65"/>
        <v>0</v>
      </c>
      <c r="Z510" s="36">
        <f t="shared" si="62"/>
        <v>0</v>
      </c>
      <c r="AA510" s="4"/>
      <c r="AB510" s="79"/>
    </row>
    <row r="511" spans="1:28" ht="31.2" x14ac:dyDescent="0.3">
      <c r="A511" s="7" t="s">
        <v>46</v>
      </c>
      <c r="B511" s="6">
        <v>491</v>
      </c>
      <c r="C511" s="7" t="s">
        <v>2020</v>
      </c>
      <c r="D511" s="7" t="s">
        <v>2072</v>
      </c>
      <c r="E511" s="7" t="s">
        <v>2074</v>
      </c>
      <c r="F511" s="7" t="s">
        <v>2075</v>
      </c>
      <c r="G511" s="7" t="s">
        <v>2076</v>
      </c>
      <c r="H511" s="5"/>
      <c r="I511" s="7" t="s">
        <v>2077</v>
      </c>
      <c r="J511" s="7" t="s">
        <v>24</v>
      </c>
      <c r="K511" s="7" t="s">
        <v>2078</v>
      </c>
      <c r="L511" s="3">
        <v>1336260530</v>
      </c>
      <c r="M511" s="3">
        <v>1211633920</v>
      </c>
      <c r="N511" s="3">
        <v>15000000</v>
      </c>
      <c r="O511" s="40" t="s">
        <v>2073</v>
      </c>
      <c r="P511" s="10">
        <v>42000000</v>
      </c>
      <c r="Q511" s="3">
        <f t="shared" si="63"/>
        <v>2604894450</v>
      </c>
      <c r="R511" s="36">
        <v>1336260530</v>
      </c>
      <c r="S511" s="3">
        <v>1211633920</v>
      </c>
      <c r="T511" s="30">
        <v>15000000</v>
      </c>
      <c r="U511" s="3">
        <v>42000000</v>
      </c>
      <c r="V511" s="7"/>
      <c r="W511" s="36"/>
      <c r="X511" s="36">
        <f t="shared" si="64"/>
        <v>0</v>
      </c>
      <c r="Y511" s="36">
        <f t="shared" si="65"/>
        <v>0</v>
      </c>
      <c r="Z511" s="36">
        <f t="shared" si="62"/>
        <v>0</v>
      </c>
      <c r="AA511" s="4"/>
      <c r="AB511" s="79"/>
    </row>
    <row r="512" spans="1:28" ht="31.2" x14ac:dyDescent="0.3">
      <c r="A512" s="7" t="s">
        <v>1601</v>
      </c>
      <c r="B512" s="6">
        <v>492</v>
      </c>
      <c r="C512" s="7" t="s">
        <v>2020</v>
      </c>
      <c r="D512" s="7" t="s">
        <v>2079</v>
      </c>
      <c r="E512" s="7" t="s">
        <v>2080</v>
      </c>
      <c r="F512" s="7" t="s">
        <v>2081</v>
      </c>
      <c r="G512" s="7" t="s">
        <v>2082</v>
      </c>
      <c r="H512" s="7" t="s">
        <v>1355</v>
      </c>
      <c r="I512" s="7" t="s">
        <v>2083</v>
      </c>
      <c r="J512" s="7" t="s">
        <v>24</v>
      </c>
      <c r="K512" s="7" t="s">
        <v>2084</v>
      </c>
      <c r="L512" s="3">
        <v>4066555149</v>
      </c>
      <c r="M512" s="3">
        <v>385272600</v>
      </c>
      <c r="N512" s="3">
        <v>15000000</v>
      </c>
      <c r="O512" s="40"/>
      <c r="P512" s="40"/>
      <c r="Q512" s="3">
        <f t="shared" si="63"/>
        <v>4466827749</v>
      </c>
      <c r="R512" s="36">
        <v>4066555149</v>
      </c>
      <c r="S512" s="3">
        <v>385272600</v>
      </c>
      <c r="T512" s="30">
        <v>15000000</v>
      </c>
      <c r="U512" s="7"/>
      <c r="V512" s="7"/>
      <c r="W512" s="36"/>
      <c r="X512" s="36">
        <f t="shared" si="64"/>
        <v>0</v>
      </c>
      <c r="Y512" s="36">
        <f t="shared" si="65"/>
        <v>0</v>
      </c>
      <c r="Z512" s="36">
        <f t="shared" si="62"/>
        <v>0</v>
      </c>
      <c r="AA512" s="4"/>
      <c r="AB512" s="79"/>
    </row>
    <row r="513" spans="1:28" ht="31.2" x14ac:dyDescent="0.3">
      <c r="A513" s="7" t="s">
        <v>62</v>
      </c>
      <c r="B513" s="6">
        <v>493</v>
      </c>
      <c r="C513" s="7" t="s">
        <v>2020</v>
      </c>
      <c r="D513" s="7" t="s">
        <v>2085</v>
      </c>
      <c r="E513" s="5"/>
      <c r="F513" s="7" t="s">
        <v>2086</v>
      </c>
      <c r="G513" s="5"/>
      <c r="H513" s="5"/>
      <c r="I513" s="7" t="s">
        <v>2087</v>
      </c>
      <c r="J513" s="7" t="s">
        <v>24</v>
      </c>
      <c r="K513" s="7" t="s">
        <v>2088</v>
      </c>
      <c r="L513" s="3">
        <v>3570553528</v>
      </c>
      <c r="M513" s="5"/>
      <c r="N513" s="3">
        <v>15000000</v>
      </c>
      <c r="O513" s="40" t="s">
        <v>637</v>
      </c>
      <c r="P513" s="10">
        <v>30000000</v>
      </c>
      <c r="Q513" s="3">
        <f t="shared" si="63"/>
        <v>3615553528</v>
      </c>
      <c r="R513" s="7"/>
      <c r="S513" s="7"/>
      <c r="T513" s="72"/>
      <c r="U513" s="74">
        <v>30000000</v>
      </c>
      <c r="V513" s="7"/>
      <c r="W513" s="36">
        <v>3570553528</v>
      </c>
      <c r="X513" s="36">
        <f t="shared" si="64"/>
        <v>0</v>
      </c>
      <c r="Y513" s="36">
        <f t="shared" si="65"/>
        <v>15000000</v>
      </c>
      <c r="Z513" s="36">
        <f t="shared" si="62"/>
        <v>0</v>
      </c>
      <c r="AA513" s="10">
        <v>3570553528</v>
      </c>
      <c r="AB513" s="80" t="s">
        <v>3860</v>
      </c>
    </row>
    <row r="514" spans="1:28" s="98" customFormat="1" ht="46.8" x14ac:dyDescent="0.3">
      <c r="A514" s="89" t="s">
        <v>18</v>
      </c>
      <c r="B514" s="99">
        <v>494</v>
      </c>
      <c r="C514" s="89" t="s">
        <v>2020</v>
      </c>
      <c r="D514" s="89" t="s">
        <v>2089</v>
      </c>
      <c r="E514" s="100"/>
      <c r="F514" s="89" t="s">
        <v>2090</v>
      </c>
      <c r="G514" s="100"/>
      <c r="H514" s="100"/>
      <c r="I514" s="89" t="s">
        <v>2091</v>
      </c>
      <c r="J514" s="89" t="s">
        <v>24</v>
      </c>
      <c r="K514" s="89" t="s">
        <v>2092</v>
      </c>
      <c r="L514" s="93">
        <v>10000000</v>
      </c>
      <c r="M514" s="100"/>
      <c r="N514" s="93">
        <v>15000000</v>
      </c>
      <c r="O514" s="91" t="s">
        <v>3833</v>
      </c>
      <c r="P514" s="103">
        <v>24000000</v>
      </c>
      <c r="Q514" s="93">
        <f t="shared" si="63"/>
        <v>49000000</v>
      </c>
      <c r="R514" s="89"/>
      <c r="S514" s="89"/>
      <c r="T514" s="104"/>
      <c r="U514" s="89"/>
      <c r="V514" s="89"/>
      <c r="W514" s="95">
        <v>10000000</v>
      </c>
      <c r="X514" s="95">
        <f t="shared" si="64"/>
        <v>0</v>
      </c>
      <c r="Y514" s="95">
        <f t="shared" si="65"/>
        <v>15000000</v>
      </c>
      <c r="Z514" s="95">
        <f t="shared" ref="Z514" si="66">P514-U514</f>
        <v>24000000</v>
      </c>
      <c r="AA514" s="105">
        <v>10000000</v>
      </c>
      <c r="AB514" s="97" t="s">
        <v>3853</v>
      </c>
    </row>
    <row r="515" spans="1:28" s="98" customFormat="1" ht="46.8" x14ac:dyDescent="0.3">
      <c r="A515" s="89" t="s">
        <v>18</v>
      </c>
      <c r="B515" s="99">
        <v>494</v>
      </c>
      <c r="C515" s="89" t="s">
        <v>2020</v>
      </c>
      <c r="D515" s="89" t="s">
        <v>2089</v>
      </c>
      <c r="E515" s="100"/>
      <c r="F515" s="89" t="s">
        <v>2090</v>
      </c>
      <c r="G515" s="100"/>
      <c r="H515" s="100"/>
      <c r="I515" s="89" t="s">
        <v>2091</v>
      </c>
      <c r="J515" s="89" t="s">
        <v>24</v>
      </c>
      <c r="K515" s="89" t="s">
        <v>2092</v>
      </c>
      <c r="L515" s="93">
        <v>10000000</v>
      </c>
      <c r="M515" s="100"/>
      <c r="N515" s="93">
        <v>15000000</v>
      </c>
      <c r="O515" s="91" t="s">
        <v>3829</v>
      </c>
      <c r="P515" s="103">
        <v>48000000</v>
      </c>
      <c r="Q515" s="93">
        <f t="shared" si="63"/>
        <v>73000000</v>
      </c>
      <c r="R515" s="89"/>
      <c r="S515" s="89"/>
      <c r="T515" s="104"/>
      <c r="U515" s="89"/>
      <c r="V515" s="89"/>
      <c r="W515" s="95">
        <v>10000000</v>
      </c>
      <c r="X515" s="95">
        <f t="shared" si="64"/>
        <v>0</v>
      </c>
      <c r="Y515" s="95">
        <f t="shared" si="65"/>
        <v>15000000</v>
      </c>
      <c r="Z515" s="95">
        <f t="shared" si="62"/>
        <v>48000000</v>
      </c>
      <c r="AA515" s="105">
        <v>10000000</v>
      </c>
      <c r="AB515" s="97" t="s">
        <v>3853</v>
      </c>
    </row>
    <row r="516" spans="1:28" ht="46.8" x14ac:dyDescent="0.3">
      <c r="A516" s="7" t="s">
        <v>18</v>
      </c>
      <c r="B516" s="6">
        <v>495</v>
      </c>
      <c r="C516" s="7" t="s">
        <v>2020</v>
      </c>
      <c r="D516" s="7" t="s">
        <v>2093</v>
      </c>
      <c r="E516" s="43" t="s">
        <v>2052</v>
      </c>
      <c r="F516" s="7" t="s">
        <v>2095</v>
      </c>
      <c r="G516" s="7" t="s">
        <v>766</v>
      </c>
      <c r="H516" s="5"/>
      <c r="I516" s="7" t="s">
        <v>2096</v>
      </c>
      <c r="J516" s="7" t="s">
        <v>24</v>
      </c>
      <c r="K516" s="7" t="s">
        <v>2097</v>
      </c>
      <c r="L516" s="3">
        <v>6407680720</v>
      </c>
      <c r="M516" s="15">
        <v>2970696540</v>
      </c>
      <c r="N516" s="3">
        <v>15000000</v>
      </c>
      <c r="O516" s="40" t="s">
        <v>2094</v>
      </c>
      <c r="P516" s="10">
        <v>54000000</v>
      </c>
      <c r="Q516" s="3">
        <f t="shared" si="63"/>
        <v>9447377260</v>
      </c>
      <c r="R516" s="9">
        <v>6407680720</v>
      </c>
      <c r="S516" s="3">
        <v>2970696540</v>
      </c>
      <c r="T516" s="30">
        <v>15000000</v>
      </c>
      <c r="U516" s="3">
        <v>54000000</v>
      </c>
      <c r="V516" s="7"/>
      <c r="W516" s="36"/>
      <c r="X516" s="36">
        <f t="shared" si="64"/>
        <v>0</v>
      </c>
      <c r="Y516" s="36">
        <f t="shared" si="65"/>
        <v>0</v>
      </c>
      <c r="Z516" s="36">
        <f t="shared" si="62"/>
        <v>0</v>
      </c>
      <c r="AA516" s="4"/>
      <c r="AB516" s="79"/>
    </row>
    <row r="517" spans="1:28" ht="46.8" x14ac:dyDescent="0.3">
      <c r="A517" s="7" t="s">
        <v>46</v>
      </c>
      <c r="B517" s="6">
        <v>496</v>
      </c>
      <c r="C517" s="7" t="s">
        <v>2020</v>
      </c>
      <c r="D517" s="7" t="s">
        <v>2098</v>
      </c>
      <c r="E517" s="5"/>
      <c r="F517" s="7" t="s">
        <v>2099</v>
      </c>
      <c r="G517" s="5"/>
      <c r="H517" s="5"/>
      <c r="I517" s="7" t="s">
        <v>1010</v>
      </c>
      <c r="J517" s="7" t="s">
        <v>24</v>
      </c>
      <c r="K517" s="7" t="s">
        <v>2100</v>
      </c>
      <c r="L517" s="3">
        <v>537732800</v>
      </c>
      <c r="M517" s="5"/>
      <c r="N517" s="3">
        <v>7500000</v>
      </c>
      <c r="O517" s="40"/>
      <c r="P517" s="40"/>
      <c r="Q517" s="3">
        <f t="shared" si="63"/>
        <v>545232800</v>
      </c>
      <c r="R517" s="3">
        <v>537732800</v>
      </c>
      <c r="S517" s="7"/>
      <c r="T517" s="72"/>
      <c r="U517" s="7"/>
      <c r="V517" s="7"/>
      <c r="W517" s="36"/>
      <c r="X517" s="36">
        <f t="shared" si="64"/>
        <v>0</v>
      </c>
      <c r="Y517" s="36">
        <f t="shared" si="65"/>
        <v>7500000</v>
      </c>
      <c r="Z517" s="36">
        <f t="shared" si="62"/>
        <v>0</v>
      </c>
      <c r="AA517" s="4"/>
      <c r="AB517" s="79"/>
    </row>
    <row r="518" spans="1:28" ht="46.8" x14ac:dyDescent="0.3">
      <c r="A518" s="7" t="s">
        <v>18</v>
      </c>
      <c r="B518" s="6">
        <v>497</v>
      </c>
      <c r="C518" s="7" t="s">
        <v>2020</v>
      </c>
      <c r="D518" s="7" t="s">
        <v>2101</v>
      </c>
      <c r="E518" s="5"/>
      <c r="F518" s="7" t="s">
        <v>2102</v>
      </c>
      <c r="G518" s="5"/>
      <c r="H518" s="5"/>
      <c r="I518" s="7" t="s">
        <v>2103</v>
      </c>
      <c r="J518" s="7" t="s">
        <v>24</v>
      </c>
      <c r="K518" s="7" t="s">
        <v>2104</v>
      </c>
      <c r="L518" s="3">
        <v>642104448</v>
      </c>
      <c r="M518" s="5"/>
      <c r="N518" s="3">
        <v>7500000</v>
      </c>
      <c r="O518" s="40"/>
      <c r="P518" s="40"/>
      <c r="Q518" s="3">
        <f t="shared" si="63"/>
        <v>649604448</v>
      </c>
      <c r="R518" s="3">
        <v>642104448</v>
      </c>
      <c r="S518" s="7"/>
      <c r="T518" s="30">
        <v>7500000</v>
      </c>
      <c r="U518" s="7"/>
      <c r="V518" s="7"/>
      <c r="W518" s="36"/>
      <c r="X518" s="36">
        <f t="shared" si="64"/>
        <v>0</v>
      </c>
      <c r="Y518" s="36">
        <f t="shared" si="65"/>
        <v>0</v>
      </c>
      <c r="Z518" s="36">
        <f t="shared" si="62"/>
        <v>0</v>
      </c>
      <c r="AA518" s="4"/>
      <c r="AB518" s="79"/>
    </row>
    <row r="519" spans="1:28" ht="46.8" x14ac:dyDescent="0.3">
      <c r="A519" s="7" t="s">
        <v>46</v>
      </c>
      <c r="B519" s="6">
        <v>498</v>
      </c>
      <c r="C519" s="7" t="s">
        <v>2020</v>
      </c>
      <c r="D519" s="7" t="s">
        <v>2105</v>
      </c>
      <c r="E519" s="5"/>
      <c r="F519" s="7" t="s">
        <v>2106</v>
      </c>
      <c r="G519" s="5"/>
      <c r="H519" s="5"/>
      <c r="I519" s="7" t="s">
        <v>2107</v>
      </c>
      <c r="J519" s="7" t="s">
        <v>24</v>
      </c>
      <c r="K519" s="7" t="s">
        <v>2108</v>
      </c>
      <c r="L519" s="3">
        <v>3193098044</v>
      </c>
      <c r="M519" s="5"/>
      <c r="N519" s="3">
        <v>15000000</v>
      </c>
      <c r="O519" s="40"/>
      <c r="P519" s="40"/>
      <c r="Q519" s="3">
        <f t="shared" si="63"/>
        <v>3208098044</v>
      </c>
      <c r="R519" s="3">
        <v>3193098044</v>
      </c>
      <c r="S519" s="7"/>
      <c r="T519" s="30">
        <v>15000000</v>
      </c>
      <c r="U519" s="7"/>
      <c r="V519" s="7"/>
      <c r="W519" s="36"/>
      <c r="X519" s="36">
        <f t="shared" si="64"/>
        <v>0</v>
      </c>
      <c r="Y519" s="36">
        <f t="shared" si="65"/>
        <v>0</v>
      </c>
      <c r="Z519" s="36">
        <f t="shared" si="62"/>
        <v>0</v>
      </c>
      <c r="AA519" s="4"/>
      <c r="AB519" s="79"/>
    </row>
    <row r="520" spans="1:28" ht="31.2" x14ac:dyDescent="0.3">
      <c r="A520" s="7" t="s">
        <v>62</v>
      </c>
      <c r="B520" s="6">
        <v>499</v>
      </c>
      <c r="C520" s="7" t="s">
        <v>2020</v>
      </c>
      <c r="D520" s="7" t="s">
        <v>2109</v>
      </c>
      <c r="E520" s="5"/>
      <c r="F520" s="7" t="s">
        <v>2110</v>
      </c>
      <c r="G520" s="5"/>
      <c r="H520" s="5"/>
      <c r="I520" s="7" t="s">
        <v>2111</v>
      </c>
      <c r="J520" s="7" t="s">
        <v>24</v>
      </c>
      <c r="K520" s="7" t="s">
        <v>2112</v>
      </c>
      <c r="L520" s="3">
        <v>1244988472</v>
      </c>
      <c r="M520" s="5"/>
      <c r="N520" s="3">
        <v>7500000</v>
      </c>
      <c r="O520" s="40"/>
      <c r="P520" s="40"/>
      <c r="Q520" s="3">
        <f t="shared" si="63"/>
        <v>1252488472</v>
      </c>
      <c r="R520" s="3">
        <v>1244988472</v>
      </c>
      <c r="S520" s="7"/>
      <c r="T520" s="30">
        <v>7500000</v>
      </c>
      <c r="U520" s="7"/>
      <c r="V520" s="7"/>
      <c r="W520" s="36"/>
      <c r="X520" s="36">
        <f t="shared" si="64"/>
        <v>0</v>
      </c>
      <c r="Y520" s="36">
        <f t="shared" si="65"/>
        <v>0</v>
      </c>
      <c r="Z520" s="36">
        <f t="shared" si="62"/>
        <v>0</v>
      </c>
      <c r="AA520" s="4"/>
      <c r="AB520" s="79"/>
    </row>
    <row r="521" spans="1:28" ht="46.8" x14ac:dyDescent="0.3">
      <c r="A521" s="7" t="s">
        <v>53</v>
      </c>
      <c r="B521" s="6">
        <v>500</v>
      </c>
      <c r="C521" s="7" t="s">
        <v>2020</v>
      </c>
      <c r="D521" s="7" t="s">
        <v>2113</v>
      </c>
      <c r="E521" s="5"/>
      <c r="F521" s="7" t="s">
        <v>2114</v>
      </c>
      <c r="G521" s="5"/>
      <c r="H521" s="5"/>
      <c r="I521" s="7" t="s">
        <v>2115</v>
      </c>
      <c r="J521" s="7" t="s">
        <v>24</v>
      </c>
      <c r="K521" s="7" t="s">
        <v>2116</v>
      </c>
      <c r="L521" s="3">
        <v>2224532404</v>
      </c>
      <c r="M521" s="5"/>
      <c r="N521" s="3">
        <v>15000000</v>
      </c>
      <c r="O521" s="40"/>
      <c r="P521" s="40"/>
      <c r="Q521" s="3">
        <f t="shared" si="63"/>
        <v>2239532404</v>
      </c>
      <c r="R521" s="3">
        <v>2224532404</v>
      </c>
      <c r="S521" s="7"/>
      <c r="T521" s="30">
        <v>15000000</v>
      </c>
      <c r="U521" s="7"/>
      <c r="V521" s="7"/>
      <c r="W521" s="36"/>
      <c r="X521" s="36">
        <f t="shared" si="64"/>
        <v>0</v>
      </c>
      <c r="Y521" s="36">
        <f t="shared" si="65"/>
        <v>0</v>
      </c>
      <c r="Z521" s="36">
        <f t="shared" si="62"/>
        <v>0</v>
      </c>
      <c r="AA521" s="4"/>
      <c r="AB521" s="79"/>
    </row>
    <row r="522" spans="1:28" ht="31.2" x14ac:dyDescent="0.3">
      <c r="A522" s="7" t="s">
        <v>53</v>
      </c>
      <c r="B522" s="6">
        <v>501</v>
      </c>
      <c r="C522" s="7" t="s">
        <v>2020</v>
      </c>
      <c r="D522" s="7" t="s">
        <v>2117</v>
      </c>
      <c r="E522" s="5"/>
      <c r="F522" s="7" t="s">
        <v>2118</v>
      </c>
      <c r="G522" s="5"/>
      <c r="H522" s="5"/>
      <c r="I522" s="7" t="s">
        <v>2119</v>
      </c>
      <c r="J522" s="7" t="s">
        <v>24</v>
      </c>
      <c r="K522" s="7" t="s">
        <v>2120</v>
      </c>
      <c r="L522" s="3">
        <v>3356354008</v>
      </c>
      <c r="M522" s="5"/>
      <c r="N522" s="3">
        <v>15000000</v>
      </c>
      <c r="O522" s="40"/>
      <c r="P522" s="40"/>
      <c r="Q522" s="3">
        <f t="shared" si="63"/>
        <v>3371354008</v>
      </c>
      <c r="R522" s="3">
        <v>3356354008</v>
      </c>
      <c r="S522" s="7"/>
      <c r="T522" s="30">
        <v>15000000</v>
      </c>
      <c r="U522" s="7"/>
      <c r="V522" s="7"/>
      <c r="W522" s="36"/>
      <c r="X522" s="36">
        <f t="shared" si="64"/>
        <v>0</v>
      </c>
      <c r="Y522" s="36">
        <f t="shared" si="65"/>
        <v>0</v>
      </c>
      <c r="Z522" s="36">
        <f t="shared" si="62"/>
        <v>0</v>
      </c>
      <c r="AA522" s="4"/>
      <c r="AB522" s="79"/>
    </row>
    <row r="523" spans="1:28" ht="31.2" x14ac:dyDescent="0.3">
      <c r="A523" s="7" t="s">
        <v>1601</v>
      </c>
      <c r="B523" s="6">
        <v>502</v>
      </c>
      <c r="C523" s="7" t="s">
        <v>2020</v>
      </c>
      <c r="D523" s="7" t="s">
        <v>2121</v>
      </c>
      <c r="E523" s="7" t="s">
        <v>1209</v>
      </c>
      <c r="F523" s="7" t="s">
        <v>2122</v>
      </c>
      <c r="G523" s="7" t="s">
        <v>2123</v>
      </c>
      <c r="H523" s="5"/>
      <c r="I523" s="7" t="s">
        <v>2124</v>
      </c>
      <c r="J523" s="7" t="s">
        <v>24</v>
      </c>
      <c r="K523" s="7" t="s">
        <v>2125</v>
      </c>
      <c r="L523" s="3">
        <v>5266510920</v>
      </c>
      <c r="M523" s="3">
        <v>737485460</v>
      </c>
      <c r="N523" s="3">
        <v>7500000</v>
      </c>
      <c r="O523" s="40"/>
      <c r="P523" s="40"/>
      <c r="Q523" s="3">
        <f t="shared" si="63"/>
        <v>6011496380</v>
      </c>
      <c r="R523" s="3">
        <v>5266510920</v>
      </c>
      <c r="S523" s="3">
        <v>737485460</v>
      </c>
      <c r="T523" s="30">
        <v>7500000</v>
      </c>
      <c r="U523" s="7"/>
      <c r="V523" s="7"/>
      <c r="W523" s="36"/>
      <c r="X523" s="36">
        <f t="shared" si="64"/>
        <v>0</v>
      </c>
      <c r="Y523" s="36">
        <f t="shared" si="65"/>
        <v>0</v>
      </c>
      <c r="Z523" s="36">
        <f t="shared" si="62"/>
        <v>0</v>
      </c>
      <c r="AA523" s="4"/>
      <c r="AB523" s="79"/>
    </row>
    <row r="524" spans="1:28" ht="46.8" x14ac:dyDescent="0.3">
      <c r="A524" s="7" t="s">
        <v>46</v>
      </c>
      <c r="B524" s="6">
        <v>503</v>
      </c>
      <c r="C524" s="7" t="s">
        <v>2020</v>
      </c>
      <c r="D524" s="7" t="s">
        <v>2126</v>
      </c>
      <c r="E524" s="5"/>
      <c r="F524" s="7" t="s">
        <v>2127</v>
      </c>
      <c r="G524" s="5"/>
      <c r="H524" s="5"/>
      <c r="I524" s="7" t="s">
        <v>2128</v>
      </c>
      <c r="J524" s="7" t="s">
        <v>24</v>
      </c>
      <c r="K524" s="7" t="s">
        <v>2129</v>
      </c>
      <c r="L524" s="3">
        <v>6096414328</v>
      </c>
      <c r="M524" s="5"/>
      <c r="N524" s="3">
        <v>15000000</v>
      </c>
      <c r="O524" s="7" t="s">
        <v>1162</v>
      </c>
      <c r="P524" s="3">
        <v>48000000</v>
      </c>
      <c r="Q524" s="3">
        <f t="shared" si="63"/>
        <v>6159414328</v>
      </c>
      <c r="R524" s="7"/>
      <c r="S524" s="7"/>
      <c r="T524" s="72"/>
      <c r="U524" s="7"/>
      <c r="V524" s="7"/>
      <c r="W524" s="36">
        <v>6096414328</v>
      </c>
      <c r="X524" s="36">
        <f t="shared" si="64"/>
        <v>0</v>
      </c>
      <c r="Y524" s="36">
        <f t="shared" si="65"/>
        <v>15000000</v>
      </c>
      <c r="Z524" s="36">
        <f t="shared" si="62"/>
        <v>48000000</v>
      </c>
      <c r="AA524" s="10">
        <v>6096414328</v>
      </c>
      <c r="AB524" s="83"/>
    </row>
    <row r="525" spans="1:28" ht="31.2" x14ac:dyDescent="0.3">
      <c r="A525" s="7" t="s">
        <v>18</v>
      </c>
      <c r="B525" s="6">
        <v>504</v>
      </c>
      <c r="C525" s="7" t="s">
        <v>2020</v>
      </c>
      <c r="D525" s="7" t="s">
        <v>2130</v>
      </c>
      <c r="E525" s="5"/>
      <c r="F525" s="7" t="s">
        <v>2131</v>
      </c>
      <c r="G525" s="5"/>
      <c r="H525" s="5"/>
      <c r="I525" s="7" t="s">
        <v>2132</v>
      </c>
      <c r="J525" s="7" t="s">
        <v>24</v>
      </c>
      <c r="K525" s="7" t="s">
        <v>2133</v>
      </c>
      <c r="L525" s="3">
        <v>754321600</v>
      </c>
      <c r="M525" s="5"/>
      <c r="N525" s="3">
        <v>15000000</v>
      </c>
      <c r="O525" s="40"/>
      <c r="P525" s="40"/>
      <c r="Q525" s="3">
        <f t="shared" si="63"/>
        <v>769321600</v>
      </c>
      <c r="R525" s="3">
        <v>754321600</v>
      </c>
      <c r="S525" s="7"/>
      <c r="T525" s="72"/>
      <c r="U525" s="7"/>
      <c r="V525" s="7"/>
      <c r="W525" s="36"/>
      <c r="X525" s="36">
        <f t="shared" si="64"/>
        <v>0</v>
      </c>
      <c r="Y525" s="36">
        <f t="shared" si="65"/>
        <v>15000000</v>
      </c>
      <c r="Z525" s="36">
        <f t="shared" si="62"/>
        <v>0</v>
      </c>
      <c r="AA525" s="4"/>
      <c r="AB525" s="79"/>
    </row>
    <row r="526" spans="1:28" ht="31.2" x14ac:dyDescent="0.3">
      <c r="A526" s="7" t="s">
        <v>1601</v>
      </c>
      <c r="B526" s="6">
        <v>505</v>
      </c>
      <c r="C526" s="7" t="s">
        <v>2020</v>
      </c>
      <c r="D526" s="7" t="s">
        <v>2134</v>
      </c>
      <c r="E526" s="5"/>
      <c r="F526" s="7" t="s">
        <v>2135</v>
      </c>
      <c r="G526" s="5"/>
      <c r="H526" s="5"/>
      <c r="I526" s="7" t="s">
        <v>2136</v>
      </c>
      <c r="J526" s="7" t="s">
        <v>24</v>
      </c>
      <c r="K526" s="7" t="s">
        <v>2137</v>
      </c>
      <c r="L526" s="3">
        <v>1084083840</v>
      </c>
      <c r="M526" s="5"/>
      <c r="N526" s="3">
        <v>7500000</v>
      </c>
      <c r="O526" s="40"/>
      <c r="P526" s="40"/>
      <c r="Q526" s="3">
        <f t="shared" si="63"/>
        <v>1091583840</v>
      </c>
      <c r="R526" s="3">
        <v>1084083840</v>
      </c>
      <c r="S526" s="7"/>
      <c r="T526" s="30">
        <v>7500000</v>
      </c>
      <c r="U526" s="7"/>
      <c r="V526" s="7"/>
      <c r="W526" s="36"/>
      <c r="X526" s="36">
        <f t="shared" si="64"/>
        <v>0</v>
      </c>
      <c r="Y526" s="36">
        <f t="shared" si="65"/>
        <v>0</v>
      </c>
      <c r="Z526" s="36">
        <f t="shared" si="62"/>
        <v>0</v>
      </c>
      <c r="AA526" s="4"/>
      <c r="AB526" s="79"/>
    </row>
    <row r="527" spans="1:28" ht="31.2" x14ac:dyDescent="0.3">
      <c r="A527" s="7" t="s">
        <v>53</v>
      </c>
      <c r="B527" s="6">
        <v>506</v>
      </c>
      <c r="C527" s="7" t="s">
        <v>2020</v>
      </c>
      <c r="D527" s="7" t="s">
        <v>2138</v>
      </c>
      <c r="E527" s="5"/>
      <c r="F527" s="7" t="s">
        <v>2140</v>
      </c>
      <c r="G527" s="5"/>
      <c r="H527" s="5"/>
      <c r="I527" s="7" t="s">
        <v>2141</v>
      </c>
      <c r="J527" s="7" t="s">
        <v>24</v>
      </c>
      <c r="K527" s="7" t="s">
        <v>2142</v>
      </c>
      <c r="L527" s="3">
        <v>3890846788</v>
      </c>
      <c r="M527" s="5"/>
      <c r="N527" s="3">
        <v>15000000</v>
      </c>
      <c r="O527" s="40" t="s">
        <v>2139</v>
      </c>
      <c r="P527" s="10">
        <v>24000000</v>
      </c>
      <c r="Q527" s="3">
        <f t="shared" si="63"/>
        <v>3929846788</v>
      </c>
      <c r="R527" s="3">
        <v>3890846788</v>
      </c>
      <c r="S527" s="7"/>
      <c r="T527" s="30">
        <v>15000000</v>
      </c>
      <c r="U527" s="3">
        <v>24000000</v>
      </c>
      <c r="V527" s="7"/>
      <c r="W527" s="36"/>
      <c r="X527" s="36">
        <f t="shared" si="64"/>
        <v>0</v>
      </c>
      <c r="Y527" s="36">
        <f t="shared" si="65"/>
        <v>0</v>
      </c>
      <c r="Z527" s="36">
        <f t="shared" si="62"/>
        <v>0</v>
      </c>
      <c r="AA527" s="4"/>
      <c r="AB527" s="79"/>
    </row>
    <row r="528" spans="1:28" ht="31.2" x14ac:dyDescent="0.3">
      <c r="A528" s="7" t="s">
        <v>53</v>
      </c>
      <c r="B528" s="6">
        <v>507</v>
      </c>
      <c r="C528" s="7" t="s">
        <v>2020</v>
      </c>
      <c r="D528" s="7" t="s">
        <v>2143</v>
      </c>
      <c r="E528" s="5"/>
      <c r="F528" s="7" t="s">
        <v>2144</v>
      </c>
      <c r="G528" s="5"/>
      <c r="H528" s="5"/>
      <c r="I528" s="7" t="s">
        <v>2145</v>
      </c>
      <c r="J528" s="7" t="s">
        <v>24</v>
      </c>
      <c r="K528" s="7" t="s">
        <v>2146</v>
      </c>
      <c r="L528" s="3">
        <v>4157817700</v>
      </c>
      <c r="M528" s="5"/>
      <c r="N528" s="3">
        <v>15000000</v>
      </c>
      <c r="O528" s="40"/>
      <c r="P528" s="40"/>
      <c r="Q528" s="3">
        <f t="shared" si="63"/>
        <v>4172817700</v>
      </c>
      <c r="R528" s="3">
        <v>4157817700</v>
      </c>
      <c r="S528" s="7"/>
      <c r="T528" s="30">
        <v>15000000</v>
      </c>
      <c r="U528" s="7"/>
      <c r="V528" s="7"/>
      <c r="W528" s="36"/>
      <c r="X528" s="36">
        <f t="shared" si="64"/>
        <v>0</v>
      </c>
      <c r="Y528" s="36">
        <f t="shared" si="65"/>
        <v>0</v>
      </c>
      <c r="Z528" s="36">
        <f t="shared" si="62"/>
        <v>0</v>
      </c>
      <c r="AA528" s="4"/>
      <c r="AB528" s="79"/>
    </row>
    <row r="529" spans="1:28" ht="31.2" x14ac:dyDescent="0.3">
      <c r="A529" s="7" t="s">
        <v>18</v>
      </c>
      <c r="B529" s="6">
        <v>508</v>
      </c>
      <c r="C529" s="7" t="s">
        <v>2020</v>
      </c>
      <c r="D529" s="7" t="s">
        <v>2147</v>
      </c>
      <c r="E529" s="5"/>
      <c r="F529" s="7" t="s">
        <v>2148</v>
      </c>
      <c r="G529" s="5"/>
      <c r="H529" s="5"/>
      <c r="I529" s="7" t="s">
        <v>2149</v>
      </c>
      <c r="J529" s="7" t="s">
        <v>24</v>
      </c>
      <c r="K529" s="7" t="s">
        <v>2150</v>
      </c>
      <c r="L529" s="3">
        <v>2456562500</v>
      </c>
      <c r="M529" s="5"/>
      <c r="N529" s="3">
        <v>15000000</v>
      </c>
      <c r="O529" s="40"/>
      <c r="P529" s="40"/>
      <c r="Q529" s="3">
        <f t="shared" si="63"/>
        <v>2471562500</v>
      </c>
      <c r="R529" s="3">
        <v>2456562500</v>
      </c>
      <c r="S529" s="7"/>
      <c r="T529" s="30">
        <v>15000000</v>
      </c>
      <c r="U529" s="7"/>
      <c r="V529" s="7"/>
      <c r="W529" s="36"/>
      <c r="X529" s="36">
        <f t="shared" si="64"/>
        <v>0</v>
      </c>
      <c r="Y529" s="36">
        <f t="shared" si="65"/>
        <v>0</v>
      </c>
      <c r="Z529" s="36">
        <f t="shared" si="62"/>
        <v>0</v>
      </c>
      <c r="AA529" s="4"/>
      <c r="AB529" s="79"/>
    </row>
    <row r="530" spans="1:28" ht="31.2" x14ac:dyDescent="0.3">
      <c r="A530" s="7" t="s">
        <v>18</v>
      </c>
      <c r="B530" s="6">
        <v>509</v>
      </c>
      <c r="C530" s="7" t="s">
        <v>2020</v>
      </c>
      <c r="D530" s="7" t="s">
        <v>2151</v>
      </c>
      <c r="E530" s="5"/>
      <c r="F530" s="7" t="s">
        <v>2152</v>
      </c>
      <c r="G530" s="5"/>
      <c r="H530" s="5"/>
      <c r="I530" s="7" t="s">
        <v>2153</v>
      </c>
      <c r="J530" s="7" t="s">
        <v>24</v>
      </c>
      <c r="K530" s="7" t="s">
        <v>2154</v>
      </c>
      <c r="L530" s="3">
        <v>6601856928</v>
      </c>
      <c r="M530" s="5"/>
      <c r="N530" s="3">
        <v>7500000</v>
      </c>
      <c r="O530" s="40"/>
      <c r="P530" s="40"/>
      <c r="Q530" s="3">
        <f t="shared" si="63"/>
        <v>6609356928</v>
      </c>
      <c r="R530" s="3">
        <v>6601856928</v>
      </c>
      <c r="S530" s="7"/>
      <c r="T530" s="30">
        <v>7500000</v>
      </c>
      <c r="U530" s="7"/>
      <c r="V530" s="7"/>
      <c r="W530" s="36"/>
      <c r="X530" s="36">
        <f t="shared" si="64"/>
        <v>0</v>
      </c>
      <c r="Y530" s="36">
        <f t="shared" si="65"/>
        <v>0</v>
      </c>
      <c r="Z530" s="36">
        <f t="shared" si="62"/>
        <v>0</v>
      </c>
      <c r="AA530" s="4"/>
      <c r="AB530" s="79"/>
    </row>
    <row r="531" spans="1:28" ht="31.2" x14ac:dyDescent="0.3">
      <c r="A531" s="7" t="s">
        <v>46</v>
      </c>
      <c r="B531" s="6">
        <v>510</v>
      </c>
      <c r="C531" s="7" t="s">
        <v>2020</v>
      </c>
      <c r="D531" s="7" t="s">
        <v>2155</v>
      </c>
      <c r="E531" s="7" t="s">
        <v>2156</v>
      </c>
      <c r="F531" s="7" t="s">
        <v>2157</v>
      </c>
      <c r="G531" s="7" t="s">
        <v>2158</v>
      </c>
      <c r="H531" s="7" t="s">
        <v>28</v>
      </c>
      <c r="I531" s="7" t="s">
        <v>2159</v>
      </c>
      <c r="J531" s="7" t="s">
        <v>24</v>
      </c>
      <c r="K531" s="7" t="s">
        <v>2160</v>
      </c>
      <c r="L531" s="6">
        <v>0</v>
      </c>
      <c r="M531" s="3">
        <v>14059528830</v>
      </c>
      <c r="N531" s="3">
        <v>3750000</v>
      </c>
      <c r="O531" s="40"/>
      <c r="P531" s="40"/>
      <c r="Q531" s="3">
        <f t="shared" si="63"/>
        <v>14063278830</v>
      </c>
      <c r="R531" s="6">
        <v>0</v>
      </c>
      <c r="S531" s="3">
        <v>14059528830</v>
      </c>
      <c r="T531" s="72"/>
      <c r="U531" s="7"/>
      <c r="V531" s="7"/>
      <c r="W531" s="36"/>
      <c r="X531" s="36">
        <f t="shared" si="64"/>
        <v>0</v>
      </c>
      <c r="Y531" s="36">
        <f t="shared" si="65"/>
        <v>3750000</v>
      </c>
      <c r="Z531" s="36">
        <f t="shared" si="62"/>
        <v>0</v>
      </c>
      <c r="AA531" s="4"/>
      <c r="AB531" s="79"/>
    </row>
    <row r="532" spans="1:28" ht="31.2" x14ac:dyDescent="0.3">
      <c r="A532" s="7" t="s">
        <v>53</v>
      </c>
      <c r="B532" s="6">
        <v>511</v>
      </c>
      <c r="C532" s="7" t="s">
        <v>2020</v>
      </c>
      <c r="D532" s="7" t="s">
        <v>2161</v>
      </c>
      <c r="E532" s="5"/>
      <c r="F532" s="7" t="s">
        <v>2163</v>
      </c>
      <c r="G532" s="5"/>
      <c r="H532" s="5"/>
      <c r="I532" s="7" t="s">
        <v>2164</v>
      </c>
      <c r="J532" s="7" t="s">
        <v>24</v>
      </c>
      <c r="K532" s="7" t="s">
        <v>2165</v>
      </c>
      <c r="L532" s="3">
        <v>1160551680</v>
      </c>
      <c r="M532" s="5"/>
      <c r="N532" s="3">
        <v>15000000</v>
      </c>
      <c r="O532" s="40" t="s">
        <v>2162</v>
      </c>
      <c r="P532" s="10">
        <v>24000000</v>
      </c>
      <c r="Q532" s="3">
        <f t="shared" ref="Q532:Q563" si="67">L532+M532+N532+P532</f>
        <v>1199551680</v>
      </c>
      <c r="R532" s="3">
        <v>1160551680</v>
      </c>
      <c r="S532" s="7"/>
      <c r="T532" s="30">
        <v>15000000</v>
      </c>
      <c r="U532" s="3">
        <v>24000000</v>
      </c>
      <c r="V532" s="7"/>
      <c r="W532" s="36"/>
      <c r="X532" s="36">
        <f t="shared" ref="X532:X563" si="68">M532-S532</f>
        <v>0</v>
      </c>
      <c r="Y532" s="36">
        <f t="shared" ref="Y532:Y563" si="69">N532-T532</f>
        <v>0</v>
      </c>
      <c r="Z532" s="36">
        <f t="shared" si="62"/>
        <v>0</v>
      </c>
      <c r="AA532" s="4"/>
      <c r="AB532" s="79"/>
    </row>
    <row r="533" spans="1:28" ht="46.8" x14ac:dyDescent="0.3">
      <c r="A533" s="7" t="s">
        <v>53</v>
      </c>
      <c r="B533" s="6">
        <v>512</v>
      </c>
      <c r="C533" s="7" t="s">
        <v>2020</v>
      </c>
      <c r="D533" s="7" t="s">
        <v>2166</v>
      </c>
      <c r="E533" s="5"/>
      <c r="F533" s="7" t="s">
        <v>2167</v>
      </c>
      <c r="G533" s="5"/>
      <c r="H533" s="5"/>
      <c r="I533" s="7" t="s">
        <v>2168</v>
      </c>
      <c r="J533" s="7" t="s">
        <v>24</v>
      </c>
      <c r="K533" s="7" t="s">
        <v>2169</v>
      </c>
      <c r="L533" s="3">
        <v>15083899760</v>
      </c>
      <c r="M533" s="5"/>
      <c r="N533" s="3">
        <v>15000000</v>
      </c>
      <c r="O533" s="7" t="s">
        <v>182</v>
      </c>
      <c r="P533" s="3">
        <v>60000000</v>
      </c>
      <c r="Q533" s="3">
        <f t="shared" si="67"/>
        <v>15158899760</v>
      </c>
      <c r="R533" s="3">
        <v>15083899760</v>
      </c>
      <c r="S533" s="7"/>
      <c r="T533" s="72"/>
      <c r="U533" s="7"/>
      <c r="V533" s="7"/>
      <c r="W533" s="36"/>
      <c r="X533" s="36">
        <f t="shared" si="68"/>
        <v>0</v>
      </c>
      <c r="Y533" s="36">
        <f t="shared" si="69"/>
        <v>15000000</v>
      </c>
      <c r="Z533" s="36">
        <f t="shared" si="62"/>
        <v>60000000</v>
      </c>
      <c r="AA533" s="4"/>
      <c r="AB533" s="83" t="s">
        <v>3845</v>
      </c>
    </row>
    <row r="534" spans="1:28" ht="31.2" x14ac:dyDescent="0.3">
      <c r="A534" s="7" t="s">
        <v>1601</v>
      </c>
      <c r="B534" s="6">
        <v>513</v>
      </c>
      <c r="C534" s="7" t="s">
        <v>2020</v>
      </c>
      <c r="D534" s="7" t="s">
        <v>2170</v>
      </c>
      <c r="E534" s="5"/>
      <c r="F534" s="7" t="s">
        <v>2171</v>
      </c>
      <c r="G534" s="5"/>
      <c r="H534" s="5"/>
      <c r="I534" s="7" t="s">
        <v>2172</v>
      </c>
      <c r="J534" s="7" t="s">
        <v>24</v>
      </c>
      <c r="K534" s="7" t="s">
        <v>2173</v>
      </c>
      <c r="L534" s="3">
        <v>8035637053</v>
      </c>
      <c r="M534" s="5"/>
      <c r="N534" s="3">
        <v>15000000</v>
      </c>
      <c r="O534" s="40"/>
      <c r="P534" s="40"/>
      <c r="Q534" s="3">
        <f t="shared" si="67"/>
        <v>8050637053</v>
      </c>
      <c r="R534" s="7"/>
      <c r="S534" s="7"/>
      <c r="T534" s="72"/>
      <c r="U534" s="7"/>
      <c r="V534" s="7"/>
      <c r="W534" s="36">
        <v>8035637053</v>
      </c>
      <c r="X534" s="36">
        <f t="shared" si="68"/>
        <v>0</v>
      </c>
      <c r="Y534" s="36">
        <f t="shared" si="69"/>
        <v>15000000</v>
      </c>
      <c r="Z534" s="36">
        <f t="shared" si="62"/>
        <v>0</v>
      </c>
      <c r="AA534" s="8">
        <v>8035637053</v>
      </c>
      <c r="AB534" s="79"/>
    </row>
    <row r="535" spans="1:28" ht="31.2" x14ac:dyDescent="0.3">
      <c r="A535" s="7" t="s">
        <v>18</v>
      </c>
      <c r="B535" s="6">
        <v>514</v>
      </c>
      <c r="C535" s="7" t="s">
        <v>2020</v>
      </c>
      <c r="D535" s="7" t="s">
        <v>2174</v>
      </c>
      <c r="E535" s="5"/>
      <c r="F535" s="7" t="s">
        <v>2175</v>
      </c>
      <c r="G535" s="5"/>
      <c r="H535" s="5"/>
      <c r="I535" s="7" t="s">
        <v>2176</v>
      </c>
      <c r="J535" s="7" t="s">
        <v>24</v>
      </c>
      <c r="K535" s="7" t="s">
        <v>2150</v>
      </c>
      <c r="L535" s="3">
        <v>3779809872</v>
      </c>
      <c r="M535" s="5"/>
      <c r="N535" s="3">
        <v>15000000</v>
      </c>
      <c r="O535" s="40"/>
      <c r="P535" s="40"/>
      <c r="Q535" s="3">
        <f t="shared" si="67"/>
        <v>3794809872</v>
      </c>
      <c r="R535" s="3">
        <v>3779809872</v>
      </c>
      <c r="S535" s="7"/>
      <c r="T535" s="30">
        <v>15000000</v>
      </c>
      <c r="U535" s="7"/>
      <c r="V535" s="7"/>
      <c r="W535" s="36"/>
      <c r="X535" s="36">
        <f t="shared" si="68"/>
        <v>0</v>
      </c>
      <c r="Y535" s="36">
        <f t="shared" si="69"/>
        <v>0</v>
      </c>
      <c r="Z535" s="36">
        <f t="shared" ref="Z535:Z600" si="70">P535-U535</f>
        <v>0</v>
      </c>
      <c r="AA535" s="4"/>
      <c r="AB535" s="79"/>
    </row>
    <row r="536" spans="1:28" ht="31.2" x14ac:dyDescent="0.3">
      <c r="A536" s="7" t="s">
        <v>62</v>
      </c>
      <c r="B536" s="6">
        <v>515</v>
      </c>
      <c r="C536" s="7" t="s">
        <v>2020</v>
      </c>
      <c r="D536" s="7" t="s">
        <v>2177</v>
      </c>
      <c r="E536" s="7" t="s">
        <v>2178</v>
      </c>
      <c r="F536" s="7" t="s">
        <v>2179</v>
      </c>
      <c r="G536" s="7" t="s">
        <v>2180</v>
      </c>
      <c r="H536" s="5"/>
      <c r="I536" s="7" t="s">
        <v>2181</v>
      </c>
      <c r="J536" s="7" t="s">
        <v>24</v>
      </c>
      <c r="K536" s="7" t="s">
        <v>2182</v>
      </c>
      <c r="L536" s="3">
        <v>8381892826</v>
      </c>
      <c r="M536" s="3">
        <v>2048106900</v>
      </c>
      <c r="N536" s="3">
        <v>15000000</v>
      </c>
      <c r="O536" s="40"/>
      <c r="P536" s="40"/>
      <c r="Q536" s="3">
        <f t="shared" si="67"/>
        <v>10444999726</v>
      </c>
      <c r="R536" s="3">
        <v>8381892826</v>
      </c>
      <c r="S536" s="3">
        <v>2048106900</v>
      </c>
      <c r="T536" s="30">
        <v>15000000</v>
      </c>
      <c r="U536" s="7"/>
      <c r="V536" s="7"/>
      <c r="W536" s="36"/>
      <c r="X536" s="36">
        <f t="shared" si="68"/>
        <v>0</v>
      </c>
      <c r="Y536" s="36">
        <f t="shared" si="69"/>
        <v>0</v>
      </c>
      <c r="Z536" s="36">
        <f t="shared" si="70"/>
        <v>0</v>
      </c>
      <c r="AA536" s="4"/>
      <c r="AB536" s="79"/>
    </row>
    <row r="537" spans="1:28" ht="31.2" x14ac:dyDescent="0.3">
      <c r="A537" s="7" t="s">
        <v>62</v>
      </c>
      <c r="B537" s="6">
        <v>516</v>
      </c>
      <c r="C537" s="7" t="s">
        <v>2020</v>
      </c>
      <c r="D537" s="7" t="s">
        <v>2183</v>
      </c>
      <c r="E537" s="5"/>
      <c r="F537" s="7" t="s">
        <v>2184</v>
      </c>
      <c r="G537" s="5"/>
      <c r="H537" s="5"/>
      <c r="I537" s="7" t="s">
        <v>2185</v>
      </c>
      <c r="J537" s="7" t="s">
        <v>24</v>
      </c>
      <c r="K537" s="7" t="s">
        <v>2186</v>
      </c>
      <c r="L537" s="3">
        <v>2219205004</v>
      </c>
      <c r="M537" s="5"/>
      <c r="N537" s="3">
        <v>7500000</v>
      </c>
      <c r="O537" s="40"/>
      <c r="P537" s="40"/>
      <c r="Q537" s="3">
        <f t="shared" si="67"/>
        <v>2226705004</v>
      </c>
      <c r="R537" s="3">
        <v>2219205004</v>
      </c>
      <c r="S537" s="7"/>
      <c r="T537" s="30">
        <v>7500000</v>
      </c>
      <c r="U537" s="7"/>
      <c r="V537" s="7"/>
      <c r="W537" s="36"/>
      <c r="X537" s="36">
        <f t="shared" si="68"/>
        <v>0</v>
      </c>
      <c r="Y537" s="36">
        <f t="shared" si="69"/>
        <v>0</v>
      </c>
      <c r="Z537" s="36">
        <f t="shared" si="70"/>
        <v>0</v>
      </c>
      <c r="AA537" s="4"/>
      <c r="AB537" s="79"/>
    </row>
    <row r="538" spans="1:28" ht="31.2" x14ac:dyDescent="0.3">
      <c r="A538" s="7" t="s">
        <v>53</v>
      </c>
      <c r="B538" s="6">
        <v>517</v>
      </c>
      <c r="C538" s="7" t="s">
        <v>2020</v>
      </c>
      <c r="D538" s="7" t="s">
        <v>2187</v>
      </c>
      <c r="E538" s="7" t="s">
        <v>2188</v>
      </c>
      <c r="F538" s="7" t="s">
        <v>2189</v>
      </c>
      <c r="G538" s="7" t="s">
        <v>2190</v>
      </c>
      <c r="H538" s="5"/>
      <c r="I538" s="7" t="s">
        <v>2191</v>
      </c>
      <c r="J538" s="7" t="s">
        <v>24</v>
      </c>
      <c r="K538" s="7" t="s">
        <v>2192</v>
      </c>
      <c r="L538" s="3">
        <v>2003285520</v>
      </c>
      <c r="M538" s="3">
        <v>13015264</v>
      </c>
      <c r="N538" s="3">
        <v>7500000</v>
      </c>
      <c r="O538" s="40"/>
      <c r="P538" s="40"/>
      <c r="Q538" s="3">
        <f t="shared" si="67"/>
        <v>2023800784</v>
      </c>
      <c r="R538" s="3">
        <v>2003285520</v>
      </c>
      <c r="S538" s="7"/>
      <c r="T538" s="30">
        <v>7500000</v>
      </c>
      <c r="U538" s="7"/>
      <c r="V538" s="7"/>
      <c r="W538" s="36"/>
      <c r="X538" s="36">
        <f t="shared" si="68"/>
        <v>13015264</v>
      </c>
      <c r="Y538" s="36">
        <f t="shared" si="69"/>
        <v>0</v>
      </c>
      <c r="Z538" s="36">
        <f t="shared" si="70"/>
        <v>0</v>
      </c>
      <c r="AA538" s="4"/>
      <c r="AB538" s="79"/>
    </row>
    <row r="539" spans="1:28" ht="31.2" x14ac:dyDescent="0.3">
      <c r="A539" s="7" t="s">
        <v>46</v>
      </c>
      <c r="B539" s="6">
        <v>518</v>
      </c>
      <c r="C539" s="7" t="s">
        <v>2020</v>
      </c>
      <c r="D539" s="7" t="s">
        <v>2193</v>
      </c>
      <c r="E539" s="5"/>
      <c r="F539" s="7" t="s">
        <v>2194</v>
      </c>
      <c r="G539" s="5"/>
      <c r="H539" s="5"/>
      <c r="I539" s="7" t="s">
        <v>2195</v>
      </c>
      <c r="J539" s="7" t="s">
        <v>24</v>
      </c>
      <c r="K539" s="7" t="s">
        <v>2196</v>
      </c>
      <c r="L539" s="3">
        <v>6145577620</v>
      </c>
      <c r="M539" s="5"/>
      <c r="N539" s="3">
        <v>15000000</v>
      </c>
      <c r="O539" s="40" t="s">
        <v>691</v>
      </c>
      <c r="P539" s="10">
        <v>38666675</v>
      </c>
      <c r="Q539" s="3">
        <f t="shared" si="67"/>
        <v>6199244295</v>
      </c>
      <c r="R539" s="3">
        <v>6145577620</v>
      </c>
      <c r="S539" s="7"/>
      <c r="T539" s="30">
        <v>15000000</v>
      </c>
      <c r="U539" s="3">
        <v>38666675</v>
      </c>
      <c r="V539" s="7"/>
      <c r="W539" s="36"/>
      <c r="X539" s="36">
        <f t="shared" si="68"/>
        <v>0</v>
      </c>
      <c r="Y539" s="36">
        <f t="shared" si="69"/>
        <v>0</v>
      </c>
      <c r="Z539" s="36">
        <f t="shared" si="70"/>
        <v>0</v>
      </c>
      <c r="AA539" s="4"/>
      <c r="AB539" s="79"/>
    </row>
    <row r="540" spans="1:28" ht="31.2" x14ac:dyDescent="0.3">
      <c r="A540" s="7" t="s">
        <v>1601</v>
      </c>
      <c r="B540" s="6">
        <v>519</v>
      </c>
      <c r="C540" s="7" t="s">
        <v>2020</v>
      </c>
      <c r="D540" s="7" t="s">
        <v>2197</v>
      </c>
      <c r="E540" s="5"/>
      <c r="F540" s="7" t="s">
        <v>2198</v>
      </c>
      <c r="G540" s="5"/>
      <c r="H540" s="5"/>
      <c r="I540" s="7" t="s">
        <v>2199</v>
      </c>
      <c r="J540" s="7" t="s">
        <v>24</v>
      </c>
      <c r="K540" s="7" t="s">
        <v>2200</v>
      </c>
      <c r="L540" s="3">
        <v>3246566830</v>
      </c>
      <c r="M540" s="5"/>
      <c r="N540" s="3">
        <v>15000000</v>
      </c>
      <c r="O540" s="40"/>
      <c r="P540" s="40"/>
      <c r="Q540" s="3">
        <f t="shared" si="67"/>
        <v>3261566830</v>
      </c>
      <c r="R540" s="36">
        <v>3246566830</v>
      </c>
      <c r="S540" s="7"/>
      <c r="T540" s="30">
        <v>15000000</v>
      </c>
      <c r="U540" s="7"/>
      <c r="V540" s="7"/>
      <c r="W540" s="36"/>
      <c r="X540" s="36">
        <f t="shared" si="68"/>
        <v>0</v>
      </c>
      <c r="Y540" s="36">
        <f t="shared" si="69"/>
        <v>0</v>
      </c>
      <c r="Z540" s="36">
        <f t="shared" si="70"/>
        <v>0</v>
      </c>
      <c r="AA540" s="4"/>
      <c r="AB540" s="79"/>
    </row>
    <row r="541" spans="1:28" ht="31.2" x14ac:dyDescent="0.3">
      <c r="A541" s="7" t="s">
        <v>18</v>
      </c>
      <c r="B541" s="6">
        <v>520</v>
      </c>
      <c r="C541" s="7" t="s">
        <v>2020</v>
      </c>
      <c r="D541" s="7" t="s">
        <v>2201</v>
      </c>
      <c r="E541" s="5"/>
      <c r="F541" s="7" t="s">
        <v>2202</v>
      </c>
      <c r="G541" s="5"/>
      <c r="H541" s="5"/>
      <c r="I541" s="7" t="s">
        <v>2203</v>
      </c>
      <c r="J541" s="7" t="s">
        <v>24</v>
      </c>
      <c r="K541" s="7" t="s">
        <v>2204</v>
      </c>
      <c r="L541" s="3">
        <v>223729420</v>
      </c>
      <c r="M541" s="5"/>
      <c r="N541" s="3">
        <v>7500000</v>
      </c>
      <c r="O541" s="40"/>
      <c r="P541" s="40"/>
      <c r="Q541" s="3">
        <f t="shared" si="67"/>
        <v>231229420</v>
      </c>
      <c r="R541" s="9">
        <v>223729420</v>
      </c>
      <c r="S541" s="7"/>
      <c r="T541" s="30">
        <v>7500000</v>
      </c>
      <c r="U541" s="7"/>
      <c r="V541" s="7"/>
      <c r="W541" s="36"/>
      <c r="X541" s="36">
        <f t="shared" si="68"/>
        <v>0</v>
      </c>
      <c r="Y541" s="36">
        <f t="shared" si="69"/>
        <v>0</v>
      </c>
      <c r="Z541" s="36">
        <f t="shared" si="70"/>
        <v>0</v>
      </c>
      <c r="AA541" s="4"/>
      <c r="AB541" s="79"/>
    </row>
    <row r="542" spans="1:28" ht="31.2" x14ac:dyDescent="0.3">
      <c r="A542" s="7" t="s">
        <v>18</v>
      </c>
      <c r="B542" s="6">
        <v>521</v>
      </c>
      <c r="C542" s="7" t="s">
        <v>2020</v>
      </c>
      <c r="D542" s="7" t="s">
        <v>2205</v>
      </c>
      <c r="E542" s="5"/>
      <c r="F542" s="7" t="s">
        <v>2206</v>
      </c>
      <c r="G542" s="5"/>
      <c r="H542" s="5"/>
      <c r="I542" s="7" t="s">
        <v>2207</v>
      </c>
      <c r="J542" s="7" t="s">
        <v>24</v>
      </c>
      <c r="K542" s="7" t="s">
        <v>2208</v>
      </c>
      <c r="L542" s="3">
        <v>1285007664</v>
      </c>
      <c r="M542" s="5"/>
      <c r="N542" s="3">
        <v>7500000</v>
      </c>
      <c r="O542" s="40"/>
      <c r="P542" s="40"/>
      <c r="Q542" s="3">
        <f t="shared" si="67"/>
        <v>1292507664</v>
      </c>
      <c r="R542" s="3">
        <v>1285007664</v>
      </c>
      <c r="S542" s="7"/>
      <c r="T542" s="30">
        <v>7500000</v>
      </c>
      <c r="U542" s="7"/>
      <c r="V542" s="7"/>
      <c r="W542" s="36"/>
      <c r="X542" s="36">
        <f t="shared" si="68"/>
        <v>0</v>
      </c>
      <c r="Y542" s="36">
        <f t="shared" si="69"/>
        <v>0</v>
      </c>
      <c r="Z542" s="36">
        <f t="shared" si="70"/>
        <v>0</v>
      </c>
      <c r="AA542" s="4"/>
      <c r="AB542" s="79"/>
    </row>
    <row r="543" spans="1:28" ht="31.2" x14ac:dyDescent="0.3">
      <c r="A543" s="7" t="s">
        <v>1601</v>
      </c>
      <c r="B543" s="6">
        <v>522</v>
      </c>
      <c r="C543" s="7" t="s">
        <v>2020</v>
      </c>
      <c r="D543" s="7" t="s">
        <v>2209</v>
      </c>
      <c r="E543" s="5"/>
      <c r="F543" s="7" t="s">
        <v>2210</v>
      </c>
      <c r="G543" s="5"/>
      <c r="H543" s="5"/>
      <c r="I543" s="7" t="s">
        <v>780</v>
      </c>
      <c r="J543" s="7" t="s">
        <v>24</v>
      </c>
      <c r="K543" s="7" t="s">
        <v>2211</v>
      </c>
      <c r="L543" s="3">
        <v>5627434044</v>
      </c>
      <c r="M543" s="5"/>
      <c r="N543" s="3">
        <v>7500000</v>
      </c>
      <c r="O543" s="40"/>
      <c r="P543" s="40"/>
      <c r="Q543" s="3">
        <f t="shared" si="67"/>
        <v>5634934044</v>
      </c>
      <c r="R543" s="36">
        <v>5627434044</v>
      </c>
      <c r="S543" s="7"/>
      <c r="T543" s="30">
        <v>7500000</v>
      </c>
      <c r="U543" s="7"/>
      <c r="V543" s="7"/>
      <c r="W543" s="36"/>
      <c r="X543" s="36">
        <f t="shared" si="68"/>
        <v>0</v>
      </c>
      <c r="Y543" s="36">
        <f t="shared" si="69"/>
        <v>0</v>
      </c>
      <c r="Z543" s="36">
        <f t="shared" si="70"/>
        <v>0</v>
      </c>
      <c r="AA543" s="4"/>
      <c r="AB543" s="79"/>
    </row>
    <row r="544" spans="1:28" ht="31.2" x14ac:dyDescent="0.3">
      <c r="A544" s="7" t="s">
        <v>18</v>
      </c>
      <c r="B544" s="6">
        <v>523</v>
      </c>
      <c r="C544" s="7" t="s">
        <v>2020</v>
      </c>
      <c r="D544" s="7" t="s">
        <v>2212</v>
      </c>
      <c r="E544" s="5"/>
      <c r="F544" s="7" t="s">
        <v>2213</v>
      </c>
      <c r="G544" s="5"/>
      <c r="H544" s="5"/>
      <c r="I544" s="7" t="s">
        <v>2214</v>
      </c>
      <c r="J544" s="7" t="s">
        <v>24</v>
      </c>
      <c r="K544" s="7" t="s">
        <v>2215</v>
      </c>
      <c r="L544" s="3">
        <v>538201300</v>
      </c>
      <c r="M544" s="5"/>
      <c r="N544" s="3">
        <v>7500000</v>
      </c>
      <c r="O544" s="40"/>
      <c r="P544" s="40"/>
      <c r="Q544" s="3">
        <f t="shared" si="67"/>
        <v>545701300</v>
      </c>
      <c r="R544" s="3">
        <v>538201300</v>
      </c>
      <c r="S544" s="7"/>
      <c r="T544" s="30">
        <v>7500000</v>
      </c>
      <c r="U544" s="7"/>
      <c r="V544" s="7"/>
      <c r="W544" s="36"/>
      <c r="X544" s="36">
        <f t="shared" si="68"/>
        <v>0</v>
      </c>
      <c r="Y544" s="36">
        <f t="shared" si="69"/>
        <v>0</v>
      </c>
      <c r="Z544" s="36">
        <f t="shared" si="70"/>
        <v>0</v>
      </c>
      <c r="AA544" s="4"/>
      <c r="AB544" s="79"/>
    </row>
    <row r="545" spans="1:28" ht="31.2" x14ac:dyDescent="0.3">
      <c r="A545" s="7" t="s">
        <v>53</v>
      </c>
      <c r="B545" s="6">
        <v>524</v>
      </c>
      <c r="C545" s="7" t="s">
        <v>2020</v>
      </c>
      <c r="D545" s="7" t="s">
        <v>2216</v>
      </c>
      <c r="E545" s="5"/>
      <c r="F545" s="7" t="s">
        <v>2217</v>
      </c>
      <c r="G545" s="5"/>
      <c r="H545" s="5"/>
      <c r="I545" s="7" t="s">
        <v>2218</v>
      </c>
      <c r="J545" s="7" t="s">
        <v>24</v>
      </c>
      <c r="K545" s="7" t="s">
        <v>2219</v>
      </c>
      <c r="L545" s="3">
        <v>10000000</v>
      </c>
      <c r="M545" s="5"/>
      <c r="N545" s="3">
        <v>15000000</v>
      </c>
      <c r="O545" s="40"/>
      <c r="P545" s="40"/>
      <c r="Q545" s="3">
        <f t="shared" si="67"/>
        <v>25000000</v>
      </c>
      <c r="R545" s="7"/>
      <c r="S545" s="7"/>
      <c r="T545" s="72"/>
      <c r="U545" s="7"/>
      <c r="V545" s="7"/>
      <c r="W545" s="36">
        <v>10000000</v>
      </c>
      <c r="X545" s="36">
        <f t="shared" si="68"/>
        <v>0</v>
      </c>
      <c r="Y545" s="36">
        <f t="shared" si="69"/>
        <v>15000000</v>
      </c>
      <c r="Z545" s="36">
        <f t="shared" si="70"/>
        <v>0</v>
      </c>
      <c r="AA545" s="10">
        <v>10000000</v>
      </c>
      <c r="AB545" s="79"/>
    </row>
    <row r="546" spans="1:28" ht="31.2" x14ac:dyDescent="0.3">
      <c r="A546" s="7" t="s">
        <v>62</v>
      </c>
      <c r="B546" s="6">
        <v>525</v>
      </c>
      <c r="C546" s="7" t="s">
        <v>2020</v>
      </c>
      <c r="D546" s="7" t="s">
        <v>2220</v>
      </c>
      <c r="E546" s="5"/>
      <c r="F546" s="7" t="s">
        <v>2221</v>
      </c>
      <c r="G546" s="5"/>
      <c r="H546" s="5"/>
      <c r="I546" s="7" t="s">
        <v>2222</v>
      </c>
      <c r="J546" s="7" t="s">
        <v>24</v>
      </c>
      <c r="K546" s="7" t="s">
        <v>2223</v>
      </c>
      <c r="L546" s="3">
        <v>4378292398</v>
      </c>
      <c r="M546" s="5"/>
      <c r="N546" s="3">
        <v>15000000</v>
      </c>
      <c r="O546" s="40"/>
      <c r="P546" s="40"/>
      <c r="Q546" s="3">
        <f t="shared" si="67"/>
        <v>4393292398</v>
      </c>
      <c r="R546" s="3">
        <v>4378292398</v>
      </c>
      <c r="S546" s="7"/>
      <c r="T546" s="30">
        <v>15000000</v>
      </c>
      <c r="U546" s="7"/>
      <c r="V546" s="7"/>
      <c r="W546" s="36"/>
      <c r="X546" s="36">
        <f t="shared" si="68"/>
        <v>0</v>
      </c>
      <c r="Y546" s="36">
        <f t="shared" si="69"/>
        <v>0</v>
      </c>
      <c r="Z546" s="36">
        <f t="shared" si="70"/>
        <v>0</v>
      </c>
      <c r="AA546" s="4"/>
      <c r="AB546" s="79"/>
    </row>
    <row r="547" spans="1:28" ht="31.2" x14ac:dyDescent="0.3">
      <c r="A547" s="7" t="s">
        <v>62</v>
      </c>
      <c r="B547" s="6">
        <v>526</v>
      </c>
      <c r="C547" s="7" t="s">
        <v>2020</v>
      </c>
      <c r="D547" s="7" t="s">
        <v>2224</v>
      </c>
      <c r="E547" s="7" t="s">
        <v>2225</v>
      </c>
      <c r="F547" s="7" t="s">
        <v>2226</v>
      </c>
      <c r="G547" s="7" t="s">
        <v>2227</v>
      </c>
      <c r="H547" s="5"/>
      <c r="I547" s="7" t="s">
        <v>2228</v>
      </c>
      <c r="J547" s="7" t="s">
        <v>24</v>
      </c>
      <c r="K547" s="7" t="s">
        <v>2229</v>
      </c>
      <c r="L547" s="3">
        <v>2656684480</v>
      </c>
      <c r="M547" s="3">
        <v>485244740</v>
      </c>
      <c r="N547" s="3">
        <v>15000000</v>
      </c>
      <c r="O547" s="40"/>
      <c r="P547" s="40"/>
      <c r="Q547" s="3">
        <f t="shared" si="67"/>
        <v>3156929220</v>
      </c>
      <c r="R547" s="3">
        <v>2656684480</v>
      </c>
      <c r="S547" s="3">
        <v>485244740</v>
      </c>
      <c r="T547" s="30">
        <v>15000000</v>
      </c>
      <c r="U547" s="7"/>
      <c r="V547" s="7"/>
      <c r="W547" s="36"/>
      <c r="X547" s="36">
        <f t="shared" si="68"/>
        <v>0</v>
      </c>
      <c r="Y547" s="36">
        <f t="shared" si="69"/>
        <v>0</v>
      </c>
      <c r="Z547" s="36">
        <f t="shared" si="70"/>
        <v>0</v>
      </c>
      <c r="AA547" s="4"/>
      <c r="AB547" s="79"/>
    </row>
    <row r="548" spans="1:28" ht="31.2" x14ac:dyDescent="0.3">
      <c r="A548" s="7" t="s">
        <v>62</v>
      </c>
      <c r="B548" s="6">
        <v>527</v>
      </c>
      <c r="C548" s="7" t="s">
        <v>2020</v>
      </c>
      <c r="D548" s="7" t="s">
        <v>2230</v>
      </c>
      <c r="E548" s="5"/>
      <c r="F548" s="7" t="s">
        <v>2231</v>
      </c>
      <c r="G548" s="5"/>
      <c r="H548" s="5"/>
      <c r="I548" s="7" t="s">
        <v>2232</v>
      </c>
      <c r="J548" s="7" t="s">
        <v>24</v>
      </c>
      <c r="K548" s="7" t="s">
        <v>2233</v>
      </c>
      <c r="L548" s="3">
        <v>4868496144</v>
      </c>
      <c r="M548" s="5"/>
      <c r="N548" s="3">
        <v>15000000</v>
      </c>
      <c r="O548" s="40"/>
      <c r="P548" s="40"/>
      <c r="Q548" s="3">
        <f t="shared" si="67"/>
        <v>4883496144</v>
      </c>
      <c r="R548" s="3">
        <v>4868496144</v>
      </c>
      <c r="S548" s="7"/>
      <c r="T548" s="30">
        <v>15000000</v>
      </c>
      <c r="U548" s="7"/>
      <c r="V548" s="7"/>
      <c r="W548" s="36"/>
      <c r="X548" s="36">
        <f t="shared" si="68"/>
        <v>0</v>
      </c>
      <c r="Y548" s="36">
        <f t="shared" si="69"/>
        <v>0</v>
      </c>
      <c r="Z548" s="36">
        <f t="shared" si="70"/>
        <v>0</v>
      </c>
      <c r="AA548" s="4"/>
      <c r="AB548" s="79"/>
    </row>
    <row r="549" spans="1:28" ht="31.2" x14ac:dyDescent="0.3">
      <c r="A549" s="7" t="s">
        <v>46</v>
      </c>
      <c r="B549" s="6">
        <v>528</v>
      </c>
      <c r="C549" s="7" t="s">
        <v>2020</v>
      </c>
      <c r="D549" s="7" t="s">
        <v>2234</v>
      </c>
      <c r="E549" s="4"/>
      <c r="F549" s="7" t="s">
        <v>2235</v>
      </c>
      <c r="G549" s="5"/>
      <c r="H549" s="5"/>
      <c r="I549" s="7" t="s">
        <v>2236</v>
      </c>
      <c r="J549" s="7" t="s">
        <v>24</v>
      </c>
      <c r="K549" s="7" t="s">
        <v>2237</v>
      </c>
      <c r="L549" s="3">
        <v>4199771950</v>
      </c>
      <c r="M549" s="5"/>
      <c r="N549" s="3">
        <v>15000000</v>
      </c>
      <c r="O549" s="40" t="s">
        <v>378</v>
      </c>
      <c r="P549" s="10">
        <v>144000000</v>
      </c>
      <c r="Q549" s="3">
        <f t="shared" si="67"/>
        <v>4358771950</v>
      </c>
      <c r="R549" s="3">
        <v>4199771950</v>
      </c>
      <c r="S549" s="7"/>
      <c r="T549" s="30">
        <v>15000000</v>
      </c>
      <c r="U549" s="3">
        <v>144000000</v>
      </c>
      <c r="V549" s="7"/>
      <c r="W549" s="36"/>
      <c r="X549" s="36">
        <f t="shared" si="68"/>
        <v>0</v>
      </c>
      <c r="Y549" s="36">
        <f t="shared" si="69"/>
        <v>0</v>
      </c>
      <c r="Z549" s="36">
        <f t="shared" si="70"/>
        <v>0</v>
      </c>
      <c r="AA549" s="4"/>
      <c r="AB549" s="79"/>
    </row>
    <row r="550" spans="1:28" ht="31.2" x14ac:dyDescent="0.3">
      <c r="A550" s="7" t="s">
        <v>1601</v>
      </c>
      <c r="B550" s="6">
        <v>529</v>
      </c>
      <c r="C550" s="7" t="s">
        <v>2020</v>
      </c>
      <c r="D550" s="7" t="s">
        <v>2238</v>
      </c>
      <c r="E550" s="4"/>
      <c r="F550" s="7" t="s">
        <v>2239</v>
      </c>
      <c r="G550" s="5"/>
      <c r="H550" s="5"/>
      <c r="I550" s="7" t="s">
        <v>2240</v>
      </c>
      <c r="J550" s="7" t="s">
        <v>24</v>
      </c>
      <c r="K550" s="7" t="s">
        <v>2241</v>
      </c>
      <c r="L550" s="3">
        <v>4858859695</v>
      </c>
      <c r="M550" s="5"/>
      <c r="N550" s="3">
        <v>15000000</v>
      </c>
      <c r="O550" s="40"/>
      <c r="P550" s="40"/>
      <c r="Q550" s="3">
        <f t="shared" si="67"/>
        <v>4873859695</v>
      </c>
      <c r="R550" s="36">
        <v>4858859695</v>
      </c>
      <c r="S550" s="7"/>
      <c r="T550" s="30">
        <v>15000000</v>
      </c>
      <c r="U550" s="7"/>
      <c r="V550" s="7"/>
      <c r="W550" s="36"/>
      <c r="X550" s="36">
        <f t="shared" si="68"/>
        <v>0</v>
      </c>
      <c r="Y550" s="36">
        <f t="shared" si="69"/>
        <v>0</v>
      </c>
      <c r="Z550" s="36">
        <f t="shared" si="70"/>
        <v>0</v>
      </c>
      <c r="AA550" s="4"/>
      <c r="AB550" s="79"/>
    </row>
    <row r="551" spans="1:28" ht="31.2" x14ac:dyDescent="0.3">
      <c r="A551" s="7" t="s">
        <v>46</v>
      </c>
      <c r="B551" s="6">
        <v>530</v>
      </c>
      <c r="C551" s="7" t="s">
        <v>2020</v>
      </c>
      <c r="D551" s="7" t="s">
        <v>2242</v>
      </c>
      <c r="E551" s="4"/>
      <c r="F551" s="7" t="s">
        <v>2243</v>
      </c>
      <c r="G551" s="5"/>
      <c r="H551" s="5"/>
      <c r="I551" s="7" t="s">
        <v>2244</v>
      </c>
      <c r="J551" s="7" t="s">
        <v>24</v>
      </c>
      <c r="K551" s="7" t="s">
        <v>2245</v>
      </c>
      <c r="L551" s="3">
        <v>4879415244</v>
      </c>
      <c r="M551" s="5"/>
      <c r="N551" s="3">
        <v>15000000</v>
      </c>
      <c r="O551" s="40" t="s">
        <v>378</v>
      </c>
      <c r="P551" s="10">
        <v>72000000</v>
      </c>
      <c r="Q551" s="3">
        <f t="shared" si="67"/>
        <v>4966415244</v>
      </c>
      <c r="R551" s="3">
        <v>4879415244</v>
      </c>
      <c r="S551" s="7"/>
      <c r="T551" s="30">
        <v>15000000</v>
      </c>
      <c r="U551" s="3">
        <v>72000000</v>
      </c>
      <c r="V551" s="7"/>
      <c r="W551" s="36"/>
      <c r="X551" s="36">
        <f t="shared" si="68"/>
        <v>0</v>
      </c>
      <c r="Y551" s="36">
        <f t="shared" si="69"/>
        <v>0</v>
      </c>
      <c r="Z551" s="36">
        <f t="shared" si="70"/>
        <v>0</v>
      </c>
      <c r="AA551" s="4"/>
      <c r="AB551" s="79"/>
    </row>
    <row r="552" spans="1:28" ht="31.2" x14ac:dyDescent="0.3">
      <c r="A552" s="7" t="s">
        <v>62</v>
      </c>
      <c r="B552" s="6">
        <v>531</v>
      </c>
      <c r="C552" s="7" t="s">
        <v>2020</v>
      </c>
      <c r="D552" s="7" t="s">
        <v>2246</v>
      </c>
      <c r="E552" s="5"/>
      <c r="F552" s="7" t="s">
        <v>2247</v>
      </c>
      <c r="G552" s="5"/>
      <c r="H552" s="5"/>
      <c r="I552" s="7" t="s">
        <v>2248</v>
      </c>
      <c r="J552" s="7" t="s">
        <v>24</v>
      </c>
      <c r="K552" s="7" t="s">
        <v>2249</v>
      </c>
      <c r="L552" s="3">
        <v>31202908807</v>
      </c>
      <c r="M552" s="5"/>
      <c r="N552" s="3">
        <v>15000000</v>
      </c>
      <c r="O552" s="40"/>
      <c r="P552" s="40"/>
      <c r="Q552" s="3">
        <f t="shared" si="67"/>
        <v>31217908807</v>
      </c>
      <c r="R552" s="3">
        <v>31202908807</v>
      </c>
      <c r="S552" s="7"/>
      <c r="T552" s="30">
        <v>15000000</v>
      </c>
      <c r="U552" s="7"/>
      <c r="V552" s="7"/>
      <c r="W552" s="36"/>
      <c r="X552" s="36">
        <f t="shared" si="68"/>
        <v>0</v>
      </c>
      <c r="Y552" s="36">
        <f t="shared" si="69"/>
        <v>0</v>
      </c>
      <c r="Z552" s="36">
        <f t="shared" si="70"/>
        <v>0</v>
      </c>
      <c r="AA552" s="4"/>
      <c r="AB552" s="79"/>
    </row>
    <row r="553" spans="1:28" ht="31.2" x14ac:dyDescent="0.3">
      <c r="A553" s="7" t="s">
        <v>62</v>
      </c>
      <c r="B553" s="6">
        <v>532</v>
      </c>
      <c r="C553" s="7" t="s">
        <v>2250</v>
      </c>
      <c r="D553" s="7" t="s">
        <v>2251</v>
      </c>
      <c r="E553" s="5"/>
      <c r="F553" s="7" t="s">
        <v>2252</v>
      </c>
      <c r="G553" s="5"/>
      <c r="H553" s="7" t="s">
        <v>1707</v>
      </c>
      <c r="I553" s="7" t="s">
        <v>2253</v>
      </c>
      <c r="J553" s="7" t="s">
        <v>24</v>
      </c>
      <c r="K553" s="7" t="s">
        <v>2254</v>
      </c>
      <c r="L553" s="14">
        <v>8812588488</v>
      </c>
      <c r="M553" s="5"/>
      <c r="N553" s="14">
        <v>15000000</v>
      </c>
      <c r="O553" s="40"/>
      <c r="P553" s="40"/>
      <c r="Q553" s="3">
        <f t="shared" si="67"/>
        <v>8827588488</v>
      </c>
      <c r="R553" s="3">
        <v>8812588488</v>
      </c>
      <c r="S553" s="7"/>
      <c r="T553" s="30">
        <v>15000000</v>
      </c>
      <c r="U553" s="7"/>
      <c r="V553" s="7"/>
      <c r="W553" s="36"/>
      <c r="X553" s="36">
        <f t="shared" si="68"/>
        <v>0</v>
      </c>
      <c r="Y553" s="36">
        <f t="shared" si="69"/>
        <v>0</v>
      </c>
      <c r="Z553" s="36">
        <f t="shared" si="70"/>
        <v>0</v>
      </c>
      <c r="AA553" s="4"/>
      <c r="AB553" s="79"/>
    </row>
    <row r="554" spans="1:28" ht="31.2" x14ac:dyDescent="0.3">
      <c r="A554" s="7" t="s">
        <v>1601</v>
      </c>
      <c r="B554" s="6">
        <v>533</v>
      </c>
      <c r="C554" s="7" t="s">
        <v>2250</v>
      </c>
      <c r="D554" s="7" t="s">
        <v>2255</v>
      </c>
      <c r="E554" s="5"/>
      <c r="F554" s="7" t="s">
        <v>2256</v>
      </c>
      <c r="G554" s="5"/>
      <c r="H554" s="7" t="s">
        <v>1707</v>
      </c>
      <c r="I554" s="7" t="s">
        <v>2257</v>
      </c>
      <c r="J554" s="7" t="s">
        <v>24</v>
      </c>
      <c r="K554" s="7" t="s">
        <v>2258</v>
      </c>
      <c r="L554" s="14">
        <v>4149891920</v>
      </c>
      <c r="M554" s="5"/>
      <c r="N554" s="14">
        <v>15000000</v>
      </c>
      <c r="O554" s="40"/>
      <c r="P554" s="40"/>
      <c r="Q554" s="3">
        <f t="shared" si="67"/>
        <v>4164891920</v>
      </c>
      <c r="R554" s="36">
        <v>4149891920</v>
      </c>
      <c r="S554" s="7"/>
      <c r="T554" s="30">
        <v>15000000</v>
      </c>
      <c r="U554" s="7"/>
      <c r="V554" s="7"/>
      <c r="W554" s="36"/>
      <c r="X554" s="36">
        <f t="shared" si="68"/>
        <v>0</v>
      </c>
      <c r="Y554" s="36">
        <f t="shared" si="69"/>
        <v>0</v>
      </c>
      <c r="Z554" s="36">
        <f t="shared" si="70"/>
        <v>0</v>
      </c>
      <c r="AA554" s="4"/>
      <c r="AB554" s="79"/>
    </row>
    <row r="555" spans="1:28" ht="31.2" x14ac:dyDescent="0.4">
      <c r="A555" s="7" t="s">
        <v>46</v>
      </c>
      <c r="B555" s="6">
        <v>534</v>
      </c>
      <c r="C555" s="7" t="s">
        <v>2250</v>
      </c>
      <c r="D555" s="7" t="s">
        <v>2259</v>
      </c>
      <c r="E555" s="5"/>
      <c r="F555" s="7" t="s">
        <v>2260</v>
      </c>
      <c r="G555" s="5"/>
      <c r="H555" s="7" t="s">
        <v>1707</v>
      </c>
      <c r="I555" s="7" t="s">
        <v>2261</v>
      </c>
      <c r="J555" s="7" t="s">
        <v>24</v>
      </c>
      <c r="K555" s="7" t="s">
        <v>2219</v>
      </c>
      <c r="L555" s="14">
        <v>10000000</v>
      </c>
      <c r="M555" s="5"/>
      <c r="N555" s="14">
        <v>7500000</v>
      </c>
      <c r="O555" s="40"/>
      <c r="P555" s="40"/>
      <c r="Q555" s="3">
        <f t="shared" si="67"/>
        <v>17500000</v>
      </c>
      <c r="R555" s="7"/>
      <c r="S555" s="7"/>
      <c r="T555" s="72"/>
      <c r="U555" s="7"/>
      <c r="V555" s="7"/>
      <c r="W555" s="36">
        <v>10000000</v>
      </c>
      <c r="X555" s="36">
        <f t="shared" si="68"/>
        <v>0</v>
      </c>
      <c r="Y555" s="36">
        <f t="shared" si="69"/>
        <v>7500000</v>
      </c>
      <c r="Z555" s="36">
        <f t="shared" si="70"/>
        <v>0</v>
      </c>
      <c r="AA555" s="16">
        <v>10000000</v>
      </c>
      <c r="AB555" s="79"/>
    </row>
    <row r="556" spans="1:28" ht="31.2" x14ac:dyDescent="0.3">
      <c r="A556" s="7" t="s">
        <v>46</v>
      </c>
      <c r="B556" s="6">
        <v>535</v>
      </c>
      <c r="C556" s="7" t="s">
        <v>2250</v>
      </c>
      <c r="D556" s="7" t="s">
        <v>2262</v>
      </c>
      <c r="E556" s="7" t="s">
        <v>2188</v>
      </c>
      <c r="F556" s="7" t="s">
        <v>2263</v>
      </c>
      <c r="G556" s="7" t="s">
        <v>2264</v>
      </c>
      <c r="H556" s="7" t="s">
        <v>1707</v>
      </c>
      <c r="I556" s="7" t="s">
        <v>2265</v>
      </c>
      <c r="J556" s="7" t="s">
        <v>24</v>
      </c>
      <c r="K556" s="7" t="s">
        <v>2266</v>
      </c>
      <c r="L556" s="14">
        <v>1379679648</v>
      </c>
      <c r="M556" s="3">
        <v>3820831</v>
      </c>
      <c r="N556" s="14">
        <v>7500000</v>
      </c>
      <c r="O556" s="40"/>
      <c r="P556" s="40"/>
      <c r="Q556" s="3">
        <f t="shared" si="67"/>
        <v>1391000479</v>
      </c>
      <c r="R556" s="3">
        <v>1379679648</v>
      </c>
      <c r="S556" s="3">
        <v>3820831</v>
      </c>
      <c r="T556" s="30">
        <v>7500000</v>
      </c>
      <c r="U556" s="7"/>
      <c r="V556" s="7"/>
      <c r="W556" s="36"/>
      <c r="X556" s="36">
        <f t="shared" si="68"/>
        <v>0</v>
      </c>
      <c r="Y556" s="36">
        <f t="shared" si="69"/>
        <v>0</v>
      </c>
      <c r="Z556" s="36">
        <f t="shared" si="70"/>
        <v>0</v>
      </c>
      <c r="AA556" s="4"/>
      <c r="AB556" s="79"/>
    </row>
    <row r="557" spans="1:28" ht="31.2" x14ac:dyDescent="0.3">
      <c r="A557" s="7" t="s">
        <v>46</v>
      </c>
      <c r="B557" s="6">
        <v>536</v>
      </c>
      <c r="C557" s="7" t="s">
        <v>2250</v>
      </c>
      <c r="D557" s="7" t="s">
        <v>2267</v>
      </c>
      <c r="E557" s="7" t="s">
        <v>2268</v>
      </c>
      <c r="F557" s="7" t="s">
        <v>2269</v>
      </c>
      <c r="G557" s="7" t="s">
        <v>2270</v>
      </c>
      <c r="H557" s="7" t="s">
        <v>1707</v>
      </c>
      <c r="I557" s="7" t="s">
        <v>2271</v>
      </c>
      <c r="J557" s="7" t="s">
        <v>24</v>
      </c>
      <c r="K557" s="7" t="s">
        <v>2272</v>
      </c>
      <c r="L557" s="14">
        <v>5979511743</v>
      </c>
      <c r="M557" s="3">
        <v>745875</v>
      </c>
      <c r="N557" s="14">
        <v>7500000</v>
      </c>
      <c r="O557" s="40"/>
      <c r="P557" s="40"/>
      <c r="Q557" s="3">
        <f t="shared" si="67"/>
        <v>5987757618</v>
      </c>
      <c r="R557" s="3">
        <v>5979511743</v>
      </c>
      <c r="S557" s="7"/>
      <c r="T557" s="30">
        <v>7500000</v>
      </c>
      <c r="U557" s="7"/>
      <c r="V557" s="7"/>
      <c r="W557" s="36"/>
      <c r="X557" s="36">
        <f t="shared" si="68"/>
        <v>745875</v>
      </c>
      <c r="Y557" s="36">
        <f t="shared" si="69"/>
        <v>0</v>
      </c>
      <c r="Z557" s="36">
        <f t="shared" si="70"/>
        <v>0</v>
      </c>
      <c r="AA557" s="4"/>
      <c r="AB557" s="79"/>
    </row>
    <row r="558" spans="1:28" ht="31.2" x14ac:dyDescent="0.3">
      <c r="A558" s="7" t="s">
        <v>62</v>
      </c>
      <c r="B558" s="6">
        <v>537</v>
      </c>
      <c r="C558" s="7" t="s">
        <v>2250</v>
      </c>
      <c r="D558" s="7" t="s">
        <v>2273</v>
      </c>
      <c r="E558" s="5"/>
      <c r="F558" s="7" t="s">
        <v>2274</v>
      </c>
      <c r="G558" s="5"/>
      <c r="H558" s="7" t="s">
        <v>1707</v>
      </c>
      <c r="I558" s="7" t="s">
        <v>2275</v>
      </c>
      <c r="J558" s="7" t="s">
        <v>24</v>
      </c>
      <c r="K558" s="7" t="s">
        <v>2276</v>
      </c>
      <c r="L558" s="14">
        <v>5710253116</v>
      </c>
      <c r="M558" s="5"/>
      <c r="N558" s="14">
        <v>15000000</v>
      </c>
      <c r="O558" s="40"/>
      <c r="P558" s="40"/>
      <c r="Q558" s="3">
        <f t="shared" si="67"/>
        <v>5725253116</v>
      </c>
      <c r="R558" s="3">
        <v>5710253116</v>
      </c>
      <c r="S558" s="7"/>
      <c r="T558" s="30">
        <v>15000000</v>
      </c>
      <c r="U558" s="7"/>
      <c r="V558" s="7"/>
      <c r="W558" s="36"/>
      <c r="X558" s="36">
        <f t="shared" si="68"/>
        <v>0</v>
      </c>
      <c r="Y558" s="36">
        <f t="shared" si="69"/>
        <v>0</v>
      </c>
      <c r="Z558" s="36">
        <f t="shared" si="70"/>
        <v>0</v>
      </c>
      <c r="AA558" s="4"/>
      <c r="AB558" s="79"/>
    </row>
    <row r="559" spans="1:28" ht="31.2" x14ac:dyDescent="0.3">
      <c r="A559" s="7" t="s">
        <v>1601</v>
      </c>
      <c r="B559" s="6">
        <v>538</v>
      </c>
      <c r="C559" s="7" t="s">
        <v>2250</v>
      </c>
      <c r="D559" s="7" t="s">
        <v>2277</v>
      </c>
      <c r="E559" s="5"/>
      <c r="F559" s="7" t="s">
        <v>2278</v>
      </c>
      <c r="G559" s="5"/>
      <c r="H559" s="5"/>
      <c r="I559" s="7" t="s">
        <v>1708</v>
      </c>
      <c r="J559" s="7" t="s">
        <v>24</v>
      </c>
      <c r="K559" s="7" t="s">
        <v>2279</v>
      </c>
      <c r="L559" s="14">
        <v>1184198060</v>
      </c>
      <c r="M559" s="5"/>
      <c r="N559" s="14">
        <v>7500000</v>
      </c>
      <c r="O559" s="40"/>
      <c r="P559" s="40"/>
      <c r="Q559" s="3">
        <f t="shared" si="67"/>
        <v>1191698060</v>
      </c>
      <c r="R559" s="36">
        <v>1184198060</v>
      </c>
      <c r="S559" s="7"/>
      <c r="T559" s="72"/>
      <c r="U559" s="7"/>
      <c r="V559" s="7"/>
      <c r="W559" s="36"/>
      <c r="X559" s="36">
        <f t="shared" si="68"/>
        <v>0</v>
      </c>
      <c r="Y559" s="36">
        <f t="shared" si="69"/>
        <v>7500000</v>
      </c>
      <c r="Z559" s="36">
        <f t="shared" si="70"/>
        <v>0</v>
      </c>
      <c r="AA559" s="4"/>
      <c r="AB559" s="79"/>
    </row>
    <row r="560" spans="1:28" ht="31.2" x14ac:dyDescent="0.3">
      <c r="A560" s="7" t="s">
        <v>1601</v>
      </c>
      <c r="B560" s="6">
        <v>539</v>
      </c>
      <c r="C560" s="7" t="s">
        <v>2250</v>
      </c>
      <c r="D560" s="7" t="s">
        <v>2280</v>
      </c>
      <c r="E560" s="5"/>
      <c r="F560" s="7" t="s">
        <v>2281</v>
      </c>
      <c r="G560" s="5"/>
      <c r="H560" s="7" t="s">
        <v>1707</v>
      </c>
      <c r="I560" s="7" t="s">
        <v>2282</v>
      </c>
      <c r="J560" s="7" t="s">
        <v>24</v>
      </c>
      <c r="K560" s="7" t="s">
        <v>2283</v>
      </c>
      <c r="L560" s="14">
        <v>124624714</v>
      </c>
      <c r="M560" s="5"/>
      <c r="N560" s="14">
        <v>7500000</v>
      </c>
      <c r="O560" s="40"/>
      <c r="P560" s="40"/>
      <c r="Q560" s="3">
        <f t="shared" si="67"/>
        <v>132124714</v>
      </c>
      <c r="R560" s="36">
        <v>124624714</v>
      </c>
      <c r="S560" s="7"/>
      <c r="T560" s="30">
        <v>7500000</v>
      </c>
      <c r="U560" s="7"/>
      <c r="V560" s="7"/>
      <c r="W560" s="36"/>
      <c r="X560" s="36">
        <f t="shared" si="68"/>
        <v>0</v>
      </c>
      <c r="Y560" s="36">
        <f t="shared" si="69"/>
        <v>0</v>
      </c>
      <c r="Z560" s="36">
        <f t="shared" si="70"/>
        <v>0</v>
      </c>
      <c r="AA560" s="4"/>
      <c r="AB560" s="79"/>
    </row>
    <row r="561" spans="1:28" ht="31.2" x14ac:dyDescent="0.3">
      <c r="A561" s="7" t="s">
        <v>46</v>
      </c>
      <c r="B561" s="6">
        <v>540</v>
      </c>
      <c r="C561" s="7" t="s">
        <v>2250</v>
      </c>
      <c r="D561" s="7" t="s">
        <v>2284</v>
      </c>
      <c r="E561" s="7" t="s">
        <v>2285</v>
      </c>
      <c r="F561" s="7" t="s">
        <v>2286</v>
      </c>
      <c r="G561" s="7" t="s">
        <v>2287</v>
      </c>
      <c r="H561" s="7" t="s">
        <v>1707</v>
      </c>
      <c r="I561" s="21" t="s">
        <v>2288</v>
      </c>
      <c r="J561" s="7" t="s">
        <v>24</v>
      </c>
      <c r="K561" s="7" t="s">
        <v>2289</v>
      </c>
      <c r="L561" s="14">
        <v>11205643442</v>
      </c>
      <c r="M561" s="14">
        <v>412168376</v>
      </c>
      <c r="N561" s="14">
        <v>15000000</v>
      </c>
      <c r="O561" s="40"/>
      <c r="P561" s="40"/>
      <c r="Q561" s="3">
        <f t="shared" si="67"/>
        <v>11632811818</v>
      </c>
      <c r="R561" s="3">
        <v>11205643442</v>
      </c>
      <c r="S561" s="3">
        <v>412168376</v>
      </c>
      <c r="T561" s="30">
        <v>15000000</v>
      </c>
      <c r="U561" s="7"/>
      <c r="V561" s="7"/>
      <c r="W561" s="36"/>
      <c r="X561" s="36">
        <f t="shared" si="68"/>
        <v>0</v>
      </c>
      <c r="Y561" s="36">
        <f t="shared" si="69"/>
        <v>0</v>
      </c>
      <c r="Z561" s="36">
        <f t="shared" si="70"/>
        <v>0</v>
      </c>
      <c r="AA561" s="4"/>
      <c r="AB561" s="79"/>
    </row>
    <row r="562" spans="1:28" ht="42" x14ac:dyDescent="0.3">
      <c r="A562" s="7" t="s">
        <v>2290</v>
      </c>
      <c r="B562" s="6">
        <v>541</v>
      </c>
      <c r="C562" s="7" t="s">
        <v>2250</v>
      </c>
      <c r="D562" s="7" t="s">
        <v>2291</v>
      </c>
      <c r="E562" s="7" t="s">
        <v>1106</v>
      </c>
      <c r="F562" s="7" t="s">
        <v>2292</v>
      </c>
      <c r="G562" s="7" t="s">
        <v>251</v>
      </c>
      <c r="H562" s="5"/>
      <c r="I562" s="21" t="s">
        <v>2293</v>
      </c>
      <c r="J562" s="7" t="s">
        <v>24</v>
      </c>
      <c r="K562" s="7" t="s">
        <v>2294</v>
      </c>
      <c r="L562" s="14">
        <v>3903175140</v>
      </c>
      <c r="M562" s="14">
        <v>752143200</v>
      </c>
      <c r="N562" s="14">
        <v>7500000</v>
      </c>
      <c r="O562" s="40"/>
      <c r="P562" s="40"/>
      <c r="Q562" s="3">
        <f t="shared" si="67"/>
        <v>4662818340</v>
      </c>
      <c r="R562" s="3">
        <v>3903175140</v>
      </c>
      <c r="S562" s="3">
        <v>752143200</v>
      </c>
      <c r="T562" s="30">
        <v>7500000</v>
      </c>
      <c r="U562" s="7"/>
      <c r="V562" s="7"/>
      <c r="W562" s="36"/>
      <c r="X562" s="36">
        <f t="shared" si="68"/>
        <v>0</v>
      </c>
      <c r="Y562" s="36">
        <f t="shared" si="69"/>
        <v>0</v>
      </c>
      <c r="Z562" s="36">
        <f t="shared" si="70"/>
        <v>0</v>
      </c>
      <c r="AA562" s="4"/>
      <c r="AB562" s="79"/>
    </row>
    <row r="563" spans="1:28" ht="31.2" x14ac:dyDescent="0.3">
      <c r="A563" s="7" t="s">
        <v>18</v>
      </c>
      <c r="B563" s="6">
        <v>542</v>
      </c>
      <c r="C563" s="7" t="s">
        <v>2250</v>
      </c>
      <c r="D563" s="7" t="s">
        <v>2295</v>
      </c>
      <c r="E563" s="5"/>
      <c r="F563" s="7" t="s">
        <v>2296</v>
      </c>
      <c r="G563" s="5"/>
      <c r="H563" s="5"/>
      <c r="I563" s="21" t="s">
        <v>2297</v>
      </c>
      <c r="J563" s="7" t="s">
        <v>24</v>
      </c>
      <c r="K563" s="7" t="s">
        <v>2298</v>
      </c>
      <c r="L563" s="14">
        <v>32247210000</v>
      </c>
      <c r="M563" s="5"/>
      <c r="N563" s="14">
        <v>15000000</v>
      </c>
      <c r="O563" s="40"/>
      <c r="P563" s="40"/>
      <c r="Q563" s="3">
        <f t="shared" si="67"/>
        <v>32262210000</v>
      </c>
      <c r="R563" s="3">
        <v>32247210000</v>
      </c>
      <c r="S563" s="7"/>
      <c r="T563" s="72"/>
      <c r="U563" s="7"/>
      <c r="V563" s="7"/>
      <c r="W563" s="36"/>
      <c r="X563" s="36">
        <f t="shared" si="68"/>
        <v>0</v>
      </c>
      <c r="Y563" s="36">
        <f t="shared" si="69"/>
        <v>15000000</v>
      </c>
      <c r="Z563" s="36">
        <f t="shared" si="70"/>
        <v>0</v>
      </c>
      <c r="AA563" s="4"/>
      <c r="AB563" s="79"/>
    </row>
    <row r="564" spans="1:28" ht="32.4" customHeight="1" x14ac:dyDescent="0.3">
      <c r="A564" s="7"/>
      <c r="B564" s="148">
        <v>543</v>
      </c>
      <c r="C564" s="148" t="s">
        <v>2250</v>
      </c>
      <c r="D564" s="7"/>
      <c r="E564" s="5"/>
      <c r="F564" s="148" t="s">
        <v>2300</v>
      </c>
      <c r="G564" s="5"/>
      <c r="H564" s="5"/>
      <c r="I564" s="162" t="s">
        <v>2301</v>
      </c>
      <c r="J564" s="148" t="s">
        <v>24</v>
      </c>
      <c r="K564" s="148" t="s">
        <v>2302</v>
      </c>
      <c r="L564" s="14"/>
      <c r="M564" s="5"/>
      <c r="N564" s="14"/>
      <c r="O564" s="40" t="s">
        <v>3448</v>
      </c>
      <c r="P564" s="10">
        <v>120000000</v>
      </c>
      <c r="Q564" s="3"/>
      <c r="R564" s="3"/>
      <c r="S564" s="7"/>
      <c r="T564" s="72"/>
      <c r="U564" s="3">
        <v>120000000</v>
      </c>
      <c r="V564" s="7"/>
      <c r="W564" s="36"/>
      <c r="X564" s="36"/>
      <c r="Y564" s="36"/>
      <c r="Z564" s="36">
        <f t="shared" si="70"/>
        <v>0</v>
      </c>
      <c r="AA564" s="4"/>
      <c r="AB564" s="79"/>
    </row>
    <row r="565" spans="1:28" ht="31.2" x14ac:dyDescent="0.3">
      <c r="A565" s="7" t="s">
        <v>18</v>
      </c>
      <c r="B565" s="149"/>
      <c r="C565" s="149"/>
      <c r="D565" s="7" t="s">
        <v>2299</v>
      </c>
      <c r="E565" s="5"/>
      <c r="F565" s="149"/>
      <c r="G565" s="5"/>
      <c r="H565" s="5"/>
      <c r="I565" s="163"/>
      <c r="J565" s="149"/>
      <c r="K565" s="149"/>
      <c r="L565" s="14">
        <v>3019503424</v>
      </c>
      <c r="M565" s="5"/>
      <c r="N565" s="14">
        <v>15000000</v>
      </c>
      <c r="O565" s="7" t="s">
        <v>3829</v>
      </c>
      <c r="P565" s="3">
        <v>120000000</v>
      </c>
      <c r="Q565" s="3">
        <f t="shared" ref="Q565:Q596" si="71">L565+M565+N565+P565</f>
        <v>3154503424</v>
      </c>
      <c r="R565" s="3">
        <v>3019503424</v>
      </c>
      <c r="S565" s="7"/>
      <c r="T565" s="30">
        <v>15000000</v>
      </c>
      <c r="U565" s="3"/>
      <c r="V565" s="7"/>
      <c r="W565" s="36"/>
      <c r="X565" s="36">
        <f t="shared" ref="X565:X596" si="72">M565-S565</f>
        <v>0</v>
      </c>
      <c r="Y565" s="36">
        <f t="shared" ref="Y565:Y596" si="73">N565-T565</f>
        <v>0</v>
      </c>
      <c r="Z565" s="36">
        <f t="shared" si="70"/>
        <v>120000000</v>
      </c>
      <c r="AA565" s="4"/>
      <c r="AB565" s="83" t="s">
        <v>3864</v>
      </c>
    </row>
    <row r="566" spans="1:28" s="98" customFormat="1" ht="62.4" x14ac:dyDescent="0.3">
      <c r="A566" s="89" t="s">
        <v>18</v>
      </c>
      <c r="B566" s="99">
        <v>544</v>
      </c>
      <c r="C566" s="89" t="s">
        <v>2250</v>
      </c>
      <c r="D566" s="89" t="s">
        <v>2303</v>
      </c>
      <c r="E566" s="89" t="s">
        <v>1349</v>
      </c>
      <c r="F566" s="89" t="s">
        <v>2304</v>
      </c>
      <c r="G566" s="100"/>
      <c r="H566" s="100"/>
      <c r="I566" s="101" t="s">
        <v>2305</v>
      </c>
      <c r="J566" s="89" t="s">
        <v>24</v>
      </c>
      <c r="K566" s="89" t="s">
        <v>2306</v>
      </c>
      <c r="L566" s="90">
        <v>4492043428</v>
      </c>
      <c r="M566" s="106">
        <v>1612138368</v>
      </c>
      <c r="N566" s="90">
        <v>15000000</v>
      </c>
      <c r="O566" s="91" t="s">
        <v>1716</v>
      </c>
      <c r="P566" s="103">
        <v>72000000</v>
      </c>
      <c r="Q566" s="93">
        <f t="shared" si="71"/>
        <v>6191181796</v>
      </c>
      <c r="R566" s="93">
        <v>4492043428</v>
      </c>
      <c r="S566" s="93">
        <v>1612138368</v>
      </c>
      <c r="T566" s="94">
        <v>15000000</v>
      </c>
      <c r="U566" s="93">
        <v>24000000</v>
      </c>
      <c r="V566" s="89"/>
      <c r="W566" s="95"/>
      <c r="X566" s="95">
        <f t="shared" si="72"/>
        <v>0</v>
      </c>
      <c r="Y566" s="95">
        <f t="shared" si="73"/>
        <v>0</v>
      </c>
      <c r="Z566" s="95">
        <f t="shared" si="70"/>
        <v>48000000</v>
      </c>
      <c r="AA566" s="96"/>
      <c r="AB566" s="97" t="s">
        <v>3853</v>
      </c>
    </row>
    <row r="567" spans="1:28" ht="42" x14ac:dyDescent="0.3">
      <c r="A567" s="7" t="s">
        <v>46</v>
      </c>
      <c r="B567" s="6">
        <v>545</v>
      </c>
      <c r="C567" s="7" t="s">
        <v>2250</v>
      </c>
      <c r="D567" s="7" t="s">
        <v>2307</v>
      </c>
      <c r="E567" s="5"/>
      <c r="F567" s="7" t="s">
        <v>2308</v>
      </c>
      <c r="G567" s="5"/>
      <c r="H567" s="7" t="s">
        <v>1707</v>
      </c>
      <c r="I567" s="21" t="s">
        <v>2309</v>
      </c>
      <c r="J567" s="7" t="s">
        <v>24</v>
      </c>
      <c r="K567" s="7" t="s">
        <v>2112</v>
      </c>
      <c r="L567" s="14">
        <v>4323287659</v>
      </c>
      <c r="M567" s="5"/>
      <c r="N567" s="14">
        <v>7500000</v>
      </c>
      <c r="O567" s="40"/>
      <c r="P567" s="40"/>
      <c r="Q567" s="3">
        <f t="shared" si="71"/>
        <v>4330787659</v>
      </c>
      <c r="R567" s="3">
        <v>4323287659</v>
      </c>
      <c r="S567" s="7"/>
      <c r="T567" s="30">
        <v>7500000</v>
      </c>
      <c r="U567" s="7"/>
      <c r="V567" s="7"/>
      <c r="W567" s="36"/>
      <c r="X567" s="36">
        <f t="shared" si="72"/>
        <v>0</v>
      </c>
      <c r="Y567" s="36">
        <f t="shared" si="73"/>
        <v>0</v>
      </c>
      <c r="Z567" s="36">
        <f t="shared" si="70"/>
        <v>0</v>
      </c>
      <c r="AA567" s="4"/>
      <c r="AB567" s="79"/>
    </row>
    <row r="568" spans="1:28" ht="63" x14ac:dyDescent="0.3">
      <c r="A568" s="7" t="s">
        <v>62</v>
      </c>
      <c r="B568" s="6">
        <v>546</v>
      </c>
      <c r="C568" s="7" t="s">
        <v>2250</v>
      </c>
      <c r="D568" s="7" t="s">
        <v>2310</v>
      </c>
      <c r="E568" s="5"/>
      <c r="F568" s="7" t="s">
        <v>2311</v>
      </c>
      <c r="G568" s="5"/>
      <c r="H568" s="7" t="s">
        <v>1707</v>
      </c>
      <c r="I568" s="21" t="s">
        <v>2312</v>
      </c>
      <c r="J568" s="7" t="s">
        <v>24</v>
      </c>
      <c r="K568" s="7" t="s">
        <v>2313</v>
      </c>
      <c r="L568" s="14">
        <v>5670213620</v>
      </c>
      <c r="M568" s="5"/>
      <c r="N568" s="14">
        <v>15000000</v>
      </c>
      <c r="O568" s="40" t="s">
        <v>378</v>
      </c>
      <c r="P568" s="10">
        <v>42000000</v>
      </c>
      <c r="Q568" s="3">
        <f t="shared" si="71"/>
        <v>5727213620</v>
      </c>
      <c r="R568" s="3">
        <v>5670213620</v>
      </c>
      <c r="S568" s="7"/>
      <c r="T568" s="72"/>
      <c r="U568" s="7"/>
      <c r="V568" s="7"/>
      <c r="W568" s="36"/>
      <c r="X568" s="36">
        <f t="shared" si="72"/>
        <v>0</v>
      </c>
      <c r="Y568" s="36">
        <f t="shared" si="73"/>
        <v>15000000</v>
      </c>
      <c r="Z568" s="36">
        <f t="shared" si="70"/>
        <v>42000000</v>
      </c>
      <c r="AA568" s="4"/>
      <c r="AB568" s="80" t="s">
        <v>3822</v>
      </c>
    </row>
    <row r="569" spans="1:28" ht="31.2" x14ac:dyDescent="0.3">
      <c r="A569" s="7" t="s">
        <v>46</v>
      </c>
      <c r="B569" s="6">
        <v>547</v>
      </c>
      <c r="C569" s="7" t="s">
        <v>2250</v>
      </c>
      <c r="D569" s="7" t="s">
        <v>2314</v>
      </c>
      <c r="E569" s="5"/>
      <c r="F569" s="7" t="s">
        <v>2315</v>
      </c>
      <c r="G569" s="5"/>
      <c r="H569" s="7" t="s">
        <v>1707</v>
      </c>
      <c r="I569" s="21" t="s">
        <v>2316</v>
      </c>
      <c r="J569" s="7" t="s">
        <v>24</v>
      </c>
      <c r="K569" s="7" t="s">
        <v>2317</v>
      </c>
      <c r="L569" s="14">
        <v>2859676109</v>
      </c>
      <c r="M569" s="5"/>
      <c r="N569" s="14">
        <v>7500000</v>
      </c>
      <c r="O569" s="40"/>
      <c r="P569" s="40"/>
      <c r="Q569" s="3">
        <f t="shared" si="71"/>
        <v>2867176109</v>
      </c>
      <c r="R569" s="3">
        <v>2859676109</v>
      </c>
      <c r="S569" s="7"/>
      <c r="T569" s="30">
        <v>7500000</v>
      </c>
      <c r="U569" s="7"/>
      <c r="V569" s="7"/>
      <c r="W569" s="36"/>
      <c r="X569" s="36">
        <f t="shared" si="72"/>
        <v>0</v>
      </c>
      <c r="Y569" s="36">
        <f t="shared" si="73"/>
        <v>0</v>
      </c>
      <c r="Z569" s="36">
        <f t="shared" si="70"/>
        <v>0</v>
      </c>
      <c r="AA569" s="4"/>
      <c r="AB569" s="79"/>
    </row>
    <row r="570" spans="1:28" ht="31.2" x14ac:dyDescent="0.3">
      <c r="A570" s="7" t="s">
        <v>2318</v>
      </c>
      <c r="B570" s="6">
        <v>548</v>
      </c>
      <c r="C570" s="7" t="s">
        <v>2250</v>
      </c>
      <c r="D570" s="7" t="s">
        <v>2319</v>
      </c>
      <c r="E570" s="5"/>
      <c r="F570" s="7" t="s">
        <v>2320</v>
      </c>
      <c r="G570" s="5"/>
      <c r="H570" s="5"/>
      <c r="I570" s="21" t="s">
        <v>2321</v>
      </c>
      <c r="J570" s="7" t="s">
        <v>24</v>
      </c>
      <c r="K570" s="7" t="s">
        <v>2322</v>
      </c>
      <c r="L570" s="14">
        <v>8344894680</v>
      </c>
      <c r="M570" s="5"/>
      <c r="N570" s="14">
        <v>15000000</v>
      </c>
      <c r="O570" s="40" t="s">
        <v>182</v>
      </c>
      <c r="P570" s="10">
        <v>120000000</v>
      </c>
      <c r="Q570" s="3">
        <f t="shared" si="71"/>
        <v>8479894680</v>
      </c>
      <c r="R570" s="3">
        <v>8344894680</v>
      </c>
      <c r="S570" s="7"/>
      <c r="T570" s="30">
        <v>15000000</v>
      </c>
      <c r="U570" s="3">
        <v>120000000</v>
      </c>
      <c r="V570" s="7"/>
      <c r="W570" s="36"/>
      <c r="X570" s="36">
        <f t="shared" si="72"/>
        <v>0</v>
      </c>
      <c r="Y570" s="36">
        <f t="shared" si="73"/>
        <v>0</v>
      </c>
      <c r="Z570" s="36">
        <f t="shared" si="70"/>
        <v>0</v>
      </c>
      <c r="AA570" s="4"/>
      <c r="AB570" s="79"/>
    </row>
    <row r="571" spans="1:28" ht="126" x14ac:dyDescent="0.3">
      <c r="A571" s="7" t="s">
        <v>46</v>
      </c>
      <c r="B571" s="6">
        <v>549</v>
      </c>
      <c r="C571" s="7" t="s">
        <v>2323</v>
      </c>
      <c r="D571" s="7" t="s">
        <v>2324</v>
      </c>
      <c r="E571" s="7" t="s">
        <v>2325</v>
      </c>
      <c r="F571" s="7" t="s">
        <v>2326</v>
      </c>
      <c r="G571" s="7" t="s">
        <v>2327</v>
      </c>
      <c r="H571" s="5"/>
      <c r="I571" s="21" t="s">
        <v>2328</v>
      </c>
      <c r="J571" s="7" t="s">
        <v>24</v>
      </c>
      <c r="K571" s="7" t="s">
        <v>2329</v>
      </c>
      <c r="L571" s="14">
        <v>3029579080</v>
      </c>
      <c r="M571" s="14">
        <v>1093270920</v>
      </c>
      <c r="N571" s="14">
        <v>15000000</v>
      </c>
      <c r="O571" s="40"/>
      <c r="P571" s="40"/>
      <c r="Q571" s="3">
        <f t="shared" si="71"/>
        <v>4137850000</v>
      </c>
      <c r="R571" s="3">
        <v>3029579080</v>
      </c>
      <c r="S571" s="3">
        <v>1093270920</v>
      </c>
      <c r="T571" s="30">
        <v>15000000</v>
      </c>
      <c r="U571" s="7"/>
      <c r="V571" s="7"/>
      <c r="W571" s="36"/>
      <c r="X571" s="36">
        <f t="shared" si="72"/>
        <v>0</v>
      </c>
      <c r="Y571" s="36">
        <f t="shared" si="73"/>
        <v>0</v>
      </c>
      <c r="Z571" s="36">
        <f t="shared" si="70"/>
        <v>0</v>
      </c>
      <c r="AA571" s="4"/>
      <c r="AB571" s="79"/>
    </row>
    <row r="572" spans="1:28" ht="31.2" x14ac:dyDescent="0.3">
      <c r="A572" s="7" t="s">
        <v>2290</v>
      </c>
      <c r="B572" s="6">
        <v>550</v>
      </c>
      <c r="C572" s="7" t="s">
        <v>2323</v>
      </c>
      <c r="D572" s="7" t="s">
        <v>2330</v>
      </c>
      <c r="E572" s="5"/>
      <c r="F572" s="7" t="s">
        <v>2331</v>
      </c>
      <c r="G572" s="5"/>
      <c r="H572" s="5"/>
      <c r="I572" s="21" t="s">
        <v>2332</v>
      </c>
      <c r="J572" s="7" t="s">
        <v>24</v>
      </c>
      <c r="K572" s="7" t="s">
        <v>2333</v>
      </c>
      <c r="L572" s="14">
        <v>3126839264</v>
      </c>
      <c r="M572" s="5"/>
      <c r="N572" s="14">
        <v>15000000</v>
      </c>
      <c r="O572" s="40"/>
      <c r="P572" s="40"/>
      <c r="Q572" s="3">
        <f t="shared" si="71"/>
        <v>3141839264</v>
      </c>
      <c r="R572" s="3">
        <v>3126839264</v>
      </c>
      <c r="S572" s="7"/>
      <c r="T572" s="30">
        <v>15000000</v>
      </c>
      <c r="U572" s="7"/>
      <c r="V572" s="7"/>
      <c r="W572" s="36"/>
      <c r="X572" s="36">
        <f t="shared" si="72"/>
        <v>0</v>
      </c>
      <c r="Y572" s="36">
        <f t="shared" si="73"/>
        <v>0</v>
      </c>
      <c r="Z572" s="36">
        <f t="shared" si="70"/>
        <v>0</v>
      </c>
      <c r="AA572" s="4"/>
      <c r="AB572" s="79"/>
    </row>
    <row r="573" spans="1:28" ht="42" x14ac:dyDescent="0.3">
      <c r="A573" s="7" t="s">
        <v>2290</v>
      </c>
      <c r="B573" s="6">
        <v>551</v>
      </c>
      <c r="C573" s="7" t="s">
        <v>2323</v>
      </c>
      <c r="D573" s="7" t="s">
        <v>2334</v>
      </c>
      <c r="E573" s="5"/>
      <c r="F573" s="7" t="s">
        <v>2335</v>
      </c>
      <c r="G573" s="5"/>
      <c r="H573" s="5"/>
      <c r="I573" s="21" t="s">
        <v>2336</v>
      </c>
      <c r="J573" s="7" t="s">
        <v>24</v>
      </c>
      <c r="K573" s="7" t="s">
        <v>2337</v>
      </c>
      <c r="L573" s="14">
        <v>4445642144</v>
      </c>
      <c r="M573" s="5"/>
      <c r="N573" s="14">
        <v>15000000</v>
      </c>
      <c r="O573" s="40"/>
      <c r="P573" s="40"/>
      <c r="Q573" s="3">
        <f t="shared" si="71"/>
        <v>4460642144</v>
      </c>
      <c r="R573" s="3">
        <v>4445642144</v>
      </c>
      <c r="S573" s="7"/>
      <c r="T573" s="30">
        <v>15000000</v>
      </c>
      <c r="U573" s="7"/>
      <c r="V573" s="7"/>
      <c r="W573" s="36"/>
      <c r="X573" s="36">
        <f t="shared" si="72"/>
        <v>0</v>
      </c>
      <c r="Y573" s="36">
        <f t="shared" si="73"/>
        <v>0</v>
      </c>
      <c r="Z573" s="36">
        <f t="shared" si="70"/>
        <v>0</v>
      </c>
      <c r="AA573" s="4"/>
      <c r="AB573" s="79"/>
    </row>
    <row r="574" spans="1:28" ht="63" x14ac:dyDescent="0.3">
      <c r="A574" s="7" t="s">
        <v>46</v>
      </c>
      <c r="B574" s="6">
        <v>552</v>
      </c>
      <c r="C574" s="7" t="s">
        <v>2323</v>
      </c>
      <c r="D574" s="7" t="s">
        <v>2338</v>
      </c>
      <c r="E574" s="5"/>
      <c r="F574" s="7" t="s">
        <v>2339</v>
      </c>
      <c r="G574" s="5"/>
      <c r="H574" s="5"/>
      <c r="I574" s="21" t="s">
        <v>2340</v>
      </c>
      <c r="J574" s="7" t="s">
        <v>24</v>
      </c>
      <c r="K574" s="7" t="s">
        <v>2341</v>
      </c>
      <c r="L574" s="14">
        <v>1583134434</v>
      </c>
      <c r="M574" s="5"/>
      <c r="N574" s="14">
        <v>7500000</v>
      </c>
      <c r="O574" s="40"/>
      <c r="P574" s="40"/>
      <c r="Q574" s="3">
        <f t="shared" si="71"/>
        <v>1590634434</v>
      </c>
      <c r="R574" s="3">
        <v>1583134434</v>
      </c>
      <c r="S574" s="7"/>
      <c r="T574" s="30">
        <v>7500000</v>
      </c>
      <c r="U574" s="7"/>
      <c r="V574" s="7"/>
      <c r="W574" s="36"/>
      <c r="X574" s="36">
        <f t="shared" si="72"/>
        <v>0</v>
      </c>
      <c r="Y574" s="36">
        <f t="shared" si="73"/>
        <v>0</v>
      </c>
      <c r="Z574" s="36">
        <f t="shared" si="70"/>
        <v>0</v>
      </c>
      <c r="AA574" s="4"/>
      <c r="AB574" s="79"/>
    </row>
    <row r="575" spans="1:28" ht="42" x14ac:dyDescent="0.3">
      <c r="A575" s="7" t="s">
        <v>2290</v>
      </c>
      <c r="B575" s="6">
        <v>553</v>
      </c>
      <c r="C575" s="7" t="s">
        <v>2323</v>
      </c>
      <c r="D575" s="7" t="s">
        <v>2342</v>
      </c>
      <c r="E575" s="7" t="s">
        <v>2343</v>
      </c>
      <c r="F575" s="7" t="s">
        <v>2344</v>
      </c>
      <c r="G575" s="7" t="s">
        <v>2345</v>
      </c>
      <c r="H575" s="5"/>
      <c r="I575" s="21" t="s">
        <v>2346</v>
      </c>
      <c r="J575" s="7" t="s">
        <v>24</v>
      </c>
      <c r="K575" s="7" t="s">
        <v>2347</v>
      </c>
      <c r="L575" s="14">
        <v>4323930590</v>
      </c>
      <c r="M575" s="14">
        <v>575679508</v>
      </c>
      <c r="N575" s="14">
        <v>7500000</v>
      </c>
      <c r="O575" s="40"/>
      <c r="P575" s="40"/>
      <c r="Q575" s="3">
        <f t="shared" si="71"/>
        <v>4907110098</v>
      </c>
      <c r="R575" s="3">
        <v>4323930590</v>
      </c>
      <c r="S575" s="3">
        <v>575679508</v>
      </c>
      <c r="T575" s="72"/>
      <c r="U575" s="7"/>
      <c r="V575" s="7"/>
      <c r="W575" s="36"/>
      <c r="X575" s="36">
        <f t="shared" si="72"/>
        <v>0</v>
      </c>
      <c r="Y575" s="36">
        <f t="shared" si="73"/>
        <v>7500000</v>
      </c>
      <c r="Z575" s="36">
        <f t="shared" si="70"/>
        <v>0</v>
      </c>
      <c r="AA575" s="4"/>
      <c r="AB575" s="79"/>
    </row>
    <row r="576" spans="1:28" ht="42" x14ac:dyDescent="0.3">
      <c r="A576" s="7" t="s">
        <v>18</v>
      </c>
      <c r="B576" s="6">
        <v>554</v>
      </c>
      <c r="C576" s="7" t="s">
        <v>2323</v>
      </c>
      <c r="D576" s="7" t="s">
        <v>2348</v>
      </c>
      <c r="E576" s="5"/>
      <c r="F576" s="7" t="s">
        <v>2349</v>
      </c>
      <c r="G576" s="5"/>
      <c r="H576" s="5"/>
      <c r="I576" s="21" t="s">
        <v>2350</v>
      </c>
      <c r="J576" s="7" t="s">
        <v>24</v>
      </c>
      <c r="K576" s="7" t="s">
        <v>2351</v>
      </c>
      <c r="L576" s="14">
        <v>13618798440</v>
      </c>
      <c r="M576" s="5"/>
      <c r="N576" s="14">
        <v>15000000</v>
      </c>
      <c r="O576" s="40" t="s">
        <v>182</v>
      </c>
      <c r="P576" s="10">
        <v>144000000</v>
      </c>
      <c r="Q576" s="3">
        <f t="shared" si="71"/>
        <v>13777798440</v>
      </c>
      <c r="R576" s="3">
        <v>13618798440</v>
      </c>
      <c r="S576" s="7"/>
      <c r="T576" s="30">
        <v>15000000</v>
      </c>
      <c r="U576" s="3">
        <v>144000000</v>
      </c>
      <c r="V576" s="7"/>
      <c r="W576" s="36"/>
      <c r="X576" s="36">
        <f t="shared" si="72"/>
        <v>0</v>
      </c>
      <c r="Y576" s="36">
        <f t="shared" si="73"/>
        <v>0</v>
      </c>
      <c r="Z576" s="36">
        <f t="shared" si="70"/>
        <v>0</v>
      </c>
      <c r="AA576" s="4"/>
      <c r="AB576" s="79"/>
    </row>
    <row r="577" spans="1:28" ht="63" x14ac:dyDescent="0.3">
      <c r="A577" s="7" t="s">
        <v>18</v>
      </c>
      <c r="B577" s="6">
        <v>555</v>
      </c>
      <c r="C577" s="7" t="s">
        <v>2323</v>
      </c>
      <c r="D577" s="7" t="s">
        <v>2352</v>
      </c>
      <c r="E577" s="5"/>
      <c r="F577" s="7" t="s">
        <v>2353</v>
      </c>
      <c r="G577" s="5"/>
      <c r="H577" s="5"/>
      <c r="I577" s="21" t="s">
        <v>2354</v>
      </c>
      <c r="J577" s="7" t="s">
        <v>24</v>
      </c>
      <c r="K577" s="7" t="s">
        <v>2355</v>
      </c>
      <c r="L577" s="14">
        <v>7567136540</v>
      </c>
      <c r="M577" s="5"/>
      <c r="N577" s="14">
        <v>15000000</v>
      </c>
      <c r="O577" s="40"/>
      <c r="P577" s="40"/>
      <c r="Q577" s="3">
        <f t="shared" si="71"/>
        <v>7582136540</v>
      </c>
      <c r="R577" s="3">
        <v>7567136540</v>
      </c>
      <c r="S577" s="7"/>
      <c r="T577" s="30">
        <v>15000000</v>
      </c>
      <c r="U577" s="7"/>
      <c r="V577" s="7"/>
      <c r="W577" s="36"/>
      <c r="X577" s="36">
        <f t="shared" si="72"/>
        <v>0</v>
      </c>
      <c r="Y577" s="36">
        <f t="shared" si="73"/>
        <v>0</v>
      </c>
      <c r="Z577" s="36">
        <f t="shared" si="70"/>
        <v>0</v>
      </c>
      <c r="AA577" s="4"/>
      <c r="AB577" s="79"/>
    </row>
    <row r="578" spans="1:28" ht="42" x14ac:dyDescent="0.3">
      <c r="A578" s="7" t="s">
        <v>46</v>
      </c>
      <c r="B578" s="6">
        <v>556</v>
      </c>
      <c r="C578" s="7" t="s">
        <v>2323</v>
      </c>
      <c r="D578" s="7" t="s">
        <v>2356</v>
      </c>
      <c r="E578" s="5"/>
      <c r="F578" s="7" t="s">
        <v>2357</v>
      </c>
      <c r="G578" s="5"/>
      <c r="H578" s="5"/>
      <c r="I578" s="21" t="s">
        <v>2358</v>
      </c>
      <c r="J578" s="7" t="s">
        <v>24</v>
      </c>
      <c r="K578" s="7" t="s">
        <v>1696</v>
      </c>
      <c r="L578" s="14">
        <v>5507929500</v>
      </c>
      <c r="M578" s="5"/>
      <c r="N578" s="14">
        <v>7500000</v>
      </c>
      <c r="O578" s="40"/>
      <c r="P578" s="40"/>
      <c r="Q578" s="3">
        <f t="shared" si="71"/>
        <v>5515429500</v>
      </c>
      <c r="R578" s="3">
        <v>5507929500</v>
      </c>
      <c r="S578" s="7"/>
      <c r="T578" s="30">
        <v>7500000</v>
      </c>
      <c r="U578" s="7"/>
      <c r="V578" s="7"/>
      <c r="W578" s="36"/>
      <c r="X578" s="36">
        <f t="shared" si="72"/>
        <v>0</v>
      </c>
      <c r="Y578" s="36">
        <f t="shared" si="73"/>
        <v>0</v>
      </c>
      <c r="Z578" s="36">
        <f t="shared" si="70"/>
        <v>0</v>
      </c>
      <c r="AA578" s="4"/>
      <c r="AB578" s="79"/>
    </row>
    <row r="579" spans="1:28" ht="31.2" x14ac:dyDescent="0.3">
      <c r="A579" s="7" t="s">
        <v>62</v>
      </c>
      <c r="B579" s="6">
        <v>557</v>
      </c>
      <c r="C579" s="7" t="s">
        <v>2323</v>
      </c>
      <c r="D579" s="7" t="s">
        <v>2359</v>
      </c>
      <c r="E579" s="7" t="s">
        <v>2360</v>
      </c>
      <c r="F579" s="7" t="s">
        <v>2361</v>
      </c>
      <c r="G579" s="7" t="s">
        <v>2362</v>
      </c>
      <c r="H579" s="5"/>
      <c r="I579" s="21" t="s">
        <v>2363</v>
      </c>
      <c r="J579" s="7" t="s">
        <v>24</v>
      </c>
      <c r="K579" s="7" t="s">
        <v>2364</v>
      </c>
      <c r="L579" s="14">
        <v>3526135072</v>
      </c>
      <c r="M579" s="14">
        <v>192607800</v>
      </c>
      <c r="N579" s="14">
        <v>15000000</v>
      </c>
      <c r="O579" s="40"/>
      <c r="P579" s="40"/>
      <c r="Q579" s="3">
        <f t="shared" si="71"/>
        <v>3733742872</v>
      </c>
      <c r="R579" s="3">
        <v>3526135072</v>
      </c>
      <c r="S579" s="3">
        <v>192607800</v>
      </c>
      <c r="T579" s="30">
        <v>15000000</v>
      </c>
      <c r="U579" s="7"/>
      <c r="V579" s="7"/>
      <c r="W579" s="36"/>
      <c r="X579" s="36">
        <f t="shared" si="72"/>
        <v>0</v>
      </c>
      <c r="Y579" s="36">
        <f t="shared" si="73"/>
        <v>0</v>
      </c>
      <c r="Z579" s="36">
        <f t="shared" si="70"/>
        <v>0</v>
      </c>
      <c r="AA579" s="4"/>
      <c r="AB579" s="79"/>
    </row>
    <row r="580" spans="1:28" ht="31.2" x14ac:dyDescent="0.3">
      <c r="A580" s="7" t="s">
        <v>62</v>
      </c>
      <c r="B580" s="6">
        <v>558</v>
      </c>
      <c r="C580" s="7" t="s">
        <v>2323</v>
      </c>
      <c r="D580" s="7" t="s">
        <v>2365</v>
      </c>
      <c r="E580" s="5"/>
      <c r="F580" s="7" t="s">
        <v>2366</v>
      </c>
      <c r="G580" s="5"/>
      <c r="H580" s="5"/>
      <c r="I580" s="21" t="s">
        <v>2367</v>
      </c>
      <c r="J580" s="7" t="s">
        <v>24</v>
      </c>
      <c r="K580" s="7" t="s">
        <v>2368</v>
      </c>
      <c r="L580" s="14">
        <v>3090219698</v>
      </c>
      <c r="M580" s="5"/>
      <c r="N580" s="14">
        <v>15000000</v>
      </c>
      <c r="O580" s="40"/>
      <c r="P580" s="40"/>
      <c r="Q580" s="3">
        <f t="shared" si="71"/>
        <v>3105219698</v>
      </c>
      <c r="R580" s="3">
        <v>3090219698</v>
      </c>
      <c r="S580" s="7"/>
      <c r="T580" s="30">
        <v>15000000</v>
      </c>
      <c r="U580" s="7"/>
      <c r="V580" s="7"/>
      <c r="W580" s="36"/>
      <c r="X580" s="36">
        <f t="shared" si="72"/>
        <v>0</v>
      </c>
      <c r="Y580" s="36">
        <f t="shared" si="73"/>
        <v>0</v>
      </c>
      <c r="Z580" s="36">
        <f t="shared" si="70"/>
        <v>0</v>
      </c>
      <c r="AA580" s="4"/>
      <c r="AB580" s="79"/>
    </row>
    <row r="581" spans="1:28" ht="63" x14ac:dyDescent="0.3">
      <c r="A581" s="7" t="s">
        <v>62</v>
      </c>
      <c r="B581" s="6">
        <v>559</v>
      </c>
      <c r="C581" s="7" t="s">
        <v>2323</v>
      </c>
      <c r="D581" s="7" t="s">
        <v>2369</v>
      </c>
      <c r="E581" s="5"/>
      <c r="F581" s="7" t="s">
        <v>2370</v>
      </c>
      <c r="G581" s="5"/>
      <c r="H581" s="5"/>
      <c r="I581" s="21" t="s">
        <v>2371</v>
      </c>
      <c r="J581" s="7" t="s">
        <v>24</v>
      </c>
      <c r="K581" s="7" t="s">
        <v>2372</v>
      </c>
      <c r="L581" s="14">
        <v>1153919632</v>
      </c>
      <c r="M581" s="5"/>
      <c r="N581" s="14">
        <v>15000000</v>
      </c>
      <c r="O581" s="40" t="s">
        <v>1269</v>
      </c>
      <c r="P581" s="10">
        <v>8000000</v>
      </c>
      <c r="Q581" s="3">
        <f t="shared" si="71"/>
        <v>1176919632</v>
      </c>
      <c r="R581" s="3">
        <v>1153919632</v>
      </c>
      <c r="S581" s="7"/>
      <c r="T581" s="30">
        <v>15000000</v>
      </c>
      <c r="U581" s="3">
        <v>8000000</v>
      </c>
      <c r="V581" s="7"/>
      <c r="W581" s="36"/>
      <c r="X581" s="36">
        <f t="shared" si="72"/>
        <v>0</v>
      </c>
      <c r="Y581" s="36">
        <f t="shared" si="73"/>
        <v>0</v>
      </c>
      <c r="Z581" s="36">
        <f t="shared" si="70"/>
        <v>0</v>
      </c>
      <c r="AA581" s="4"/>
      <c r="AB581" s="79"/>
    </row>
    <row r="582" spans="1:28" ht="42" x14ac:dyDescent="0.3">
      <c r="A582" s="7" t="s">
        <v>62</v>
      </c>
      <c r="B582" s="6">
        <v>560</v>
      </c>
      <c r="C582" s="7" t="s">
        <v>2323</v>
      </c>
      <c r="D582" s="7" t="s">
        <v>2373</v>
      </c>
      <c r="E582" s="5"/>
      <c r="F582" s="7" t="s">
        <v>2374</v>
      </c>
      <c r="G582" s="5"/>
      <c r="H582" s="5"/>
      <c r="I582" s="21" t="s">
        <v>2375</v>
      </c>
      <c r="J582" s="7" t="s">
        <v>24</v>
      </c>
      <c r="K582" s="7" t="s">
        <v>2376</v>
      </c>
      <c r="L582" s="14">
        <v>8227078695</v>
      </c>
      <c r="M582" s="5"/>
      <c r="N582" s="14">
        <v>15000000</v>
      </c>
      <c r="O582" s="40"/>
      <c r="P582" s="40"/>
      <c r="Q582" s="3">
        <f t="shared" si="71"/>
        <v>8242078695</v>
      </c>
      <c r="R582" s="3">
        <v>8227078695</v>
      </c>
      <c r="S582" s="7"/>
      <c r="T582" s="30">
        <v>15000000</v>
      </c>
      <c r="U582" s="7"/>
      <c r="V582" s="7"/>
      <c r="W582" s="36"/>
      <c r="X582" s="36">
        <f t="shared" si="72"/>
        <v>0</v>
      </c>
      <c r="Y582" s="36">
        <f t="shared" si="73"/>
        <v>0</v>
      </c>
      <c r="Z582" s="36">
        <f t="shared" si="70"/>
        <v>0</v>
      </c>
      <c r="AA582" s="4"/>
      <c r="AB582" s="79"/>
    </row>
    <row r="583" spans="1:28" ht="31.2" x14ac:dyDescent="0.3">
      <c r="A583" s="7" t="s">
        <v>1601</v>
      </c>
      <c r="B583" s="6">
        <v>561</v>
      </c>
      <c r="C583" s="7" t="s">
        <v>2323</v>
      </c>
      <c r="D583" s="7" t="s">
        <v>2377</v>
      </c>
      <c r="E583" s="5"/>
      <c r="F583" s="7" t="s">
        <v>2378</v>
      </c>
      <c r="G583" s="5"/>
      <c r="H583" s="5"/>
      <c r="I583" s="21" t="s">
        <v>2379</v>
      </c>
      <c r="J583" s="7" t="s">
        <v>24</v>
      </c>
      <c r="K583" s="7" t="s">
        <v>2380</v>
      </c>
      <c r="L583" s="14">
        <v>5211174260</v>
      </c>
      <c r="M583" s="5"/>
      <c r="N583" s="14">
        <v>15000000</v>
      </c>
      <c r="O583" s="40"/>
      <c r="P583" s="40"/>
      <c r="Q583" s="3">
        <f t="shared" si="71"/>
        <v>5226174260</v>
      </c>
      <c r="R583" s="36">
        <v>5211174260</v>
      </c>
      <c r="S583" s="7"/>
      <c r="T583" s="30">
        <v>15000000</v>
      </c>
      <c r="U583" s="7"/>
      <c r="V583" s="7"/>
      <c r="W583" s="36"/>
      <c r="X583" s="36">
        <f t="shared" si="72"/>
        <v>0</v>
      </c>
      <c r="Y583" s="36">
        <f t="shared" si="73"/>
        <v>0</v>
      </c>
      <c r="Z583" s="36">
        <f t="shared" si="70"/>
        <v>0</v>
      </c>
      <c r="AA583" s="4"/>
      <c r="AB583" s="79"/>
    </row>
    <row r="584" spans="1:28" ht="84" x14ac:dyDescent="0.3">
      <c r="A584" s="7" t="s">
        <v>62</v>
      </c>
      <c r="B584" s="6">
        <v>562</v>
      </c>
      <c r="C584" s="7" t="s">
        <v>2323</v>
      </c>
      <c r="D584" s="7" t="s">
        <v>2381</v>
      </c>
      <c r="E584" s="5"/>
      <c r="F584" s="7" t="s">
        <v>2383</v>
      </c>
      <c r="G584" s="5"/>
      <c r="H584" s="5"/>
      <c r="I584" s="21" t="s">
        <v>3859</v>
      </c>
      <c r="J584" s="7" t="s">
        <v>24</v>
      </c>
      <c r="K584" s="7" t="s">
        <v>2384</v>
      </c>
      <c r="L584" s="14">
        <v>1118352476</v>
      </c>
      <c r="M584" s="5"/>
      <c r="N584" s="14">
        <v>15000000</v>
      </c>
      <c r="O584" s="40" t="s">
        <v>2382</v>
      </c>
      <c r="P584" s="10">
        <v>108000000</v>
      </c>
      <c r="Q584" s="3">
        <f t="shared" si="71"/>
        <v>1241352476</v>
      </c>
      <c r="R584" s="3">
        <v>1118352476</v>
      </c>
      <c r="S584" s="7"/>
      <c r="T584" s="30">
        <v>15000000</v>
      </c>
      <c r="U584" s="7"/>
      <c r="V584" s="7"/>
      <c r="W584" s="36"/>
      <c r="X584" s="36">
        <f t="shared" si="72"/>
        <v>0</v>
      </c>
      <c r="Y584" s="36">
        <f t="shared" si="73"/>
        <v>0</v>
      </c>
      <c r="Z584" s="36">
        <f t="shared" si="70"/>
        <v>108000000</v>
      </c>
      <c r="AA584" s="4"/>
      <c r="AB584" s="80" t="s">
        <v>3863</v>
      </c>
    </row>
    <row r="585" spans="1:28" ht="42" x14ac:dyDescent="0.3">
      <c r="A585" s="7" t="s">
        <v>62</v>
      </c>
      <c r="B585" s="6">
        <v>563</v>
      </c>
      <c r="C585" s="7" t="s">
        <v>2323</v>
      </c>
      <c r="D585" s="7" t="s">
        <v>2385</v>
      </c>
      <c r="E585" s="5"/>
      <c r="F585" s="7" t="s">
        <v>2386</v>
      </c>
      <c r="G585" s="5"/>
      <c r="H585" s="5"/>
      <c r="I585" s="21" t="s">
        <v>2387</v>
      </c>
      <c r="J585" s="7" t="s">
        <v>24</v>
      </c>
      <c r="K585" s="7" t="s">
        <v>2388</v>
      </c>
      <c r="L585" s="14">
        <v>4009786804</v>
      </c>
      <c r="M585" s="5"/>
      <c r="N585" s="14">
        <v>7500000</v>
      </c>
      <c r="O585" s="40"/>
      <c r="P585" s="40"/>
      <c r="Q585" s="3">
        <f t="shared" si="71"/>
        <v>4017286804</v>
      </c>
      <c r="R585" s="3">
        <v>4009786804</v>
      </c>
      <c r="S585" s="7"/>
      <c r="T585" s="30">
        <v>7500000</v>
      </c>
      <c r="U585" s="7"/>
      <c r="V585" s="7"/>
      <c r="W585" s="36"/>
      <c r="X585" s="36">
        <f t="shared" si="72"/>
        <v>0</v>
      </c>
      <c r="Y585" s="36">
        <f t="shared" si="73"/>
        <v>0</v>
      </c>
      <c r="Z585" s="36">
        <f t="shared" si="70"/>
        <v>0</v>
      </c>
      <c r="AA585" s="4"/>
      <c r="AB585" s="79"/>
    </row>
    <row r="586" spans="1:28" ht="42" x14ac:dyDescent="0.3">
      <c r="A586" s="7" t="s">
        <v>62</v>
      </c>
      <c r="B586" s="6">
        <v>564</v>
      </c>
      <c r="C586" s="7" t="s">
        <v>2323</v>
      </c>
      <c r="D586" s="7" t="s">
        <v>2389</v>
      </c>
      <c r="E586" s="5"/>
      <c r="F586" s="7" t="s">
        <v>2390</v>
      </c>
      <c r="G586" s="5"/>
      <c r="H586" s="5"/>
      <c r="I586" s="21" t="s">
        <v>2391</v>
      </c>
      <c r="J586" s="7" t="s">
        <v>24</v>
      </c>
      <c r="K586" s="7" t="s">
        <v>2392</v>
      </c>
      <c r="L586" s="14">
        <v>1650178250</v>
      </c>
      <c r="M586" s="5"/>
      <c r="N586" s="14">
        <v>7500000</v>
      </c>
      <c r="O586" s="40"/>
      <c r="P586" s="40"/>
      <c r="Q586" s="3">
        <f t="shared" si="71"/>
        <v>1657678250</v>
      </c>
      <c r="R586" s="3">
        <v>1650178250</v>
      </c>
      <c r="S586" s="7"/>
      <c r="T586" s="30">
        <v>7500000</v>
      </c>
      <c r="U586" s="7"/>
      <c r="V586" s="7"/>
      <c r="W586" s="36"/>
      <c r="X586" s="36">
        <f t="shared" si="72"/>
        <v>0</v>
      </c>
      <c r="Y586" s="36">
        <f t="shared" si="73"/>
        <v>0</v>
      </c>
      <c r="Z586" s="36">
        <f t="shared" si="70"/>
        <v>0</v>
      </c>
      <c r="AA586" s="4"/>
      <c r="AB586" s="79"/>
    </row>
    <row r="587" spans="1:28" ht="42" x14ac:dyDescent="0.3">
      <c r="A587" s="7" t="s">
        <v>46</v>
      </c>
      <c r="B587" s="6">
        <v>565</v>
      </c>
      <c r="C587" s="7" t="s">
        <v>2323</v>
      </c>
      <c r="D587" s="7" t="s">
        <v>2393</v>
      </c>
      <c r="E587" s="5"/>
      <c r="F587" s="7" t="s">
        <v>2394</v>
      </c>
      <c r="G587" s="5"/>
      <c r="H587" s="5"/>
      <c r="I587" s="21" t="s">
        <v>2395</v>
      </c>
      <c r="J587" s="7" t="s">
        <v>24</v>
      </c>
      <c r="K587" s="7" t="s">
        <v>2396</v>
      </c>
      <c r="L587" s="14">
        <v>1871632320</v>
      </c>
      <c r="M587" s="5"/>
      <c r="N587" s="14">
        <v>15000000</v>
      </c>
      <c r="O587" s="40" t="s">
        <v>858</v>
      </c>
      <c r="P587" s="10">
        <v>24000000</v>
      </c>
      <c r="Q587" s="3">
        <f t="shared" si="71"/>
        <v>1910632320</v>
      </c>
      <c r="R587" s="3">
        <v>1871632320</v>
      </c>
      <c r="S587" s="7"/>
      <c r="T587" s="30">
        <v>15000000</v>
      </c>
      <c r="U587" s="3">
        <v>24000000</v>
      </c>
      <c r="V587" s="7"/>
      <c r="W587" s="36"/>
      <c r="X587" s="36">
        <f t="shared" si="72"/>
        <v>0</v>
      </c>
      <c r="Y587" s="36">
        <f t="shared" si="73"/>
        <v>0</v>
      </c>
      <c r="Z587" s="36">
        <f t="shared" si="70"/>
        <v>0</v>
      </c>
      <c r="AA587" s="4"/>
      <c r="AB587" s="79"/>
    </row>
    <row r="588" spans="1:28" ht="63" x14ac:dyDescent="0.3">
      <c r="A588" s="7" t="s">
        <v>18</v>
      </c>
      <c r="B588" s="6">
        <v>566</v>
      </c>
      <c r="C588" s="7" t="s">
        <v>2323</v>
      </c>
      <c r="D588" s="7" t="s">
        <v>2397</v>
      </c>
      <c r="E588" s="5"/>
      <c r="F588" s="7" t="s">
        <v>2398</v>
      </c>
      <c r="G588" s="5"/>
      <c r="H588" s="5"/>
      <c r="I588" s="21" t="s">
        <v>2399</v>
      </c>
      <c r="J588" s="7" t="s">
        <v>24</v>
      </c>
      <c r="K588" s="7" t="s">
        <v>2400</v>
      </c>
      <c r="L588" s="14">
        <v>41760857447</v>
      </c>
      <c r="M588" s="5"/>
      <c r="N588" s="14">
        <v>15000000</v>
      </c>
      <c r="O588" s="40"/>
      <c r="P588" s="40"/>
      <c r="Q588" s="3">
        <f t="shared" si="71"/>
        <v>41775857447</v>
      </c>
      <c r="R588" s="3">
        <v>41760857447</v>
      </c>
      <c r="S588" s="7"/>
      <c r="T588" s="72"/>
      <c r="U588" s="7"/>
      <c r="V588" s="7"/>
      <c r="W588" s="36"/>
      <c r="X588" s="36">
        <f t="shared" si="72"/>
        <v>0</v>
      </c>
      <c r="Y588" s="36">
        <f t="shared" si="73"/>
        <v>15000000</v>
      </c>
      <c r="Z588" s="36">
        <f t="shared" si="70"/>
        <v>0</v>
      </c>
      <c r="AA588" s="4"/>
      <c r="AB588" s="79"/>
    </row>
    <row r="589" spans="1:28" ht="64.2" customHeight="1" x14ac:dyDescent="0.3">
      <c r="A589" s="7" t="s">
        <v>2290</v>
      </c>
      <c r="B589" s="6">
        <v>567</v>
      </c>
      <c r="C589" s="7" t="s">
        <v>2323</v>
      </c>
      <c r="D589" s="7" t="s">
        <v>2401</v>
      </c>
      <c r="E589" s="7" t="s">
        <v>2402</v>
      </c>
      <c r="F589" s="7" t="s">
        <v>2403</v>
      </c>
      <c r="G589" s="5"/>
      <c r="H589" s="5"/>
      <c r="I589" s="21" t="s">
        <v>2404</v>
      </c>
      <c r="J589" s="7" t="s">
        <v>24</v>
      </c>
      <c r="K589" s="7" t="s">
        <v>2405</v>
      </c>
      <c r="L589" s="14">
        <v>2967127072</v>
      </c>
      <c r="M589" s="14">
        <v>394557580</v>
      </c>
      <c r="N589" s="14">
        <v>15000000</v>
      </c>
      <c r="O589" s="40"/>
      <c r="P589" s="40"/>
      <c r="Q589" s="3">
        <f t="shared" si="71"/>
        <v>3376684652</v>
      </c>
      <c r="R589" s="3">
        <v>2967127072</v>
      </c>
      <c r="S589" s="3">
        <v>394557580</v>
      </c>
      <c r="T589" s="30">
        <v>15000000</v>
      </c>
      <c r="U589" s="7"/>
      <c r="V589" s="7"/>
      <c r="W589" s="36"/>
      <c r="X589" s="36">
        <f t="shared" si="72"/>
        <v>0</v>
      </c>
      <c r="Y589" s="36">
        <f t="shared" si="73"/>
        <v>0</v>
      </c>
      <c r="Z589" s="36">
        <f t="shared" si="70"/>
        <v>0</v>
      </c>
      <c r="AA589" s="4"/>
      <c r="AB589" s="79"/>
    </row>
    <row r="590" spans="1:28" ht="42" x14ac:dyDescent="0.3">
      <c r="A590" s="7" t="s">
        <v>18</v>
      </c>
      <c r="B590" s="6">
        <v>568</v>
      </c>
      <c r="C590" s="7" t="s">
        <v>2323</v>
      </c>
      <c r="D590" s="7" t="s">
        <v>2406</v>
      </c>
      <c r="E590" s="5"/>
      <c r="F590" s="7" t="s">
        <v>2408</v>
      </c>
      <c r="G590" s="5"/>
      <c r="H590" s="5"/>
      <c r="I590" s="21" t="s">
        <v>2409</v>
      </c>
      <c r="J590" s="7" t="s">
        <v>24</v>
      </c>
      <c r="K590" s="7" t="s">
        <v>2410</v>
      </c>
      <c r="L590" s="14">
        <v>3684148720</v>
      </c>
      <c r="M590" s="5"/>
      <c r="N590" s="14">
        <v>15000000</v>
      </c>
      <c r="O590" s="40" t="s">
        <v>2655</v>
      </c>
      <c r="P590" s="10">
        <v>24000000</v>
      </c>
      <c r="Q590" s="3">
        <f t="shared" si="71"/>
        <v>3723148720</v>
      </c>
      <c r="R590" s="3">
        <v>3684148720</v>
      </c>
      <c r="S590" s="7"/>
      <c r="T590" s="30">
        <v>15000000</v>
      </c>
      <c r="U590" s="3">
        <v>24000000</v>
      </c>
      <c r="V590" s="7"/>
      <c r="W590" s="36"/>
      <c r="X590" s="36">
        <f t="shared" si="72"/>
        <v>0</v>
      </c>
      <c r="Y590" s="36">
        <f t="shared" si="73"/>
        <v>0</v>
      </c>
      <c r="Z590" s="36">
        <f t="shared" ref="Z590" si="74">P590-U590</f>
        <v>0</v>
      </c>
      <c r="AA590" s="4"/>
      <c r="AB590" s="80"/>
    </row>
    <row r="591" spans="1:28" s="98" customFormat="1" ht="42" x14ac:dyDescent="0.3">
      <c r="A591" s="89" t="s">
        <v>18</v>
      </c>
      <c r="B591" s="99">
        <v>568</v>
      </c>
      <c r="C591" s="89" t="s">
        <v>2323</v>
      </c>
      <c r="D591" s="89" t="s">
        <v>2406</v>
      </c>
      <c r="E591" s="100"/>
      <c r="F591" s="89" t="s">
        <v>2408</v>
      </c>
      <c r="G591" s="100"/>
      <c r="H591" s="100"/>
      <c r="I591" s="101" t="s">
        <v>2409</v>
      </c>
      <c r="J591" s="89" t="s">
        <v>24</v>
      </c>
      <c r="K591" s="89" t="s">
        <v>2410</v>
      </c>
      <c r="L591" s="90">
        <v>3684148720</v>
      </c>
      <c r="M591" s="100"/>
      <c r="N591" s="90">
        <v>15000000</v>
      </c>
      <c r="O591" s="91" t="s">
        <v>3855</v>
      </c>
      <c r="P591" s="103">
        <v>48000000</v>
      </c>
      <c r="Q591" s="93">
        <f t="shared" si="71"/>
        <v>3747148720</v>
      </c>
      <c r="R591" s="93">
        <v>3684148720</v>
      </c>
      <c r="S591" s="89"/>
      <c r="T591" s="94">
        <v>15000000</v>
      </c>
      <c r="U591" s="93"/>
      <c r="V591" s="89"/>
      <c r="W591" s="95"/>
      <c r="X591" s="95">
        <f t="shared" si="72"/>
        <v>0</v>
      </c>
      <c r="Y591" s="95">
        <f t="shared" si="73"/>
        <v>0</v>
      </c>
      <c r="Z591" s="95">
        <f t="shared" si="70"/>
        <v>48000000</v>
      </c>
      <c r="AA591" s="96"/>
      <c r="AB591" s="97" t="s">
        <v>3854</v>
      </c>
    </row>
    <row r="592" spans="1:28" ht="42" x14ac:dyDescent="0.3">
      <c r="A592" s="7" t="s">
        <v>18</v>
      </c>
      <c r="B592" s="6">
        <v>569</v>
      </c>
      <c r="C592" s="7" t="s">
        <v>2323</v>
      </c>
      <c r="D592" s="7" t="s">
        <v>2411</v>
      </c>
      <c r="E592" s="5"/>
      <c r="F592" s="7" t="s">
        <v>2412</v>
      </c>
      <c r="G592" s="5"/>
      <c r="H592" s="5"/>
      <c r="I592" s="21" t="s">
        <v>2413</v>
      </c>
      <c r="J592" s="7" t="s">
        <v>24</v>
      </c>
      <c r="K592" s="7" t="s">
        <v>2414</v>
      </c>
      <c r="L592" s="14">
        <v>6823115420</v>
      </c>
      <c r="M592" s="5"/>
      <c r="N592" s="14">
        <v>15000000</v>
      </c>
      <c r="O592" s="40"/>
      <c r="P592" s="40"/>
      <c r="Q592" s="3">
        <f t="shared" si="71"/>
        <v>6838115420</v>
      </c>
      <c r="R592" s="3">
        <v>6823115420</v>
      </c>
      <c r="S592" s="7"/>
      <c r="T592" s="30">
        <v>15000000</v>
      </c>
      <c r="U592" s="7"/>
      <c r="V592" s="7"/>
      <c r="W592" s="36"/>
      <c r="X592" s="36">
        <f t="shared" si="72"/>
        <v>0</v>
      </c>
      <c r="Y592" s="36">
        <f t="shared" si="73"/>
        <v>0</v>
      </c>
      <c r="Z592" s="36">
        <f t="shared" si="70"/>
        <v>0</v>
      </c>
      <c r="AA592" s="4"/>
      <c r="AB592" s="79"/>
    </row>
    <row r="593" spans="1:28" ht="42" x14ac:dyDescent="0.3">
      <c r="A593" s="7" t="s">
        <v>1601</v>
      </c>
      <c r="B593" s="6">
        <v>570</v>
      </c>
      <c r="C593" s="7" t="s">
        <v>2323</v>
      </c>
      <c r="D593" s="7" t="s">
        <v>2415</v>
      </c>
      <c r="E593" s="5"/>
      <c r="F593" s="7" t="s">
        <v>2416</v>
      </c>
      <c r="G593" s="5"/>
      <c r="H593" s="5"/>
      <c r="I593" s="21" t="s">
        <v>2417</v>
      </c>
      <c r="J593" s="7" t="s">
        <v>24</v>
      </c>
      <c r="K593" s="7" t="s">
        <v>2418</v>
      </c>
      <c r="L593" s="14">
        <v>223003630</v>
      </c>
      <c r="M593" s="5"/>
      <c r="N593" s="14">
        <v>7500000</v>
      </c>
      <c r="O593" s="40"/>
      <c r="P593" s="40"/>
      <c r="Q593" s="3">
        <f t="shared" si="71"/>
        <v>230503630</v>
      </c>
      <c r="R593" s="3">
        <v>223003630</v>
      </c>
      <c r="S593" s="7"/>
      <c r="T593" s="30">
        <v>7500000</v>
      </c>
      <c r="U593" s="7"/>
      <c r="V593" s="7"/>
      <c r="W593" s="36"/>
      <c r="X593" s="36">
        <f t="shared" si="72"/>
        <v>0</v>
      </c>
      <c r="Y593" s="36">
        <f t="shared" si="73"/>
        <v>0</v>
      </c>
      <c r="Z593" s="36">
        <f t="shared" si="70"/>
        <v>0</v>
      </c>
      <c r="AA593" s="4"/>
      <c r="AB593" s="79"/>
    </row>
    <row r="594" spans="1:28" ht="42" x14ac:dyDescent="0.3">
      <c r="A594" s="7" t="s">
        <v>1601</v>
      </c>
      <c r="B594" s="6">
        <v>571</v>
      </c>
      <c r="C594" s="7" t="s">
        <v>2323</v>
      </c>
      <c r="D594" s="7" t="s">
        <v>2419</v>
      </c>
      <c r="E594" s="5"/>
      <c r="F594" s="7" t="s">
        <v>2420</v>
      </c>
      <c r="G594" s="5"/>
      <c r="H594" s="5"/>
      <c r="I594" s="21" t="s">
        <v>1468</v>
      </c>
      <c r="J594" s="7" t="s">
        <v>24</v>
      </c>
      <c r="K594" s="7" t="s">
        <v>2421</v>
      </c>
      <c r="L594" s="14">
        <v>4591185242</v>
      </c>
      <c r="M594" s="5"/>
      <c r="N594" s="14">
        <v>7500000</v>
      </c>
      <c r="O594" s="40"/>
      <c r="P594" s="40"/>
      <c r="Q594" s="3">
        <f t="shared" si="71"/>
        <v>4598685242</v>
      </c>
      <c r="R594" s="36">
        <v>4591185242</v>
      </c>
      <c r="S594" s="7"/>
      <c r="T594" s="30">
        <v>7500000</v>
      </c>
      <c r="U594" s="7"/>
      <c r="V594" s="7"/>
      <c r="W594" s="36"/>
      <c r="X594" s="36">
        <f t="shared" si="72"/>
        <v>0</v>
      </c>
      <c r="Y594" s="36">
        <f t="shared" si="73"/>
        <v>0</v>
      </c>
      <c r="Z594" s="36">
        <f t="shared" si="70"/>
        <v>0</v>
      </c>
      <c r="AA594" s="4"/>
      <c r="AB594" s="79"/>
    </row>
    <row r="595" spans="1:28" ht="31.2" x14ac:dyDescent="0.3">
      <c r="A595" s="7" t="s">
        <v>62</v>
      </c>
      <c r="B595" s="6">
        <v>572</v>
      </c>
      <c r="C595" s="7" t="s">
        <v>2323</v>
      </c>
      <c r="D595" s="7" t="s">
        <v>2422</v>
      </c>
      <c r="E595" s="5"/>
      <c r="F595" s="7" t="s">
        <v>2423</v>
      </c>
      <c r="G595" s="5"/>
      <c r="H595" s="5"/>
      <c r="I595" s="21" t="s">
        <v>2424</v>
      </c>
      <c r="J595" s="7" t="s">
        <v>24</v>
      </c>
      <c r="K595" s="7" t="s">
        <v>2425</v>
      </c>
      <c r="L595" s="14">
        <v>1598877052</v>
      </c>
      <c r="M595" s="5"/>
      <c r="N595" s="14">
        <v>7500000</v>
      </c>
      <c r="O595" s="40"/>
      <c r="P595" s="40"/>
      <c r="Q595" s="3">
        <f t="shared" si="71"/>
        <v>1606377052</v>
      </c>
      <c r="R595" s="3">
        <v>1598877052</v>
      </c>
      <c r="S595" s="7"/>
      <c r="T595" s="30">
        <v>7500000</v>
      </c>
      <c r="U595" s="7"/>
      <c r="V595" s="7"/>
      <c r="W595" s="36"/>
      <c r="X595" s="36">
        <f t="shared" si="72"/>
        <v>0</v>
      </c>
      <c r="Y595" s="36">
        <f t="shared" si="73"/>
        <v>0</v>
      </c>
      <c r="Z595" s="36">
        <f t="shared" si="70"/>
        <v>0</v>
      </c>
      <c r="AA595" s="4"/>
      <c r="AB595" s="79"/>
    </row>
    <row r="596" spans="1:28" ht="63" x14ac:dyDescent="0.4">
      <c r="A596" s="7" t="s">
        <v>62</v>
      </c>
      <c r="B596" s="6">
        <v>573</v>
      </c>
      <c r="C596" s="7" t="s">
        <v>2323</v>
      </c>
      <c r="D596" s="7" t="s">
        <v>2426</v>
      </c>
      <c r="E596" s="7" t="s">
        <v>2427</v>
      </c>
      <c r="F596" s="7" t="s">
        <v>2428</v>
      </c>
      <c r="G596" s="5"/>
      <c r="H596" s="5"/>
      <c r="I596" s="21" t="s">
        <v>2429</v>
      </c>
      <c r="J596" s="7" t="s">
        <v>24</v>
      </c>
      <c r="K596" s="7" t="s">
        <v>2430</v>
      </c>
      <c r="L596" s="14">
        <v>4657154105</v>
      </c>
      <c r="M596" s="5"/>
      <c r="N596" s="14">
        <v>15000000</v>
      </c>
      <c r="O596" s="40"/>
      <c r="P596" s="40"/>
      <c r="Q596" s="3">
        <f t="shared" si="71"/>
        <v>4672154105</v>
      </c>
      <c r="R596" s="7"/>
      <c r="S596" s="7"/>
      <c r="T596" s="72"/>
      <c r="U596" s="7"/>
      <c r="V596" s="7"/>
      <c r="W596" s="36">
        <v>4657154105</v>
      </c>
      <c r="X596" s="36">
        <f t="shared" si="72"/>
        <v>0</v>
      </c>
      <c r="Y596" s="36">
        <f t="shared" si="73"/>
        <v>15000000</v>
      </c>
      <c r="Z596" s="36">
        <f t="shared" si="70"/>
        <v>0</v>
      </c>
      <c r="AA596" s="16">
        <v>4657154105</v>
      </c>
      <c r="AB596" s="79"/>
    </row>
    <row r="597" spans="1:28" ht="42" x14ac:dyDescent="0.3">
      <c r="A597" s="7" t="s">
        <v>1601</v>
      </c>
      <c r="B597" s="6">
        <v>574</v>
      </c>
      <c r="C597" s="7" t="s">
        <v>2323</v>
      </c>
      <c r="D597" s="7" t="s">
        <v>2431</v>
      </c>
      <c r="E597" s="5"/>
      <c r="F597" s="7" t="s">
        <v>2432</v>
      </c>
      <c r="G597" s="5"/>
      <c r="H597" s="5"/>
      <c r="I597" s="21" t="s">
        <v>2433</v>
      </c>
      <c r="J597" s="7" t="s">
        <v>24</v>
      </c>
      <c r="K597" s="7" t="s">
        <v>2434</v>
      </c>
      <c r="L597" s="14">
        <v>2293726938</v>
      </c>
      <c r="M597" s="5"/>
      <c r="N597" s="14">
        <v>7500000</v>
      </c>
      <c r="O597" s="40"/>
      <c r="P597" s="40"/>
      <c r="Q597" s="3">
        <f t="shared" ref="Q597:Q628" si="75">L597+M597+N597+P597</f>
        <v>2301226938</v>
      </c>
      <c r="R597" s="36">
        <v>2293726938</v>
      </c>
      <c r="S597" s="7"/>
      <c r="T597" s="30">
        <v>7500000</v>
      </c>
      <c r="U597" s="7"/>
      <c r="V597" s="7"/>
      <c r="W597" s="36"/>
      <c r="X597" s="36">
        <f t="shared" ref="X597:X628" si="76">M597-S597</f>
        <v>0</v>
      </c>
      <c r="Y597" s="36">
        <f t="shared" ref="Y597:Y628" si="77">N597-T597</f>
        <v>0</v>
      </c>
      <c r="Z597" s="36">
        <f t="shared" si="70"/>
        <v>0</v>
      </c>
      <c r="AA597" s="4"/>
      <c r="AB597" s="79"/>
    </row>
    <row r="598" spans="1:28" ht="31.2" x14ac:dyDescent="0.3">
      <c r="A598" s="7" t="s">
        <v>62</v>
      </c>
      <c r="B598" s="6">
        <v>575</v>
      </c>
      <c r="C598" s="7" t="s">
        <v>2323</v>
      </c>
      <c r="D598" s="7" t="s">
        <v>2435</v>
      </c>
      <c r="E598" s="7" t="s">
        <v>2436</v>
      </c>
      <c r="F598" s="7" t="s">
        <v>2437</v>
      </c>
      <c r="G598" s="7" t="s">
        <v>2438</v>
      </c>
      <c r="H598" s="5"/>
      <c r="I598" s="21" t="s">
        <v>2439</v>
      </c>
      <c r="J598" s="7" t="s">
        <v>24</v>
      </c>
      <c r="K598" s="7" t="s">
        <v>2440</v>
      </c>
      <c r="L598" s="14">
        <v>2862700618</v>
      </c>
      <c r="M598" s="14">
        <v>122707142</v>
      </c>
      <c r="N598" s="14">
        <v>15000000</v>
      </c>
      <c r="O598" s="40"/>
      <c r="P598" s="40"/>
      <c r="Q598" s="3">
        <f t="shared" si="75"/>
        <v>3000407760</v>
      </c>
      <c r="R598" s="3">
        <v>2862700618</v>
      </c>
      <c r="S598" s="3">
        <v>122707142</v>
      </c>
      <c r="T598" s="30">
        <v>15000000</v>
      </c>
      <c r="U598" s="7"/>
      <c r="V598" s="7"/>
      <c r="W598" s="36"/>
      <c r="X598" s="36">
        <f t="shared" si="76"/>
        <v>0</v>
      </c>
      <c r="Y598" s="36">
        <f t="shared" si="77"/>
        <v>0</v>
      </c>
      <c r="Z598" s="36">
        <f t="shared" si="70"/>
        <v>0</v>
      </c>
      <c r="AA598" s="4"/>
      <c r="AB598" s="79"/>
    </row>
    <row r="599" spans="1:28" ht="42" x14ac:dyDescent="0.3">
      <c r="A599" s="7" t="s">
        <v>18</v>
      </c>
      <c r="B599" s="6">
        <v>576</v>
      </c>
      <c r="C599" s="7" t="s">
        <v>2323</v>
      </c>
      <c r="D599" s="7" t="s">
        <v>2441</v>
      </c>
      <c r="E599" s="7" t="s">
        <v>2442</v>
      </c>
      <c r="F599" s="7" t="s">
        <v>2443</v>
      </c>
      <c r="G599" s="5"/>
      <c r="H599" s="5"/>
      <c r="I599" s="21" t="s">
        <v>2444</v>
      </c>
      <c r="J599" s="7" t="s">
        <v>24</v>
      </c>
      <c r="K599" s="7" t="s">
        <v>2445</v>
      </c>
      <c r="L599" s="14">
        <v>490595850</v>
      </c>
      <c r="M599" s="14">
        <v>2336428122</v>
      </c>
      <c r="N599" s="14">
        <v>15000000</v>
      </c>
      <c r="O599" s="40" t="s">
        <v>1208</v>
      </c>
      <c r="P599" s="10">
        <v>42000000</v>
      </c>
      <c r="Q599" s="3">
        <f t="shared" si="75"/>
        <v>2884023972</v>
      </c>
      <c r="R599" s="3">
        <v>490595850</v>
      </c>
      <c r="S599" s="3">
        <v>2336428122</v>
      </c>
      <c r="T599" s="30">
        <v>15000000</v>
      </c>
      <c r="U599" s="3">
        <v>42000000</v>
      </c>
      <c r="V599" s="7"/>
      <c r="W599" s="36"/>
      <c r="X599" s="36">
        <f t="shared" si="76"/>
        <v>0</v>
      </c>
      <c r="Y599" s="36">
        <f t="shared" si="77"/>
        <v>0</v>
      </c>
      <c r="Z599" s="36">
        <f t="shared" si="70"/>
        <v>0</v>
      </c>
      <c r="AA599" s="4"/>
      <c r="AB599" s="79"/>
    </row>
    <row r="600" spans="1:28" ht="84" x14ac:dyDescent="0.3">
      <c r="A600" s="7" t="s">
        <v>18</v>
      </c>
      <c r="B600" s="6">
        <v>577</v>
      </c>
      <c r="C600" s="7" t="s">
        <v>2323</v>
      </c>
      <c r="D600" s="7" t="s">
        <v>2446</v>
      </c>
      <c r="E600" s="7" t="s">
        <v>1922</v>
      </c>
      <c r="F600" s="7" t="s">
        <v>2447</v>
      </c>
      <c r="G600" s="7" t="s">
        <v>2448</v>
      </c>
      <c r="H600" s="5"/>
      <c r="I600" s="21" t="s">
        <v>2449</v>
      </c>
      <c r="J600" s="7" t="s">
        <v>24</v>
      </c>
      <c r="K600" s="7" t="s">
        <v>2450</v>
      </c>
      <c r="L600" s="14">
        <v>3664901998</v>
      </c>
      <c r="M600" s="14">
        <v>306209442</v>
      </c>
      <c r="N600" s="14">
        <v>15000000</v>
      </c>
      <c r="O600" s="40" t="s">
        <v>858</v>
      </c>
      <c r="P600" s="10">
        <v>54000000</v>
      </c>
      <c r="Q600" s="3">
        <f t="shared" si="75"/>
        <v>4040111440</v>
      </c>
      <c r="R600" s="3">
        <v>3664901998</v>
      </c>
      <c r="S600" s="3">
        <v>306209442</v>
      </c>
      <c r="T600" s="30">
        <v>15000000</v>
      </c>
      <c r="U600" s="3">
        <v>54000000</v>
      </c>
      <c r="V600" s="7"/>
      <c r="W600" s="36"/>
      <c r="X600" s="36">
        <f t="shared" si="76"/>
        <v>0</v>
      </c>
      <c r="Y600" s="36">
        <f t="shared" si="77"/>
        <v>0</v>
      </c>
      <c r="Z600" s="36">
        <f t="shared" si="70"/>
        <v>0</v>
      </c>
      <c r="AA600" s="4"/>
      <c r="AB600" s="79"/>
    </row>
    <row r="601" spans="1:28" ht="42" x14ac:dyDescent="0.3">
      <c r="A601" s="7" t="s">
        <v>1601</v>
      </c>
      <c r="B601" s="6">
        <v>578</v>
      </c>
      <c r="C601" s="7" t="s">
        <v>2323</v>
      </c>
      <c r="D601" s="7" t="s">
        <v>2451</v>
      </c>
      <c r="E601" s="5"/>
      <c r="F601" s="7" t="s">
        <v>2452</v>
      </c>
      <c r="G601" s="5"/>
      <c r="H601" s="5"/>
      <c r="I601" s="21" t="s">
        <v>2453</v>
      </c>
      <c r="J601" s="7" t="s">
        <v>24</v>
      </c>
      <c r="K601" s="7" t="s">
        <v>2454</v>
      </c>
      <c r="L601" s="14">
        <v>2671997320</v>
      </c>
      <c r="M601" s="5"/>
      <c r="N601" s="14">
        <v>15000000</v>
      </c>
      <c r="O601" s="40"/>
      <c r="P601" s="40"/>
      <c r="Q601" s="3">
        <f t="shared" si="75"/>
        <v>2686997320</v>
      </c>
      <c r="R601" s="36">
        <v>2671997320</v>
      </c>
      <c r="S601" s="7"/>
      <c r="T601" s="30">
        <v>15000000</v>
      </c>
      <c r="U601" s="7"/>
      <c r="V601" s="7"/>
      <c r="W601" s="36"/>
      <c r="X601" s="36">
        <f t="shared" si="76"/>
        <v>0</v>
      </c>
      <c r="Y601" s="36">
        <f t="shared" si="77"/>
        <v>0</v>
      </c>
      <c r="Z601" s="36">
        <f t="shared" ref="Z601:Z665" si="78">P601-U601</f>
        <v>0</v>
      </c>
      <c r="AA601" s="4"/>
      <c r="AB601" s="79"/>
    </row>
    <row r="602" spans="1:28" ht="31.2" x14ac:dyDescent="0.3">
      <c r="A602" s="7" t="s">
        <v>1601</v>
      </c>
      <c r="B602" s="6">
        <v>579</v>
      </c>
      <c r="C602" s="7" t="s">
        <v>2323</v>
      </c>
      <c r="D602" s="7" t="s">
        <v>2455</v>
      </c>
      <c r="E602" s="7" t="s">
        <v>2456</v>
      </c>
      <c r="F602" s="7" t="s">
        <v>2457</v>
      </c>
      <c r="G602" s="7" t="s">
        <v>1717</v>
      </c>
      <c r="H602" s="5"/>
      <c r="I602" s="21" t="s">
        <v>2458</v>
      </c>
      <c r="J602" s="7" t="s">
        <v>24</v>
      </c>
      <c r="K602" s="7" t="s">
        <v>2459</v>
      </c>
      <c r="L602" s="14">
        <v>68554474200</v>
      </c>
      <c r="M602" s="14">
        <v>6111803210</v>
      </c>
      <c r="N602" s="14">
        <v>7500000</v>
      </c>
      <c r="O602" s="40"/>
      <c r="P602" s="40"/>
      <c r="Q602" s="3">
        <f t="shared" si="75"/>
        <v>74673777410</v>
      </c>
      <c r="R602" s="36">
        <v>68554474200</v>
      </c>
      <c r="S602" s="3">
        <v>6111803210</v>
      </c>
      <c r="T602" s="30">
        <v>7500000</v>
      </c>
      <c r="U602" s="7"/>
      <c r="V602" s="7"/>
      <c r="W602" s="36"/>
      <c r="X602" s="36">
        <f t="shared" si="76"/>
        <v>0</v>
      </c>
      <c r="Y602" s="36">
        <f t="shared" si="77"/>
        <v>0</v>
      </c>
      <c r="Z602" s="36">
        <f t="shared" si="78"/>
        <v>0</v>
      </c>
      <c r="AA602" s="4"/>
      <c r="AB602" s="79"/>
    </row>
    <row r="603" spans="1:28" ht="140.4" x14ac:dyDescent="0.3">
      <c r="A603" s="7" t="s">
        <v>2290</v>
      </c>
      <c r="B603" s="6">
        <v>580</v>
      </c>
      <c r="C603" s="7" t="s">
        <v>2323</v>
      </c>
      <c r="D603" s="7" t="s">
        <v>2460</v>
      </c>
      <c r="E603" s="5"/>
      <c r="F603" s="7" t="s">
        <v>2461</v>
      </c>
      <c r="G603" s="44" t="s">
        <v>2462</v>
      </c>
      <c r="H603" s="5"/>
      <c r="I603" s="21" t="s">
        <v>786</v>
      </c>
      <c r="J603" s="7" t="s">
        <v>24</v>
      </c>
      <c r="K603" s="7" t="s">
        <v>2463</v>
      </c>
      <c r="L603" s="14">
        <v>1711695248</v>
      </c>
      <c r="M603" s="5"/>
      <c r="N603" s="14">
        <v>7500000</v>
      </c>
      <c r="O603" s="40"/>
      <c r="P603" s="40"/>
      <c r="Q603" s="3">
        <f t="shared" si="75"/>
        <v>1719195248</v>
      </c>
      <c r="R603" s="3">
        <v>1711695248</v>
      </c>
      <c r="S603" s="7"/>
      <c r="T603" s="72"/>
      <c r="U603" s="7"/>
      <c r="V603" s="7"/>
      <c r="W603" s="36"/>
      <c r="X603" s="36">
        <f t="shared" si="76"/>
        <v>0</v>
      </c>
      <c r="Y603" s="36">
        <f t="shared" si="77"/>
        <v>7500000</v>
      </c>
      <c r="Z603" s="36">
        <f t="shared" si="78"/>
        <v>0</v>
      </c>
      <c r="AA603" s="4"/>
      <c r="AB603" s="79"/>
    </row>
    <row r="604" spans="1:28" ht="31.2" x14ac:dyDescent="0.3">
      <c r="A604" s="7" t="s">
        <v>1601</v>
      </c>
      <c r="B604" s="6">
        <v>581</v>
      </c>
      <c r="C604" s="7" t="s">
        <v>2323</v>
      </c>
      <c r="D604" s="7" t="s">
        <v>2464</v>
      </c>
      <c r="E604" s="5"/>
      <c r="F604" s="7" t="s">
        <v>2465</v>
      </c>
      <c r="G604" s="5"/>
      <c r="H604" s="5"/>
      <c r="I604" s="21" t="s">
        <v>2466</v>
      </c>
      <c r="J604" s="7" t="s">
        <v>24</v>
      </c>
      <c r="K604" s="7" t="s">
        <v>2467</v>
      </c>
      <c r="L604" s="14">
        <v>7112339220</v>
      </c>
      <c r="M604" s="5"/>
      <c r="N604" s="14">
        <v>7500000</v>
      </c>
      <c r="O604" s="40"/>
      <c r="P604" s="40"/>
      <c r="Q604" s="3">
        <f t="shared" si="75"/>
        <v>7119839220</v>
      </c>
      <c r="R604" s="36">
        <v>7112339220</v>
      </c>
      <c r="S604" s="7"/>
      <c r="T604" s="72"/>
      <c r="U604" s="7"/>
      <c r="V604" s="7"/>
      <c r="W604" s="36"/>
      <c r="X604" s="36">
        <f t="shared" si="76"/>
        <v>0</v>
      </c>
      <c r="Y604" s="36">
        <f t="shared" si="77"/>
        <v>7500000</v>
      </c>
      <c r="Z604" s="36">
        <f t="shared" si="78"/>
        <v>0</v>
      </c>
      <c r="AA604" s="4"/>
      <c r="AB604" s="79"/>
    </row>
    <row r="605" spans="1:28" ht="42" x14ac:dyDescent="0.3">
      <c r="A605" s="7" t="s">
        <v>18</v>
      </c>
      <c r="B605" s="6">
        <v>582</v>
      </c>
      <c r="C605" s="7" t="s">
        <v>2323</v>
      </c>
      <c r="D605" s="7" t="s">
        <v>2468</v>
      </c>
      <c r="E605" s="7" t="s">
        <v>2470</v>
      </c>
      <c r="F605" s="7" t="s">
        <v>2471</v>
      </c>
      <c r="G605" s="5"/>
      <c r="H605" s="5"/>
      <c r="I605" s="21" t="s">
        <v>2472</v>
      </c>
      <c r="J605" s="7" t="s">
        <v>24</v>
      </c>
      <c r="K605" s="7" t="s">
        <v>2473</v>
      </c>
      <c r="L605" s="14">
        <v>9159919264</v>
      </c>
      <c r="M605" s="17">
        <v>705698588</v>
      </c>
      <c r="N605" s="14">
        <v>15000000</v>
      </c>
      <c r="O605" s="7" t="s">
        <v>2469</v>
      </c>
      <c r="P605" s="10">
        <v>24000000</v>
      </c>
      <c r="Q605" s="3">
        <f t="shared" si="75"/>
        <v>9904617852</v>
      </c>
      <c r="R605" s="3">
        <v>9159919264</v>
      </c>
      <c r="S605" s="3">
        <v>705698588</v>
      </c>
      <c r="T605" s="72"/>
      <c r="U605" s="3">
        <v>24000000</v>
      </c>
      <c r="V605" s="7"/>
      <c r="W605" s="36"/>
      <c r="X605" s="36">
        <f t="shared" si="76"/>
        <v>0</v>
      </c>
      <c r="Y605" s="36">
        <f t="shared" si="77"/>
        <v>15000000</v>
      </c>
      <c r="Z605" s="36">
        <f t="shared" si="78"/>
        <v>0</v>
      </c>
      <c r="AA605" s="4"/>
      <c r="AB605" s="79"/>
    </row>
    <row r="606" spans="1:28" ht="46.8" x14ac:dyDescent="0.3">
      <c r="A606" s="7" t="s">
        <v>18</v>
      </c>
      <c r="B606" s="6">
        <v>583</v>
      </c>
      <c r="C606" s="7" t="s">
        <v>2323</v>
      </c>
      <c r="D606" s="7" t="s">
        <v>2474</v>
      </c>
      <c r="E606" s="5"/>
      <c r="F606" s="7" t="s">
        <v>2475</v>
      </c>
      <c r="G606" s="5"/>
      <c r="H606" s="5"/>
      <c r="I606" s="21" t="s">
        <v>2476</v>
      </c>
      <c r="J606" s="7" t="s">
        <v>24</v>
      </c>
      <c r="K606" s="7" t="s">
        <v>2477</v>
      </c>
      <c r="L606" s="14">
        <v>10795952385</v>
      </c>
      <c r="M606" s="5"/>
      <c r="N606" s="14">
        <v>7500000</v>
      </c>
      <c r="O606" s="40"/>
      <c r="P606" s="40"/>
      <c r="Q606" s="3">
        <f t="shared" si="75"/>
        <v>10803452385</v>
      </c>
      <c r="R606" s="3">
        <v>10795952385</v>
      </c>
      <c r="S606" s="7"/>
      <c r="T606" s="72"/>
      <c r="U606" s="7"/>
      <c r="V606" s="7"/>
      <c r="W606" s="36"/>
      <c r="X606" s="36">
        <f t="shared" si="76"/>
        <v>0</v>
      </c>
      <c r="Y606" s="36">
        <f t="shared" si="77"/>
        <v>7500000</v>
      </c>
      <c r="Z606" s="36">
        <f t="shared" si="78"/>
        <v>0</v>
      </c>
      <c r="AA606" s="4"/>
      <c r="AB606" s="79"/>
    </row>
    <row r="607" spans="1:28" ht="42" x14ac:dyDescent="0.3">
      <c r="A607" s="7" t="s">
        <v>2290</v>
      </c>
      <c r="B607" s="6">
        <v>584</v>
      </c>
      <c r="C607" s="7" t="s">
        <v>2323</v>
      </c>
      <c r="D607" s="7" t="s">
        <v>2478</v>
      </c>
      <c r="E607" s="5"/>
      <c r="F607" s="7" t="s">
        <v>2479</v>
      </c>
      <c r="G607" s="5"/>
      <c r="H607" s="5"/>
      <c r="I607" s="21" t="s">
        <v>2480</v>
      </c>
      <c r="J607" s="7" t="s">
        <v>24</v>
      </c>
      <c r="K607" s="7" t="s">
        <v>2481</v>
      </c>
      <c r="L607" s="14">
        <v>2819871600</v>
      </c>
      <c r="M607" s="5"/>
      <c r="N607" s="14">
        <v>7500000</v>
      </c>
      <c r="O607" s="40"/>
      <c r="P607" s="40"/>
      <c r="Q607" s="3">
        <f t="shared" si="75"/>
        <v>2827371600</v>
      </c>
      <c r="R607" s="3">
        <v>2819871600</v>
      </c>
      <c r="S607" s="7"/>
      <c r="T607" s="72"/>
      <c r="U607" s="7"/>
      <c r="V607" s="7"/>
      <c r="W607" s="36"/>
      <c r="X607" s="36">
        <f t="shared" si="76"/>
        <v>0</v>
      </c>
      <c r="Y607" s="36">
        <f t="shared" si="77"/>
        <v>7500000</v>
      </c>
      <c r="Z607" s="36">
        <f t="shared" si="78"/>
        <v>0</v>
      </c>
      <c r="AA607" s="4"/>
      <c r="AB607" s="79"/>
    </row>
    <row r="608" spans="1:28" ht="63" x14ac:dyDescent="0.3">
      <c r="A608" s="7" t="s">
        <v>18</v>
      </c>
      <c r="B608" s="6">
        <v>585</v>
      </c>
      <c r="C608" s="7" t="s">
        <v>2323</v>
      </c>
      <c r="D608" s="7" t="s">
        <v>2482</v>
      </c>
      <c r="E608" s="5"/>
      <c r="F608" s="7" t="s">
        <v>2483</v>
      </c>
      <c r="G608" s="5"/>
      <c r="H608" s="5"/>
      <c r="I608" s="21" t="s">
        <v>2484</v>
      </c>
      <c r="J608" s="7" t="s">
        <v>24</v>
      </c>
      <c r="K608" s="7" t="s">
        <v>2485</v>
      </c>
      <c r="L608" s="14">
        <v>22402051899</v>
      </c>
      <c r="M608" s="5"/>
      <c r="N608" s="14">
        <v>15000000</v>
      </c>
      <c r="O608" s="40"/>
      <c r="P608" s="40"/>
      <c r="Q608" s="3">
        <f t="shared" si="75"/>
        <v>22417051899</v>
      </c>
      <c r="R608" s="3">
        <v>22402051899</v>
      </c>
      <c r="S608" s="7"/>
      <c r="T608" s="30">
        <v>15000000</v>
      </c>
      <c r="U608" s="7"/>
      <c r="V608" s="7"/>
      <c r="W608" s="36"/>
      <c r="X608" s="36">
        <f t="shared" si="76"/>
        <v>0</v>
      </c>
      <c r="Y608" s="36">
        <f t="shared" si="77"/>
        <v>0</v>
      </c>
      <c r="Z608" s="36">
        <f t="shared" si="78"/>
        <v>0</v>
      </c>
      <c r="AA608" s="4"/>
      <c r="AB608" s="79"/>
    </row>
    <row r="609" spans="1:28" ht="62.4" x14ac:dyDescent="0.3">
      <c r="A609" s="7" t="s">
        <v>18</v>
      </c>
      <c r="B609" s="6">
        <v>586</v>
      </c>
      <c r="C609" s="7" t="s">
        <v>2323</v>
      </c>
      <c r="D609" s="7" t="s">
        <v>2486</v>
      </c>
      <c r="E609" s="5"/>
      <c r="F609" s="7" t="s">
        <v>2487</v>
      </c>
      <c r="G609" s="5"/>
      <c r="H609" s="5"/>
      <c r="I609" s="21" t="s">
        <v>2488</v>
      </c>
      <c r="J609" s="7" t="s">
        <v>24</v>
      </c>
      <c r="K609" s="7" t="s">
        <v>2489</v>
      </c>
      <c r="L609" s="14">
        <v>3912494400</v>
      </c>
      <c r="M609" s="5"/>
      <c r="N609" s="14">
        <v>15000000</v>
      </c>
      <c r="O609" s="40" t="s">
        <v>1679</v>
      </c>
      <c r="P609" s="10">
        <v>48000000</v>
      </c>
      <c r="Q609" s="3">
        <f t="shared" si="75"/>
        <v>3975494400</v>
      </c>
      <c r="R609" s="3">
        <v>3912494400</v>
      </c>
      <c r="S609" s="7"/>
      <c r="T609" s="30">
        <v>15000000</v>
      </c>
      <c r="U609" s="3">
        <v>24000000</v>
      </c>
      <c r="V609" s="7"/>
      <c r="W609" s="36"/>
      <c r="X609" s="36">
        <f t="shared" si="76"/>
        <v>0</v>
      </c>
      <c r="Y609" s="36">
        <f t="shared" si="77"/>
        <v>0</v>
      </c>
      <c r="Z609" s="36">
        <f t="shared" si="78"/>
        <v>24000000</v>
      </c>
      <c r="AA609" s="4"/>
      <c r="AB609" s="80" t="s">
        <v>3827</v>
      </c>
    </row>
    <row r="610" spans="1:28" ht="42" x14ac:dyDescent="0.3">
      <c r="A610" s="7" t="s">
        <v>2290</v>
      </c>
      <c r="B610" s="6">
        <v>587</v>
      </c>
      <c r="C610" s="7" t="s">
        <v>2323</v>
      </c>
      <c r="D610" s="7" t="s">
        <v>2490</v>
      </c>
      <c r="E610" s="7" t="s">
        <v>982</v>
      </c>
      <c r="F610" s="7" t="s">
        <v>2491</v>
      </c>
      <c r="G610" s="5"/>
      <c r="H610" s="5"/>
      <c r="I610" s="21" t="s">
        <v>2492</v>
      </c>
      <c r="J610" s="7" t="s">
        <v>24</v>
      </c>
      <c r="K610" s="7" t="s">
        <v>2493</v>
      </c>
      <c r="L610" s="14">
        <v>1123628598</v>
      </c>
      <c r="M610" s="14">
        <v>258107850</v>
      </c>
      <c r="N610" s="14">
        <v>7500000</v>
      </c>
      <c r="O610" s="40"/>
      <c r="P610" s="40"/>
      <c r="Q610" s="3">
        <f t="shared" si="75"/>
        <v>1389236448</v>
      </c>
      <c r="R610" s="3">
        <v>1123628598</v>
      </c>
      <c r="S610" s="3">
        <v>258107850</v>
      </c>
      <c r="T610" s="30">
        <v>7500000</v>
      </c>
      <c r="U610" s="7"/>
      <c r="V610" s="7"/>
      <c r="W610" s="36"/>
      <c r="X610" s="36">
        <f t="shared" si="76"/>
        <v>0</v>
      </c>
      <c r="Y610" s="36">
        <f t="shared" si="77"/>
        <v>0</v>
      </c>
      <c r="Z610" s="36">
        <f t="shared" si="78"/>
        <v>0</v>
      </c>
      <c r="AA610" s="4"/>
      <c r="AB610" s="79"/>
    </row>
    <row r="611" spans="1:28" ht="42" x14ac:dyDescent="0.3">
      <c r="A611" s="7" t="s">
        <v>1601</v>
      </c>
      <c r="B611" s="6">
        <v>588</v>
      </c>
      <c r="C611" s="7" t="s">
        <v>2323</v>
      </c>
      <c r="D611" s="7" t="s">
        <v>2494</v>
      </c>
      <c r="E611" s="7" t="s">
        <v>982</v>
      </c>
      <c r="F611" s="7" t="s">
        <v>2495</v>
      </c>
      <c r="G611" s="5"/>
      <c r="H611" s="5"/>
      <c r="I611" s="21" t="s">
        <v>2496</v>
      </c>
      <c r="J611" s="7" t="s">
        <v>24</v>
      </c>
      <c r="K611" s="7" t="s">
        <v>2497</v>
      </c>
      <c r="L611" s="14">
        <v>289367750</v>
      </c>
      <c r="M611" s="14">
        <v>66783150</v>
      </c>
      <c r="N611" s="14">
        <v>7500000</v>
      </c>
      <c r="O611" s="40"/>
      <c r="P611" s="40"/>
      <c r="Q611" s="3">
        <f t="shared" si="75"/>
        <v>363650900</v>
      </c>
      <c r="R611" s="3">
        <v>289367750</v>
      </c>
      <c r="S611" s="3">
        <v>66783150</v>
      </c>
      <c r="T611" s="30">
        <v>7500000</v>
      </c>
      <c r="U611" s="7"/>
      <c r="V611" s="7"/>
      <c r="W611" s="36"/>
      <c r="X611" s="36">
        <f t="shared" si="76"/>
        <v>0</v>
      </c>
      <c r="Y611" s="36">
        <f t="shared" si="77"/>
        <v>0</v>
      </c>
      <c r="Z611" s="36">
        <f t="shared" si="78"/>
        <v>0</v>
      </c>
      <c r="AA611" s="4"/>
      <c r="AB611" s="79"/>
    </row>
    <row r="612" spans="1:28" ht="42" x14ac:dyDescent="0.3">
      <c r="A612" s="7" t="s">
        <v>1601</v>
      </c>
      <c r="B612" s="6">
        <v>589</v>
      </c>
      <c r="C612" s="7" t="s">
        <v>2323</v>
      </c>
      <c r="D612" s="7" t="s">
        <v>2498</v>
      </c>
      <c r="E612" s="5"/>
      <c r="F612" s="7" t="s">
        <v>2499</v>
      </c>
      <c r="G612" s="5"/>
      <c r="H612" s="5"/>
      <c r="I612" s="21" t="s">
        <v>2500</v>
      </c>
      <c r="J612" s="7" t="s">
        <v>24</v>
      </c>
      <c r="K612" s="7" t="s">
        <v>2501</v>
      </c>
      <c r="L612" s="14">
        <v>1143797868</v>
      </c>
      <c r="M612" s="5"/>
      <c r="N612" s="14">
        <v>15000000</v>
      </c>
      <c r="O612" s="40" t="s">
        <v>858</v>
      </c>
      <c r="P612" s="10">
        <v>24000000</v>
      </c>
      <c r="Q612" s="3">
        <f t="shared" si="75"/>
        <v>1182797868</v>
      </c>
      <c r="R612" s="36">
        <v>1143797868</v>
      </c>
      <c r="S612" s="7"/>
      <c r="T612" s="30">
        <v>15000000</v>
      </c>
      <c r="U612" s="3">
        <v>24000000</v>
      </c>
      <c r="V612" s="7"/>
      <c r="W612" s="36"/>
      <c r="X612" s="36">
        <f t="shared" si="76"/>
        <v>0</v>
      </c>
      <c r="Y612" s="36">
        <f t="shared" si="77"/>
        <v>0</v>
      </c>
      <c r="Z612" s="36">
        <f t="shared" si="78"/>
        <v>0</v>
      </c>
      <c r="AA612" s="4"/>
      <c r="AB612" s="79"/>
    </row>
    <row r="613" spans="1:28" ht="31.2" x14ac:dyDescent="0.3">
      <c r="A613" s="7" t="s">
        <v>62</v>
      </c>
      <c r="B613" s="6">
        <v>590</v>
      </c>
      <c r="C613" s="7" t="s">
        <v>2323</v>
      </c>
      <c r="D613" s="7" t="s">
        <v>2502</v>
      </c>
      <c r="E613" s="5"/>
      <c r="F613" s="7" t="s">
        <v>2503</v>
      </c>
      <c r="G613" s="5"/>
      <c r="H613" s="5"/>
      <c r="I613" s="21" t="s">
        <v>2504</v>
      </c>
      <c r="J613" s="7" t="s">
        <v>24</v>
      </c>
      <c r="K613" s="7" t="s">
        <v>2505</v>
      </c>
      <c r="L613" s="14">
        <v>1667596776</v>
      </c>
      <c r="M613" s="5"/>
      <c r="N613" s="14">
        <v>7500000</v>
      </c>
      <c r="O613" s="40"/>
      <c r="P613" s="40"/>
      <c r="Q613" s="3">
        <f t="shared" si="75"/>
        <v>1675096776</v>
      </c>
      <c r="R613" s="3">
        <v>1667596776</v>
      </c>
      <c r="S613" s="7"/>
      <c r="T613" s="30">
        <v>7500000</v>
      </c>
      <c r="U613" s="7"/>
      <c r="V613" s="7"/>
      <c r="W613" s="36"/>
      <c r="X613" s="36">
        <f t="shared" si="76"/>
        <v>0</v>
      </c>
      <c r="Y613" s="36">
        <f t="shared" si="77"/>
        <v>0</v>
      </c>
      <c r="Z613" s="36">
        <f t="shared" si="78"/>
        <v>0</v>
      </c>
      <c r="AA613" s="4"/>
      <c r="AB613" s="79"/>
    </row>
    <row r="614" spans="1:28" ht="42" x14ac:dyDescent="0.4">
      <c r="A614" s="40" t="s">
        <v>18</v>
      </c>
      <c r="B614" s="6">
        <v>591</v>
      </c>
      <c r="C614" s="7" t="s">
        <v>2323</v>
      </c>
      <c r="D614" s="7" t="s">
        <v>2506</v>
      </c>
      <c r="E614" s="7" t="s">
        <v>1145</v>
      </c>
      <c r="F614" s="7" t="s">
        <v>2507</v>
      </c>
      <c r="G614" s="7" t="s">
        <v>2508</v>
      </c>
      <c r="H614" s="5"/>
      <c r="I614" s="21" t="s">
        <v>2509</v>
      </c>
      <c r="J614" s="7" t="s">
        <v>24</v>
      </c>
      <c r="K614" s="7" t="s">
        <v>2510</v>
      </c>
      <c r="L614" s="14">
        <v>1856869939</v>
      </c>
      <c r="M614" s="14">
        <v>461717485</v>
      </c>
      <c r="N614" s="14">
        <v>15000000</v>
      </c>
      <c r="O614" s="7" t="s">
        <v>505</v>
      </c>
      <c r="P614" s="3">
        <v>8000000</v>
      </c>
      <c r="Q614" s="3">
        <f t="shared" si="75"/>
        <v>2341587424</v>
      </c>
      <c r="R614" s="7"/>
      <c r="S614" s="7"/>
      <c r="T614" s="30">
        <v>15000000</v>
      </c>
      <c r="U614" s="7"/>
      <c r="V614" s="7"/>
      <c r="W614" s="36">
        <v>1856869939</v>
      </c>
      <c r="X614" s="36">
        <f t="shared" si="76"/>
        <v>461717485</v>
      </c>
      <c r="Y614" s="36">
        <f t="shared" si="77"/>
        <v>0</v>
      </c>
      <c r="Z614" s="36">
        <f t="shared" si="78"/>
        <v>8000000</v>
      </c>
      <c r="AA614" s="16">
        <v>1856869939</v>
      </c>
      <c r="AB614" s="83"/>
    </row>
    <row r="615" spans="1:28" ht="31.2" x14ac:dyDescent="0.3">
      <c r="A615" s="7" t="s">
        <v>1601</v>
      </c>
      <c r="B615" s="6">
        <v>592</v>
      </c>
      <c r="C615" s="7" t="s">
        <v>2323</v>
      </c>
      <c r="D615" s="7" t="s">
        <v>2511</v>
      </c>
      <c r="E615" s="7" t="s">
        <v>2513</v>
      </c>
      <c r="F615" s="7" t="s">
        <v>2514</v>
      </c>
      <c r="G615" s="7" t="s">
        <v>2515</v>
      </c>
      <c r="H615" s="5"/>
      <c r="I615" s="21" t="s">
        <v>2516</v>
      </c>
      <c r="J615" s="7" t="s">
        <v>24</v>
      </c>
      <c r="K615" s="7" t="s">
        <v>2517</v>
      </c>
      <c r="L615" s="14">
        <v>9029596830</v>
      </c>
      <c r="M615" s="14">
        <v>1111289520</v>
      </c>
      <c r="N615" s="14">
        <v>7500000</v>
      </c>
      <c r="O615" s="40" t="s">
        <v>2512</v>
      </c>
      <c r="P615" s="10">
        <v>48000000</v>
      </c>
      <c r="Q615" s="3">
        <f t="shared" si="75"/>
        <v>10196386350</v>
      </c>
      <c r="R615" s="36">
        <v>9029596830</v>
      </c>
      <c r="S615" s="3">
        <v>1111289520</v>
      </c>
      <c r="T615" s="72"/>
      <c r="U615" s="3">
        <v>48000000</v>
      </c>
      <c r="V615" s="7"/>
      <c r="W615" s="36"/>
      <c r="X615" s="36">
        <f t="shared" si="76"/>
        <v>0</v>
      </c>
      <c r="Y615" s="36">
        <f t="shared" si="77"/>
        <v>7500000</v>
      </c>
      <c r="Z615" s="36">
        <f t="shared" si="78"/>
        <v>0</v>
      </c>
      <c r="AA615" s="4"/>
      <c r="AB615" s="79"/>
    </row>
    <row r="616" spans="1:28" ht="31.2" x14ac:dyDescent="0.3">
      <c r="A616" s="7" t="s">
        <v>1601</v>
      </c>
      <c r="B616" s="6">
        <v>593</v>
      </c>
      <c r="C616" s="7" t="s">
        <v>2323</v>
      </c>
      <c r="D616" s="7" t="s">
        <v>2518</v>
      </c>
      <c r="E616" s="5"/>
      <c r="F616" s="7" t="s">
        <v>2519</v>
      </c>
      <c r="G616" s="5"/>
      <c r="H616" s="5"/>
      <c r="I616" s="21" t="s">
        <v>2520</v>
      </c>
      <c r="J616" s="7" t="s">
        <v>24</v>
      </c>
      <c r="K616" s="7" t="s">
        <v>2521</v>
      </c>
      <c r="L616" s="14">
        <v>4657447500</v>
      </c>
      <c r="M616" s="5"/>
      <c r="N616" s="14">
        <v>7500000</v>
      </c>
      <c r="O616" s="40"/>
      <c r="P616" s="40"/>
      <c r="Q616" s="3">
        <f t="shared" si="75"/>
        <v>4664947500</v>
      </c>
      <c r="R616" s="3">
        <v>4657447500</v>
      </c>
      <c r="S616" s="7"/>
      <c r="T616" s="30">
        <v>7500000</v>
      </c>
      <c r="U616" s="7"/>
      <c r="V616" s="7"/>
      <c r="W616" s="36"/>
      <c r="X616" s="36">
        <f t="shared" si="76"/>
        <v>0</v>
      </c>
      <c r="Y616" s="36">
        <f t="shared" si="77"/>
        <v>0</v>
      </c>
      <c r="Z616" s="36">
        <f t="shared" si="78"/>
        <v>0</v>
      </c>
      <c r="AA616" s="4"/>
      <c r="AB616" s="79"/>
    </row>
    <row r="617" spans="1:28" ht="42" x14ac:dyDescent="0.3">
      <c r="A617" s="7" t="s">
        <v>1601</v>
      </c>
      <c r="B617" s="6">
        <v>594</v>
      </c>
      <c r="C617" s="7" t="s">
        <v>2323</v>
      </c>
      <c r="D617" s="7" t="s">
        <v>2522</v>
      </c>
      <c r="E617" s="5"/>
      <c r="F617" s="7" t="s">
        <v>2523</v>
      </c>
      <c r="G617" s="5"/>
      <c r="H617" s="5"/>
      <c r="I617" s="21" t="s">
        <v>1536</v>
      </c>
      <c r="J617" s="7" t="s">
        <v>24</v>
      </c>
      <c r="K617" s="7" t="s">
        <v>2524</v>
      </c>
      <c r="L617" s="14">
        <v>3031671576</v>
      </c>
      <c r="M617" s="5"/>
      <c r="N617" s="14">
        <v>15000000</v>
      </c>
      <c r="O617" s="40"/>
      <c r="P617" s="40"/>
      <c r="Q617" s="3">
        <f t="shared" si="75"/>
        <v>3046671576</v>
      </c>
      <c r="R617" s="36">
        <v>3031671576</v>
      </c>
      <c r="S617" s="7"/>
      <c r="T617" s="30">
        <v>15000000</v>
      </c>
      <c r="U617" s="7"/>
      <c r="V617" s="7"/>
      <c r="W617" s="36"/>
      <c r="X617" s="36">
        <f t="shared" si="76"/>
        <v>0</v>
      </c>
      <c r="Y617" s="36">
        <f t="shared" si="77"/>
        <v>0</v>
      </c>
      <c r="Z617" s="36">
        <f t="shared" si="78"/>
        <v>0</v>
      </c>
      <c r="AA617" s="4"/>
      <c r="AB617" s="79"/>
    </row>
    <row r="618" spans="1:28" ht="31.2" x14ac:dyDescent="0.3">
      <c r="A618" s="7" t="s">
        <v>46</v>
      </c>
      <c r="B618" s="6">
        <v>595</v>
      </c>
      <c r="C618" s="7" t="s">
        <v>2323</v>
      </c>
      <c r="D618" s="7" t="s">
        <v>2525</v>
      </c>
      <c r="E618" s="5"/>
      <c r="F618" s="7" t="s">
        <v>2526</v>
      </c>
      <c r="G618" s="5"/>
      <c r="H618" s="5"/>
      <c r="I618" s="21" t="s">
        <v>2527</v>
      </c>
      <c r="J618" s="7" t="s">
        <v>24</v>
      </c>
      <c r="K618" s="7" t="s">
        <v>2528</v>
      </c>
      <c r="L618" s="14">
        <v>3664053620</v>
      </c>
      <c r="M618" s="5"/>
      <c r="N618" s="14">
        <v>15000000</v>
      </c>
      <c r="O618" s="40"/>
      <c r="P618" s="40"/>
      <c r="Q618" s="3">
        <f t="shared" si="75"/>
        <v>3679053620</v>
      </c>
      <c r="R618" s="3">
        <v>3664053620</v>
      </c>
      <c r="S618" s="7"/>
      <c r="T618" s="30">
        <v>15000000</v>
      </c>
      <c r="U618" s="7"/>
      <c r="V618" s="7"/>
      <c r="W618" s="36"/>
      <c r="X618" s="36">
        <f t="shared" si="76"/>
        <v>0</v>
      </c>
      <c r="Y618" s="36">
        <f t="shared" si="77"/>
        <v>0</v>
      </c>
      <c r="Z618" s="36">
        <f t="shared" si="78"/>
        <v>0</v>
      </c>
      <c r="AA618" s="4"/>
      <c r="AB618" s="79"/>
    </row>
    <row r="619" spans="1:28" ht="31.2" x14ac:dyDescent="0.3">
      <c r="A619" s="7" t="s">
        <v>18</v>
      </c>
      <c r="B619" s="6">
        <v>596</v>
      </c>
      <c r="C619" s="7" t="s">
        <v>2323</v>
      </c>
      <c r="D619" s="7" t="s">
        <v>2529</v>
      </c>
      <c r="E619" s="5"/>
      <c r="F619" s="7" t="s">
        <v>2530</v>
      </c>
      <c r="G619" s="5"/>
      <c r="H619" s="5"/>
      <c r="I619" s="21" t="s">
        <v>2531</v>
      </c>
      <c r="J619" s="7" t="s">
        <v>24</v>
      </c>
      <c r="K619" s="7" t="s">
        <v>2532</v>
      </c>
      <c r="L619" s="14">
        <v>4539694518</v>
      </c>
      <c r="M619" s="5"/>
      <c r="N619" s="14">
        <v>15000000</v>
      </c>
      <c r="O619" s="40"/>
      <c r="P619" s="40"/>
      <c r="Q619" s="3">
        <f t="shared" si="75"/>
        <v>4554694518</v>
      </c>
      <c r="R619" s="3">
        <v>4539694518</v>
      </c>
      <c r="S619" s="7"/>
      <c r="T619" s="30">
        <v>15000000</v>
      </c>
      <c r="U619" s="7"/>
      <c r="V619" s="7"/>
      <c r="W619" s="36"/>
      <c r="X619" s="36">
        <f t="shared" si="76"/>
        <v>0</v>
      </c>
      <c r="Y619" s="36">
        <f t="shared" si="77"/>
        <v>0</v>
      </c>
      <c r="Z619" s="36">
        <f t="shared" si="78"/>
        <v>0</v>
      </c>
      <c r="AA619" s="4"/>
      <c r="AB619" s="79"/>
    </row>
    <row r="620" spans="1:28" ht="46.8" x14ac:dyDescent="0.3">
      <c r="A620" s="7" t="s">
        <v>18</v>
      </c>
      <c r="B620" s="6">
        <v>597</v>
      </c>
      <c r="C620" s="7" t="s">
        <v>2323</v>
      </c>
      <c r="D620" s="7" t="s">
        <v>2533</v>
      </c>
      <c r="E620" s="5"/>
      <c r="F620" s="7" t="s">
        <v>2534</v>
      </c>
      <c r="G620" s="5"/>
      <c r="H620" s="5"/>
      <c r="I620" s="21" t="s">
        <v>2535</v>
      </c>
      <c r="J620" s="7" t="s">
        <v>24</v>
      </c>
      <c r="K620" s="7" t="s">
        <v>2536</v>
      </c>
      <c r="L620" s="14">
        <v>594243660</v>
      </c>
      <c r="M620" s="5"/>
      <c r="N620" s="14">
        <v>15000000</v>
      </c>
      <c r="O620" s="40" t="s">
        <v>1208</v>
      </c>
      <c r="P620" s="10">
        <v>60000000</v>
      </c>
      <c r="Q620" s="3">
        <f t="shared" si="75"/>
        <v>669243660</v>
      </c>
      <c r="R620" s="3">
        <v>594243660</v>
      </c>
      <c r="S620" s="7"/>
      <c r="T620" s="30">
        <v>15000000</v>
      </c>
      <c r="U620" s="3">
        <v>60000000</v>
      </c>
      <c r="V620" s="7"/>
      <c r="W620" s="36"/>
      <c r="X620" s="36">
        <f t="shared" si="76"/>
        <v>0</v>
      </c>
      <c r="Y620" s="36">
        <f t="shared" si="77"/>
        <v>0</v>
      </c>
      <c r="Z620" s="36">
        <f t="shared" si="78"/>
        <v>0</v>
      </c>
      <c r="AA620" s="4"/>
      <c r="AB620" s="79"/>
    </row>
    <row r="621" spans="1:28" ht="42" x14ac:dyDescent="0.3">
      <c r="A621" s="7" t="s">
        <v>18</v>
      </c>
      <c r="B621" s="6">
        <v>598</v>
      </c>
      <c r="C621" s="7" t="s">
        <v>2323</v>
      </c>
      <c r="D621" s="7" t="s">
        <v>2537</v>
      </c>
      <c r="E621" s="5"/>
      <c r="F621" s="7" t="s">
        <v>2538</v>
      </c>
      <c r="G621" s="5"/>
      <c r="H621" s="5"/>
      <c r="I621" s="21" t="s">
        <v>2539</v>
      </c>
      <c r="J621" s="7" t="s">
        <v>24</v>
      </c>
      <c r="K621" s="7" t="s">
        <v>1631</v>
      </c>
      <c r="L621" s="14">
        <v>1167043337</v>
      </c>
      <c r="M621" s="5"/>
      <c r="N621" s="14">
        <v>15000000</v>
      </c>
      <c r="O621" s="40"/>
      <c r="P621" s="40"/>
      <c r="Q621" s="3">
        <f t="shared" si="75"/>
        <v>1182043337</v>
      </c>
      <c r="R621" s="3">
        <v>1167043337</v>
      </c>
      <c r="S621" s="7"/>
      <c r="T621" s="30">
        <v>15000000</v>
      </c>
      <c r="U621" s="7"/>
      <c r="V621" s="7"/>
      <c r="W621" s="36"/>
      <c r="X621" s="36">
        <f t="shared" si="76"/>
        <v>0</v>
      </c>
      <c r="Y621" s="36">
        <f t="shared" si="77"/>
        <v>0</v>
      </c>
      <c r="Z621" s="36">
        <f t="shared" si="78"/>
        <v>0</v>
      </c>
      <c r="AA621" s="4"/>
      <c r="AB621" s="79"/>
    </row>
    <row r="622" spans="1:28" ht="84" x14ac:dyDescent="0.3">
      <c r="A622" s="7" t="s">
        <v>46</v>
      </c>
      <c r="B622" s="6">
        <v>599</v>
      </c>
      <c r="C622" s="7" t="s">
        <v>2323</v>
      </c>
      <c r="D622" s="7" t="s">
        <v>2540</v>
      </c>
      <c r="E622" s="7" t="s">
        <v>2542</v>
      </c>
      <c r="F622" s="7" t="s">
        <v>2543</v>
      </c>
      <c r="G622" s="5"/>
      <c r="H622" s="5"/>
      <c r="I622" s="21" t="s">
        <v>2544</v>
      </c>
      <c r="J622" s="7" t="s">
        <v>24</v>
      </c>
      <c r="K622" s="7" t="s">
        <v>2545</v>
      </c>
      <c r="L622" s="14">
        <v>1021855390</v>
      </c>
      <c r="M622" s="14">
        <v>627822258</v>
      </c>
      <c r="N622" s="14">
        <v>15000000</v>
      </c>
      <c r="O622" s="40" t="s">
        <v>2541</v>
      </c>
      <c r="P622" s="10">
        <v>24000000</v>
      </c>
      <c r="Q622" s="3">
        <f t="shared" si="75"/>
        <v>1688677648</v>
      </c>
      <c r="R622" s="3">
        <v>1021855390</v>
      </c>
      <c r="S622" s="3">
        <v>627822258</v>
      </c>
      <c r="T622" s="30">
        <v>15000000</v>
      </c>
      <c r="U622" s="3">
        <v>24000000</v>
      </c>
      <c r="V622" s="7"/>
      <c r="W622" s="36"/>
      <c r="X622" s="36">
        <f t="shared" si="76"/>
        <v>0</v>
      </c>
      <c r="Y622" s="36">
        <f t="shared" si="77"/>
        <v>0</v>
      </c>
      <c r="Z622" s="36">
        <f t="shared" si="78"/>
        <v>0</v>
      </c>
      <c r="AA622" s="4"/>
      <c r="AB622" s="79"/>
    </row>
    <row r="623" spans="1:28" ht="42" x14ac:dyDescent="0.3">
      <c r="A623" s="7" t="s">
        <v>62</v>
      </c>
      <c r="B623" s="6">
        <v>600</v>
      </c>
      <c r="C623" s="7" t="s">
        <v>2323</v>
      </c>
      <c r="D623" s="7" t="s">
        <v>2546</v>
      </c>
      <c r="E623" s="7" t="s">
        <v>2547</v>
      </c>
      <c r="F623" s="7" t="s">
        <v>2548</v>
      </c>
      <c r="G623" s="7" t="s">
        <v>2549</v>
      </c>
      <c r="H623" s="5"/>
      <c r="I623" s="21" t="s">
        <v>2550</v>
      </c>
      <c r="J623" s="7" t="s">
        <v>24</v>
      </c>
      <c r="K623" s="7" t="s">
        <v>2551</v>
      </c>
      <c r="L623" s="14">
        <v>1144818850</v>
      </c>
      <c r="M623" s="14">
        <v>312256350</v>
      </c>
      <c r="N623" s="14">
        <v>7500000</v>
      </c>
      <c r="O623" s="40"/>
      <c r="P623" s="40"/>
      <c r="Q623" s="3">
        <f t="shared" si="75"/>
        <v>1464575200</v>
      </c>
      <c r="R623" s="3">
        <v>1144818850</v>
      </c>
      <c r="S623" s="3">
        <v>312256350</v>
      </c>
      <c r="T623" s="30">
        <v>7500000</v>
      </c>
      <c r="U623" s="7"/>
      <c r="V623" s="7"/>
      <c r="W623" s="36"/>
      <c r="X623" s="36">
        <f t="shared" si="76"/>
        <v>0</v>
      </c>
      <c r="Y623" s="36">
        <f t="shared" si="77"/>
        <v>0</v>
      </c>
      <c r="Z623" s="36">
        <f t="shared" si="78"/>
        <v>0</v>
      </c>
      <c r="AA623" s="4"/>
      <c r="AB623" s="79"/>
    </row>
    <row r="624" spans="1:28" ht="62.4" x14ac:dyDescent="0.3">
      <c r="A624" s="7" t="s">
        <v>18</v>
      </c>
      <c r="B624" s="6">
        <v>601</v>
      </c>
      <c r="C624" s="7" t="s">
        <v>2323</v>
      </c>
      <c r="D624" s="7" t="s">
        <v>2552</v>
      </c>
      <c r="E624" s="7" t="s">
        <v>2554</v>
      </c>
      <c r="F624" s="7" t="s">
        <v>2555</v>
      </c>
      <c r="G624" s="5"/>
      <c r="H624" s="5"/>
      <c r="I624" s="21" t="s">
        <v>2556</v>
      </c>
      <c r="J624" s="7" t="s">
        <v>24</v>
      </c>
      <c r="K624" s="7" t="s">
        <v>2557</v>
      </c>
      <c r="L624" s="14">
        <v>9937143048</v>
      </c>
      <c r="M624" s="14">
        <v>11165154312</v>
      </c>
      <c r="N624" s="14">
        <v>15000000</v>
      </c>
      <c r="O624" s="40" t="s">
        <v>2553</v>
      </c>
      <c r="P624" s="10">
        <v>216000000</v>
      </c>
      <c r="Q624" s="3">
        <f t="shared" si="75"/>
        <v>21333297360</v>
      </c>
      <c r="R624" s="3">
        <v>9937143048</v>
      </c>
      <c r="S624" s="3">
        <v>11165154312</v>
      </c>
      <c r="T624" s="30">
        <v>15000000</v>
      </c>
      <c r="U624" s="3">
        <v>72000000</v>
      </c>
      <c r="V624" s="7"/>
      <c r="W624" s="36"/>
      <c r="X624" s="36">
        <f t="shared" si="76"/>
        <v>0</v>
      </c>
      <c r="Y624" s="36">
        <f t="shared" si="77"/>
        <v>0</v>
      </c>
      <c r="Z624" s="36">
        <f t="shared" si="78"/>
        <v>144000000</v>
      </c>
      <c r="AA624" s="4"/>
      <c r="AB624" s="80" t="s">
        <v>3822</v>
      </c>
    </row>
    <row r="625" spans="1:28" ht="63" x14ac:dyDescent="0.3">
      <c r="A625" s="7" t="s">
        <v>1601</v>
      </c>
      <c r="B625" s="6">
        <v>602</v>
      </c>
      <c r="C625" s="7" t="s">
        <v>2323</v>
      </c>
      <c r="D625" s="7" t="s">
        <v>2558</v>
      </c>
      <c r="E625" s="5"/>
      <c r="F625" s="7" t="s">
        <v>2559</v>
      </c>
      <c r="G625" s="5"/>
      <c r="H625" s="5"/>
      <c r="I625" s="21" t="s">
        <v>2560</v>
      </c>
      <c r="J625" s="7" t="s">
        <v>24</v>
      </c>
      <c r="K625" s="7" t="s">
        <v>2561</v>
      </c>
      <c r="L625" s="14">
        <v>3859546610</v>
      </c>
      <c r="M625" s="5"/>
      <c r="N625" s="14">
        <v>15000000</v>
      </c>
      <c r="O625" s="40"/>
      <c r="P625" s="40"/>
      <c r="Q625" s="3">
        <f t="shared" si="75"/>
        <v>3874546610</v>
      </c>
      <c r="R625" s="7"/>
      <c r="S625" s="7"/>
      <c r="T625" s="72"/>
      <c r="U625" s="7"/>
      <c r="V625" s="7"/>
      <c r="W625" s="36">
        <v>3859546610</v>
      </c>
      <c r="X625" s="36">
        <f t="shared" si="76"/>
        <v>0</v>
      </c>
      <c r="Y625" s="36">
        <f t="shared" si="77"/>
        <v>15000000</v>
      </c>
      <c r="Z625" s="36">
        <f t="shared" si="78"/>
        <v>0</v>
      </c>
      <c r="AA625" s="8">
        <v>3859546610</v>
      </c>
      <c r="AB625" s="79"/>
    </row>
    <row r="626" spans="1:28" ht="63" x14ac:dyDescent="0.3">
      <c r="A626" s="7" t="s">
        <v>53</v>
      </c>
      <c r="B626" s="6">
        <v>603</v>
      </c>
      <c r="C626" s="7" t="s">
        <v>2562</v>
      </c>
      <c r="D626" s="7" t="s">
        <v>2563</v>
      </c>
      <c r="E626" s="5"/>
      <c r="F626" s="7" t="s">
        <v>2564</v>
      </c>
      <c r="G626" s="5"/>
      <c r="H626" s="7" t="s">
        <v>2565</v>
      </c>
      <c r="I626" s="21" t="s">
        <v>2566</v>
      </c>
      <c r="J626" s="7" t="s">
        <v>24</v>
      </c>
      <c r="K626" s="7" t="s">
        <v>2567</v>
      </c>
      <c r="L626" s="14">
        <v>8125156619</v>
      </c>
      <c r="M626" s="5"/>
      <c r="N626" s="14">
        <v>15000000</v>
      </c>
      <c r="O626" s="40"/>
      <c r="P626" s="40"/>
      <c r="Q626" s="3">
        <f t="shared" si="75"/>
        <v>8140156619</v>
      </c>
      <c r="R626" s="3">
        <v>8125156619</v>
      </c>
      <c r="S626" s="7"/>
      <c r="T626" s="30">
        <v>15000000</v>
      </c>
      <c r="U626" s="7"/>
      <c r="V626" s="7"/>
      <c r="W626" s="36"/>
      <c r="X626" s="36">
        <f t="shared" si="76"/>
        <v>0</v>
      </c>
      <c r="Y626" s="36">
        <f t="shared" si="77"/>
        <v>0</v>
      </c>
      <c r="Z626" s="36">
        <f t="shared" si="78"/>
        <v>0</v>
      </c>
      <c r="AA626" s="4"/>
      <c r="AB626" s="79"/>
    </row>
    <row r="627" spans="1:28" ht="62.4" x14ac:dyDescent="0.3">
      <c r="A627" s="7" t="s">
        <v>46</v>
      </c>
      <c r="B627" s="6">
        <v>604</v>
      </c>
      <c r="C627" s="7" t="s">
        <v>2562</v>
      </c>
      <c r="D627" s="7" t="s">
        <v>2568</v>
      </c>
      <c r="E627" s="5"/>
      <c r="F627" s="7" t="s">
        <v>2570</v>
      </c>
      <c r="G627" s="5"/>
      <c r="H627" s="7" t="s">
        <v>2565</v>
      </c>
      <c r="I627" s="21" t="s">
        <v>2571</v>
      </c>
      <c r="J627" s="7" t="s">
        <v>24</v>
      </c>
      <c r="K627" s="7" t="s">
        <v>2572</v>
      </c>
      <c r="L627" s="14">
        <v>1552944130</v>
      </c>
      <c r="M627" s="5"/>
      <c r="N627" s="14">
        <v>15000000</v>
      </c>
      <c r="O627" s="40" t="s">
        <v>2569</v>
      </c>
      <c r="P627" s="10">
        <v>96000000</v>
      </c>
      <c r="Q627" s="3">
        <f t="shared" si="75"/>
        <v>1663944130</v>
      </c>
      <c r="R627" s="3">
        <v>1552944130</v>
      </c>
      <c r="S627" s="7"/>
      <c r="T627" s="30">
        <v>15000000</v>
      </c>
      <c r="U627" s="3">
        <v>48000000</v>
      </c>
      <c r="V627" s="7"/>
      <c r="W627" s="36"/>
      <c r="X627" s="36">
        <f t="shared" si="76"/>
        <v>0</v>
      </c>
      <c r="Y627" s="36">
        <f t="shared" si="77"/>
        <v>0</v>
      </c>
      <c r="Z627" s="36">
        <f t="shared" si="78"/>
        <v>48000000</v>
      </c>
      <c r="AA627" s="4"/>
      <c r="AB627" s="80" t="s">
        <v>3853</v>
      </c>
    </row>
    <row r="628" spans="1:28" ht="42" x14ac:dyDescent="0.3">
      <c r="A628" s="7" t="s">
        <v>62</v>
      </c>
      <c r="B628" s="6">
        <v>605</v>
      </c>
      <c r="C628" s="7" t="s">
        <v>2562</v>
      </c>
      <c r="D628" s="7" t="s">
        <v>2573</v>
      </c>
      <c r="E628" s="7" t="s">
        <v>2574</v>
      </c>
      <c r="F628" s="7" t="s">
        <v>2575</v>
      </c>
      <c r="G628" s="7" t="s">
        <v>2576</v>
      </c>
      <c r="H628" s="5"/>
      <c r="I628" s="21" t="s">
        <v>2577</v>
      </c>
      <c r="J628" s="7" t="s">
        <v>24</v>
      </c>
      <c r="K628" s="7" t="s">
        <v>2578</v>
      </c>
      <c r="L628" s="14">
        <v>1671793805</v>
      </c>
      <c r="M628" s="14">
        <v>397954999</v>
      </c>
      <c r="N628" s="14">
        <v>7500000</v>
      </c>
      <c r="O628" s="40"/>
      <c r="P628" s="40"/>
      <c r="Q628" s="3">
        <f t="shared" si="75"/>
        <v>2077248804</v>
      </c>
      <c r="R628" s="3">
        <v>1671793805</v>
      </c>
      <c r="S628" s="3">
        <v>397954999</v>
      </c>
      <c r="T628" s="72"/>
      <c r="U628" s="7"/>
      <c r="V628" s="7"/>
      <c r="W628" s="36"/>
      <c r="X628" s="36">
        <f t="shared" si="76"/>
        <v>0</v>
      </c>
      <c r="Y628" s="36">
        <f t="shared" si="77"/>
        <v>7500000</v>
      </c>
      <c r="Z628" s="36">
        <f t="shared" si="78"/>
        <v>0</v>
      </c>
      <c r="AA628" s="4"/>
      <c r="AB628" s="79"/>
    </row>
    <row r="629" spans="1:28" ht="31.2" x14ac:dyDescent="0.3">
      <c r="A629" s="7" t="s">
        <v>62</v>
      </c>
      <c r="B629" s="6">
        <v>606</v>
      </c>
      <c r="C629" s="7" t="s">
        <v>2562</v>
      </c>
      <c r="D629" s="7" t="s">
        <v>2579</v>
      </c>
      <c r="E629" s="7" t="s">
        <v>2580</v>
      </c>
      <c r="F629" s="7" t="s">
        <v>2581</v>
      </c>
      <c r="G629" s="7" t="s">
        <v>2582</v>
      </c>
      <c r="H629" s="5"/>
      <c r="I629" s="21" t="s">
        <v>2583</v>
      </c>
      <c r="J629" s="7" t="s">
        <v>24</v>
      </c>
      <c r="K629" s="7" t="s">
        <v>2584</v>
      </c>
      <c r="L629" s="14">
        <v>1335262372</v>
      </c>
      <c r="M629" s="14">
        <v>1131203544</v>
      </c>
      <c r="N629" s="14">
        <v>15000000</v>
      </c>
      <c r="O629" s="40" t="s">
        <v>1559</v>
      </c>
      <c r="P629" s="10">
        <v>24000000</v>
      </c>
      <c r="Q629" s="3">
        <f t="shared" ref="Q629:Q637" si="79">L629+M629+N629+P629</f>
        <v>2505465916</v>
      </c>
      <c r="R629" s="3">
        <v>1335262372</v>
      </c>
      <c r="S629" s="3">
        <v>1131203544</v>
      </c>
      <c r="T629" s="30">
        <v>15000000</v>
      </c>
      <c r="U629" s="3">
        <v>24000000</v>
      </c>
      <c r="V629" s="7"/>
      <c r="W629" s="36"/>
      <c r="X629" s="36">
        <f t="shared" ref="X629:X637" si="80">M629-S629</f>
        <v>0</v>
      </c>
      <c r="Y629" s="36">
        <f t="shared" ref="Y629:Y637" si="81">N629-T629</f>
        <v>0</v>
      </c>
      <c r="Z629" s="36">
        <f t="shared" si="78"/>
        <v>0</v>
      </c>
      <c r="AA629" s="4"/>
      <c r="AB629" s="79"/>
    </row>
    <row r="630" spans="1:28" ht="42" x14ac:dyDescent="0.3">
      <c r="A630" s="7" t="s">
        <v>62</v>
      </c>
      <c r="B630" s="6">
        <v>607</v>
      </c>
      <c r="C630" s="7" t="s">
        <v>2562</v>
      </c>
      <c r="D630" s="7" t="s">
        <v>2585</v>
      </c>
      <c r="E630" s="5"/>
      <c r="F630" s="7" t="s">
        <v>2586</v>
      </c>
      <c r="G630" s="5"/>
      <c r="H630" s="5"/>
      <c r="I630" s="21" t="s">
        <v>2587</v>
      </c>
      <c r="J630" s="7" t="s">
        <v>24</v>
      </c>
      <c r="K630" s="7" t="s">
        <v>2524</v>
      </c>
      <c r="L630" s="14">
        <v>49275408</v>
      </c>
      <c r="M630" s="5"/>
      <c r="N630" s="14">
        <v>7500000</v>
      </c>
      <c r="O630" s="40"/>
      <c r="P630" s="40"/>
      <c r="Q630" s="3">
        <f t="shared" si="79"/>
        <v>56775408</v>
      </c>
      <c r="R630" s="3">
        <v>49275408</v>
      </c>
      <c r="S630" s="7"/>
      <c r="T630" s="30">
        <v>7500000</v>
      </c>
      <c r="U630" s="7"/>
      <c r="V630" s="7"/>
      <c r="W630" s="36"/>
      <c r="X630" s="36">
        <f t="shared" si="80"/>
        <v>0</v>
      </c>
      <c r="Y630" s="36">
        <f t="shared" si="81"/>
        <v>0</v>
      </c>
      <c r="Z630" s="36">
        <f t="shared" si="78"/>
        <v>0</v>
      </c>
      <c r="AA630" s="4"/>
      <c r="AB630" s="79"/>
    </row>
    <row r="631" spans="1:28" ht="31.2" x14ac:dyDescent="0.3">
      <c r="A631" s="7" t="s">
        <v>62</v>
      </c>
      <c r="B631" s="6">
        <v>608</v>
      </c>
      <c r="C631" s="7" t="s">
        <v>2562</v>
      </c>
      <c r="D631" s="7" t="s">
        <v>2588</v>
      </c>
      <c r="E631" s="5"/>
      <c r="F631" s="7" t="s">
        <v>2589</v>
      </c>
      <c r="G631" s="5"/>
      <c r="H631" s="5"/>
      <c r="I631" s="21" t="s">
        <v>2590</v>
      </c>
      <c r="J631" s="7" t="s">
        <v>24</v>
      </c>
      <c r="K631" s="7" t="s">
        <v>2591</v>
      </c>
      <c r="L631" s="14">
        <v>2200225188</v>
      </c>
      <c r="M631" s="5"/>
      <c r="N631" s="14">
        <v>7500000</v>
      </c>
      <c r="O631" s="40"/>
      <c r="P631" s="40"/>
      <c r="Q631" s="3">
        <f t="shared" si="79"/>
        <v>2207725188</v>
      </c>
      <c r="R631" s="3">
        <v>2200225188</v>
      </c>
      <c r="S631" s="7"/>
      <c r="T631" s="30">
        <v>7500000</v>
      </c>
      <c r="U631" s="7"/>
      <c r="V631" s="7"/>
      <c r="W631" s="36"/>
      <c r="X631" s="36">
        <f t="shared" si="80"/>
        <v>0</v>
      </c>
      <c r="Y631" s="36">
        <f t="shared" si="81"/>
        <v>0</v>
      </c>
      <c r="Z631" s="36">
        <f t="shared" si="78"/>
        <v>0</v>
      </c>
      <c r="AA631" s="4"/>
      <c r="AB631" s="79"/>
    </row>
    <row r="632" spans="1:28" ht="63" x14ac:dyDescent="0.3">
      <c r="A632" s="7" t="s">
        <v>18</v>
      </c>
      <c r="B632" s="6">
        <v>609</v>
      </c>
      <c r="C632" s="7" t="s">
        <v>2562</v>
      </c>
      <c r="D632" s="7" t="s">
        <v>2592</v>
      </c>
      <c r="E632" s="5"/>
      <c r="F632" s="7" t="s">
        <v>2593</v>
      </c>
      <c r="G632" s="5"/>
      <c r="H632" s="5"/>
      <c r="I632" s="21" t="s">
        <v>2594</v>
      </c>
      <c r="J632" s="7" t="s">
        <v>24</v>
      </c>
      <c r="K632" s="7" t="s">
        <v>2595</v>
      </c>
      <c r="L632" s="14">
        <v>1053577380</v>
      </c>
      <c r="M632" s="5"/>
      <c r="N632" s="14">
        <v>7500000</v>
      </c>
      <c r="O632" s="40"/>
      <c r="P632" s="40"/>
      <c r="Q632" s="3">
        <f t="shared" si="79"/>
        <v>1061077380</v>
      </c>
      <c r="R632" s="3">
        <v>1053577380</v>
      </c>
      <c r="S632" s="7"/>
      <c r="T632" s="72"/>
      <c r="U632" s="7"/>
      <c r="V632" s="7"/>
      <c r="W632" s="36"/>
      <c r="X632" s="36">
        <f t="shared" si="80"/>
        <v>0</v>
      </c>
      <c r="Y632" s="36">
        <f t="shared" si="81"/>
        <v>7500000</v>
      </c>
      <c r="Z632" s="36">
        <f t="shared" si="78"/>
        <v>0</v>
      </c>
      <c r="AA632" s="4"/>
      <c r="AB632" s="79"/>
    </row>
    <row r="633" spans="1:28" ht="31.2" x14ac:dyDescent="0.3">
      <c r="A633" s="7" t="s">
        <v>62</v>
      </c>
      <c r="B633" s="6">
        <v>610</v>
      </c>
      <c r="C633" s="7" t="s">
        <v>2562</v>
      </c>
      <c r="D633" s="7" t="s">
        <v>2596</v>
      </c>
      <c r="E633" s="7" t="s">
        <v>2597</v>
      </c>
      <c r="F633" s="7" t="s">
        <v>2598</v>
      </c>
      <c r="G633" s="7" t="s">
        <v>2599</v>
      </c>
      <c r="H633" s="5"/>
      <c r="I633" s="21" t="s">
        <v>2600</v>
      </c>
      <c r="J633" s="7" t="s">
        <v>24</v>
      </c>
      <c r="K633" s="7" t="s">
        <v>2601</v>
      </c>
      <c r="L633" s="14">
        <v>1419150880</v>
      </c>
      <c r="M633" s="14">
        <v>91469952</v>
      </c>
      <c r="N633" s="14">
        <v>7500000</v>
      </c>
      <c r="O633" s="40"/>
      <c r="P633" s="40"/>
      <c r="Q633" s="3">
        <f t="shared" si="79"/>
        <v>1518120832</v>
      </c>
      <c r="R633" s="3">
        <v>1419150880</v>
      </c>
      <c r="S633" s="3">
        <v>91469952</v>
      </c>
      <c r="T633" s="30">
        <v>7500000</v>
      </c>
      <c r="U633" s="7"/>
      <c r="V633" s="7"/>
      <c r="W633" s="36"/>
      <c r="X633" s="36">
        <f t="shared" si="80"/>
        <v>0</v>
      </c>
      <c r="Y633" s="36">
        <f t="shared" si="81"/>
        <v>0</v>
      </c>
      <c r="Z633" s="36">
        <f t="shared" si="78"/>
        <v>0</v>
      </c>
      <c r="AA633" s="4"/>
      <c r="AB633" s="79"/>
    </row>
    <row r="634" spans="1:28" ht="63" x14ac:dyDescent="0.3">
      <c r="A634" s="7" t="s">
        <v>62</v>
      </c>
      <c r="B634" s="6">
        <v>611</v>
      </c>
      <c r="C634" s="7" t="s">
        <v>2562</v>
      </c>
      <c r="D634" s="7" t="s">
        <v>2602</v>
      </c>
      <c r="E634" s="5"/>
      <c r="F634" s="7" t="s">
        <v>2603</v>
      </c>
      <c r="G634" s="5"/>
      <c r="H634" s="5"/>
      <c r="I634" s="21" t="s">
        <v>2604</v>
      </c>
      <c r="J634" s="7" t="s">
        <v>24</v>
      </c>
      <c r="K634" s="7" t="s">
        <v>2605</v>
      </c>
      <c r="L634" s="14">
        <v>2821214140</v>
      </c>
      <c r="M634" s="5"/>
      <c r="N634" s="14">
        <v>15000000</v>
      </c>
      <c r="O634" s="40"/>
      <c r="P634" s="40"/>
      <c r="Q634" s="3">
        <f t="shared" si="79"/>
        <v>2836214140</v>
      </c>
      <c r="R634" s="3">
        <v>2821214140</v>
      </c>
      <c r="S634" s="7"/>
      <c r="T634" s="30">
        <v>15000000</v>
      </c>
      <c r="U634" s="7"/>
      <c r="V634" s="7"/>
      <c r="W634" s="36"/>
      <c r="X634" s="36">
        <f t="shared" si="80"/>
        <v>0</v>
      </c>
      <c r="Y634" s="36">
        <f t="shared" si="81"/>
        <v>0</v>
      </c>
      <c r="Z634" s="36">
        <f t="shared" si="78"/>
        <v>0</v>
      </c>
      <c r="AA634" s="4"/>
      <c r="AB634" s="79"/>
    </row>
    <row r="635" spans="1:28" ht="31.2" x14ac:dyDescent="0.3">
      <c r="A635" s="7" t="s">
        <v>1601</v>
      </c>
      <c r="B635" s="6">
        <v>612</v>
      </c>
      <c r="C635" s="7" t="s">
        <v>2562</v>
      </c>
      <c r="D635" s="7" t="s">
        <v>2606</v>
      </c>
      <c r="E635" s="5"/>
      <c r="F635" s="7" t="s">
        <v>2607</v>
      </c>
      <c r="G635" s="5"/>
      <c r="H635" s="5"/>
      <c r="I635" s="21" t="s">
        <v>2608</v>
      </c>
      <c r="J635" s="7" t="s">
        <v>24</v>
      </c>
      <c r="K635" s="7" t="s">
        <v>2609</v>
      </c>
      <c r="L635" s="14">
        <v>4672084520</v>
      </c>
      <c r="M635" s="5"/>
      <c r="N635" s="14">
        <v>7500000</v>
      </c>
      <c r="O635" s="40"/>
      <c r="P635" s="40"/>
      <c r="Q635" s="3">
        <f t="shared" si="79"/>
        <v>4679584520</v>
      </c>
      <c r="R635" s="36">
        <v>4672084520</v>
      </c>
      <c r="S635" s="7"/>
      <c r="T635" s="30">
        <v>7500000</v>
      </c>
      <c r="U635" s="7"/>
      <c r="V635" s="7"/>
      <c r="W635" s="36"/>
      <c r="X635" s="36">
        <f t="shared" si="80"/>
        <v>0</v>
      </c>
      <c r="Y635" s="36">
        <f t="shared" si="81"/>
        <v>0</v>
      </c>
      <c r="Z635" s="36">
        <f t="shared" si="78"/>
        <v>0</v>
      </c>
      <c r="AA635" s="4"/>
      <c r="AB635" s="79"/>
    </row>
    <row r="636" spans="1:28" ht="31.2" x14ac:dyDescent="0.3">
      <c r="A636" s="7" t="s">
        <v>18</v>
      </c>
      <c r="B636" s="6">
        <v>613</v>
      </c>
      <c r="C636" s="7" t="s">
        <v>2562</v>
      </c>
      <c r="D636" s="7" t="s">
        <v>2610</v>
      </c>
      <c r="E636" s="5"/>
      <c r="F636" s="7" t="s">
        <v>2611</v>
      </c>
      <c r="G636" s="5"/>
      <c r="H636" s="7" t="s">
        <v>2565</v>
      </c>
      <c r="I636" s="21" t="s">
        <v>2612</v>
      </c>
      <c r="J636" s="7" t="s">
        <v>24</v>
      </c>
      <c r="K636" s="7" t="s">
        <v>2613</v>
      </c>
      <c r="L636" s="14">
        <v>2648940180</v>
      </c>
      <c r="M636" s="5"/>
      <c r="N636" s="14">
        <v>15000000</v>
      </c>
      <c r="O636" s="40"/>
      <c r="P636" s="40"/>
      <c r="Q636" s="3">
        <f t="shared" si="79"/>
        <v>2663940180</v>
      </c>
      <c r="R636" s="3">
        <v>2648940180</v>
      </c>
      <c r="S636" s="7"/>
      <c r="T636" s="30">
        <v>15000000</v>
      </c>
      <c r="U636" s="7"/>
      <c r="V636" s="7"/>
      <c r="W636" s="36"/>
      <c r="X636" s="36">
        <f t="shared" si="80"/>
        <v>0</v>
      </c>
      <c r="Y636" s="36">
        <f t="shared" si="81"/>
        <v>0</v>
      </c>
      <c r="Z636" s="36">
        <f t="shared" si="78"/>
        <v>0</v>
      </c>
      <c r="AA636" s="4"/>
      <c r="AB636" s="79"/>
    </row>
    <row r="637" spans="1:28" ht="42" x14ac:dyDescent="0.3">
      <c r="A637" s="7" t="s">
        <v>53</v>
      </c>
      <c r="B637" s="6">
        <v>614</v>
      </c>
      <c r="C637" s="7" t="s">
        <v>2562</v>
      </c>
      <c r="D637" s="7" t="s">
        <v>2614</v>
      </c>
      <c r="E637" s="5"/>
      <c r="F637" s="7" t="s">
        <v>2615</v>
      </c>
      <c r="G637" s="5"/>
      <c r="H637" s="7" t="s">
        <v>2565</v>
      </c>
      <c r="I637" s="21" t="s">
        <v>2616</v>
      </c>
      <c r="J637" s="7" t="s">
        <v>24</v>
      </c>
      <c r="K637" s="7" t="s">
        <v>2169</v>
      </c>
      <c r="L637" s="14">
        <v>13040553670</v>
      </c>
      <c r="M637" s="5"/>
      <c r="N637" s="14">
        <v>15000000</v>
      </c>
      <c r="O637" s="40"/>
      <c r="P637" s="40"/>
      <c r="Q637" s="3">
        <f t="shared" si="79"/>
        <v>13055553670</v>
      </c>
      <c r="R637" s="36">
        <v>13040553670</v>
      </c>
      <c r="S637" s="7"/>
      <c r="T637" s="30">
        <v>15000000</v>
      </c>
      <c r="U637" s="7"/>
      <c r="V637" s="7"/>
      <c r="W637" s="36"/>
      <c r="X637" s="36">
        <f t="shared" si="80"/>
        <v>0</v>
      </c>
      <c r="Y637" s="36">
        <f t="shared" si="81"/>
        <v>0</v>
      </c>
      <c r="Z637" s="36">
        <f t="shared" si="78"/>
        <v>0</v>
      </c>
      <c r="AA637" s="4"/>
      <c r="AB637" s="79"/>
    </row>
    <row r="638" spans="1:28" ht="31.2" x14ac:dyDescent="0.3">
      <c r="A638" s="7"/>
      <c r="B638" s="148">
        <v>615</v>
      </c>
      <c r="C638" s="148" t="s">
        <v>2562</v>
      </c>
      <c r="D638" s="7"/>
      <c r="E638" s="5"/>
      <c r="F638" s="148" t="s">
        <v>2619</v>
      </c>
      <c r="G638" s="5"/>
      <c r="H638" s="7"/>
      <c r="I638" s="150" t="s">
        <v>2621</v>
      </c>
      <c r="J638" s="148" t="s">
        <v>24</v>
      </c>
      <c r="K638" s="148" t="s">
        <v>2622</v>
      </c>
      <c r="L638" s="14"/>
      <c r="M638" s="5"/>
      <c r="N638" s="14"/>
      <c r="O638" s="40" t="s">
        <v>3733</v>
      </c>
      <c r="P638" s="40">
        <v>72000000</v>
      </c>
      <c r="Q638" s="3"/>
      <c r="R638" s="36"/>
      <c r="S638" s="7"/>
      <c r="T638" s="30"/>
      <c r="U638" s="3">
        <v>72000000</v>
      </c>
      <c r="V638" s="7"/>
      <c r="W638" s="36"/>
      <c r="X638" s="36"/>
      <c r="Y638" s="36"/>
      <c r="Z638" s="36">
        <f t="shared" si="78"/>
        <v>0</v>
      </c>
      <c r="AA638" s="4"/>
      <c r="AB638" s="79"/>
    </row>
    <row r="639" spans="1:28" s="98" customFormat="1" ht="31.2" x14ac:dyDescent="0.3">
      <c r="A639" s="89" t="s">
        <v>53</v>
      </c>
      <c r="B639" s="149"/>
      <c r="C639" s="149"/>
      <c r="D639" s="89" t="s">
        <v>2617</v>
      </c>
      <c r="E639" s="89" t="s">
        <v>764</v>
      </c>
      <c r="F639" s="149"/>
      <c r="G639" s="89" t="s">
        <v>2620</v>
      </c>
      <c r="H639" s="89" t="s">
        <v>2565</v>
      </c>
      <c r="I639" s="151"/>
      <c r="J639" s="149"/>
      <c r="K639" s="149"/>
      <c r="L639" s="90">
        <v>4270717238</v>
      </c>
      <c r="M639" s="90">
        <v>523546590</v>
      </c>
      <c r="N639" s="90">
        <v>15000000</v>
      </c>
      <c r="O639" s="91" t="s">
        <v>3855</v>
      </c>
      <c r="P639" s="103">
        <v>144000000</v>
      </c>
      <c r="Q639" s="93">
        <f t="shared" ref="Q639:Q683" si="82">L639+M639+N639+P639</f>
        <v>4953263828</v>
      </c>
      <c r="R639" s="95">
        <v>4270717238</v>
      </c>
      <c r="S639" s="93">
        <v>523546590</v>
      </c>
      <c r="T639" s="94">
        <v>15000000</v>
      </c>
      <c r="U639" s="93"/>
      <c r="V639" s="89"/>
      <c r="W639" s="95"/>
      <c r="X639" s="95">
        <f t="shared" ref="X639:X683" si="83">M639-S639</f>
        <v>0</v>
      </c>
      <c r="Y639" s="95">
        <f t="shared" ref="Y639:Y683" si="84">N639-T639</f>
        <v>0</v>
      </c>
      <c r="Z639" s="95">
        <f t="shared" si="78"/>
        <v>144000000</v>
      </c>
      <c r="AA639" s="96"/>
      <c r="AB639" s="97" t="s">
        <v>3852</v>
      </c>
    </row>
    <row r="640" spans="1:28" ht="63" x14ac:dyDescent="0.3">
      <c r="A640" s="7" t="s">
        <v>46</v>
      </c>
      <c r="B640" s="6">
        <v>616</v>
      </c>
      <c r="C640" s="7" t="s">
        <v>2562</v>
      </c>
      <c r="D640" s="7" t="s">
        <v>2623</v>
      </c>
      <c r="E640" s="5"/>
      <c r="F640" s="7" t="s">
        <v>2624</v>
      </c>
      <c r="G640" s="5"/>
      <c r="H640" s="7" t="s">
        <v>2565</v>
      </c>
      <c r="I640" s="21" t="s">
        <v>2625</v>
      </c>
      <c r="J640" s="7" t="s">
        <v>24</v>
      </c>
      <c r="K640" s="7" t="s">
        <v>2626</v>
      </c>
      <c r="L640" s="14">
        <v>5176307722</v>
      </c>
      <c r="M640" s="5"/>
      <c r="N640" s="14">
        <v>7500000</v>
      </c>
      <c r="O640" s="40"/>
      <c r="P640" s="40"/>
      <c r="Q640" s="3">
        <f t="shared" si="82"/>
        <v>5183807722</v>
      </c>
      <c r="R640" s="3">
        <v>5176307722</v>
      </c>
      <c r="S640" s="7"/>
      <c r="T640" s="30">
        <v>7500000</v>
      </c>
      <c r="U640" s="7"/>
      <c r="V640" s="7"/>
      <c r="W640" s="36"/>
      <c r="X640" s="36">
        <f t="shared" si="83"/>
        <v>0</v>
      </c>
      <c r="Y640" s="36">
        <f t="shared" si="84"/>
        <v>0</v>
      </c>
      <c r="Z640" s="36">
        <f t="shared" si="78"/>
        <v>0</v>
      </c>
      <c r="AA640" s="4"/>
      <c r="AB640" s="79"/>
    </row>
    <row r="641" spans="1:28" ht="84" x14ac:dyDescent="0.3">
      <c r="A641" s="7" t="s">
        <v>62</v>
      </c>
      <c r="B641" s="6">
        <v>617</v>
      </c>
      <c r="C641" s="7" t="s">
        <v>2562</v>
      </c>
      <c r="D641" s="7" t="s">
        <v>2627</v>
      </c>
      <c r="E641" s="7" t="s">
        <v>2628</v>
      </c>
      <c r="F641" s="7" t="s">
        <v>2629</v>
      </c>
      <c r="G641" s="7" t="s">
        <v>2630</v>
      </c>
      <c r="H641" s="5"/>
      <c r="I641" s="21" t="s">
        <v>2631</v>
      </c>
      <c r="J641" s="7" t="s">
        <v>24</v>
      </c>
      <c r="K641" s="7" t="s">
        <v>2632</v>
      </c>
      <c r="L641" s="14">
        <v>1147124800</v>
      </c>
      <c r="M641" s="14">
        <v>605553600</v>
      </c>
      <c r="N641" s="14">
        <v>15000000</v>
      </c>
      <c r="O641" s="40"/>
      <c r="P641" s="40"/>
      <c r="Q641" s="3">
        <f t="shared" si="82"/>
        <v>1767678400</v>
      </c>
      <c r="R641" s="3">
        <v>1147124800</v>
      </c>
      <c r="S641" s="7"/>
      <c r="T641" s="30">
        <v>15000000</v>
      </c>
      <c r="U641" s="7"/>
      <c r="V641" s="7"/>
      <c r="W641" s="36"/>
      <c r="X641" s="36">
        <f t="shared" si="83"/>
        <v>605553600</v>
      </c>
      <c r="Y641" s="36">
        <f t="shared" si="84"/>
        <v>0</v>
      </c>
      <c r="Z641" s="36">
        <f t="shared" si="78"/>
        <v>0</v>
      </c>
      <c r="AA641" s="4"/>
      <c r="AB641" s="79"/>
    </row>
    <row r="642" spans="1:28" ht="62.4" x14ac:dyDescent="0.3">
      <c r="A642" s="7" t="s">
        <v>53</v>
      </c>
      <c r="B642" s="6">
        <v>618</v>
      </c>
      <c r="C642" s="7" t="s">
        <v>2562</v>
      </c>
      <c r="D642" s="7" t="s">
        <v>2633</v>
      </c>
      <c r="E642" s="7" t="s">
        <v>2634</v>
      </c>
      <c r="F642" s="7" t="s">
        <v>2635</v>
      </c>
      <c r="G642" s="7" t="s">
        <v>2636</v>
      </c>
      <c r="H642" s="7" t="s">
        <v>2565</v>
      </c>
      <c r="I642" s="21" t="s">
        <v>2637</v>
      </c>
      <c r="J642" s="7" t="s">
        <v>24</v>
      </c>
      <c r="K642" s="7" t="s">
        <v>2638</v>
      </c>
      <c r="L642" s="14">
        <v>13354478286</v>
      </c>
      <c r="M642" s="14">
        <v>1409984400</v>
      </c>
      <c r="N642" s="14">
        <v>7500000</v>
      </c>
      <c r="O642" s="40"/>
      <c r="P642" s="40"/>
      <c r="Q642" s="3">
        <f t="shared" si="82"/>
        <v>14771962686</v>
      </c>
      <c r="R642" s="3">
        <v>13354478286</v>
      </c>
      <c r="S642" s="3">
        <v>1026885600</v>
      </c>
      <c r="T642" s="72"/>
      <c r="U642" s="7"/>
      <c r="V642" s="7"/>
      <c r="W642" s="36"/>
      <c r="X642" s="36">
        <f t="shared" si="83"/>
        <v>383098800</v>
      </c>
      <c r="Y642" s="36">
        <f t="shared" si="84"/>
        <v>7500000</v>
      </c>
      <c r="Z642" s="36">
        <f t="shared" si="78"/>
        <v>0</v>
      </c>
      <c r="AA642" s="4"/>
      <c r="AB642" s="79"/>
    </row>
    <row r="643" spans="1:28" ht="42" x14ac:dyDescent="0.3">
      <c r="A643" s="7" t="s">
        <v>46</v>
      </c>
      <c r="B643" s="6">
        <v>619</v>
      </c>
      <c r="C643" s="7" t="s">
        <v>2562</v>
      </c>
      <c r="D643" s="7" t="s">
        <v>2639</v>
      </c>
      <c r="E643" s="5"/>
      <c r="F643" s="7" t="s">
        <v>2640</v>
      </c>
      <c r="G643" s="5"/>
      <c r="H643" s="5"/>
      <c r="I643" s="21" t="s">
        <v>2641</v>
      </c>
      <c r="J643" s="7" t="s">
        <v>24</v>
      </c>
      <c r="K643" s="7" t="s">
        <v>2642</v>
      </c>
      <c r="L643" s="14">
        <v>5798938856</v>
      </c>
      <c r="M643" s="5"/>
      <c r="N643" s="14">
        <v>15000000</v>
      </c>
      <c r="O643" s="40"/>
      <c r="P643" s="40"/>
      <c r="Q643" s="3">
        <f t="shared" si="82"/>
        <v>5813938856</v>
      </c>
      <c r="R643" s="3">
        <v>5798938856</v>
      </c>
      <c r="S643" s="7"/>
      <c r="T643" s="30">
        <v>15000000</v>
      </c>
      <c r="U643" s="7"/>
      <c r="V643" s="7"/>
      <c r="W643" s="36"/>
      <c r="X643" s="36">
        <f t="shared" si="83"/>
        <v>0</v>
      </c>
      <c r="Y643" s="36">
        <f t="shared" si="84"/>
        <v>0</v>
      </c>
      <c r="Z643" s="36">
        <f t="shared" si="78"/>
        <v>0</v>
      </c>
      <c r="AA643" s="4"/>
      <c r="AB643" s="79"/>
    </row>
    <row r="644" spans="1:28" ht="42" x14ac:dyDescent="0.3">
      <c r="A644" s="7" t="s">
        <v>18</v>
      </c>
      <c r="B644" s="6">
        <v>620</v>
      </c>
      <c r="C644" s="7" t="s">
        <v>2562</v>
      </c>
      <c r="D644" s="7" t="s">
        <v>2643</v>
      </c>
      <c r="E644" s="5"/>
      <c r="F644" s="7" t="s">
        <v>2644</v>
      </c>
      <c r="G644" s="5"/>
      <c r="H644" s="5"/>
      <c r="I644" s="21" t="s">
        <v>2645</v>
      </c>
      <c r="J644" s="7" t="s">
        <v>24</v>
      </c>
      <c r="K644" s="7" t="s">
        <v>2646</v>
      </c>
      <c r="L644" s="14">
        <v>4209356424</v>
      </c>
      <c r="M644" s="5"/>
      <c r="N644" s="14">
        <v>7500000</v>
      </c>
      <c r="O644" s="40"/>
      <c r="P644" s="40"/>
      <c r="Q644" s="3">
        <f t="shared" si="82"/>
        <v>4216856424</v>
      </c>
      <c r="R644" s="3">
        <v>4209356424</v>
      </c>
      <c r="S644" s="7"/>
      <c r="T644" s="30">
        <v>7500000</v>
      </c>
      <c r="U644" s="7"/>
      <c r="V644" s="7"/>
      <c r="W644" s="36"/>
      <c r="X644" s="36">
        <f t="shared" si="83"/>
        <v>0</v>
      </c>
      <c r="Y644" s="36">
        <f t="shared" si="84"/>
        <v>0</v>
      </c>
      <c r="Z644" s="36">
        <f t="shared" si="78"/>
        <v>0</v>
      </c>
      <c r="AA644" s="4"/>
      <c r="AB644" s="79"/>
    </row>
    <row r="645" spans="1:28" ht="31.2" x14ac:dyDescent="0.3">
      <c r="A645" s="7" t="s">
        <v>62</v>
      </c>
      <c r="B645" s="6">
        <v>621</v>
      </c>
      <c r="C645" s="7" t="s">
        <v>2562</v>
      </c>
      <c r="D645" s="7" t="s">
        <v>2647</v>
      </c>
      <c r="E645" s="7" t="s">
        <v>2649</v>
      </c>
      <c r="F645" s="7" t="s">
        <v>2650</v>
      </c>
      <c r="G645" s="7" t="s">
        <v>2651</v>
      </c>
      <c r="H645" s="5"/>
      <c r="I645" s="21" t="s">
        <v>2652</v>
      </c>
      <c r="J645" s="7" t="s">
        <v>24</v>
      </c>
      <c r="K645" s="7" t="s">
        <v>2653</v>
      </c>
      <c r="L645" s="14">
        <v>1634989243</v>
      </c>
      <c r="M645" s="14">
        <v>115406760</v>
      </c>
      <c r="N645" s="14">
        <v>15000000</v>
      </c>
      <c r="O645" s="40" t="s">
        <v>2648</v>
      </c>
      <c r="P645" s="10">
        <v>30000000</v>
      </c>
      <c r="Q645" s="3">
        <f t="shared" si="82"/>
        <v>1795396003</v>
      </c>
      <c r="R645" s="3">
        <v>1634989243</v>
      </c>
      <c r="S645" s="3">
        <v>115406760</v>
      </c>
      <c r="T645" s="30">
        <v>15000000</v>
      </c>
      <c r="U645" s="3">
        <v>30000000</v>
      </c>
      <c r="V645" s="7"/>
      <c r="W645" s="36"/>
      <c r="X645" s="36">
        <f t="shared" si="83"/>
        <v>0</v>
      </c>
      <c r="Y645" s="36">
        <f t="shared" si="84"/>
        <v>0</v>
      </c>
      <c r="Z645" s="36">
        <f t="shared" si="78"/>
        <v>0</v>
      </c>
      <c r="AA645" s="4"/>
      <c r="AB645" s="79"/>
    </row>
    <row r="646" spans="1:28" ht="31.2" x14ac:dyDescent="0.3">
      <c r="A646" s="7" t="s">
        <v>53</v>
      </c>
      <c r="B646" s="6">
        <v>622</v>
      </c>
      <c r="C646" s="7" t="s">
        <v>2562</v>
      </c>
      <c r="D646" s="7" t="s">
        <v>2654</v>
      </c>
      <c r="E646" s="5"/>
      <c r="F646" s="7" t="s">
        <v>2656</v>
      </c>
      <c r="G646" s="5"/>
      <c r="H646" s="7" t="s">
        <v>2565</v>
      </c>
      <c r="I646" s="21" t="s">
        <v>2657</v>
      </c>
      <c r="J646" s="7" t="s">
        <v>24</v>
      </c>
      <c r="K646" s="7" t="s">
        <v>2658</v>
      </c>
      <c r="L646" s="14">
        <v>3463769620</v>
      </c>
      <c r="M646" s="5"/>
      <c r="N646" s="14">
        <v>15000000</v>
      </c>
      <c r="O646" s="40" t="s">
        <v>2655</v>
      </c>
      <c r="P646" s="10">
        <v>24000000</v>
      </c>
      <c r="Q646" s="3">
        <f t="shared" si="82"/>
        <v>3502769620</v>
      </c>
      <c r="R646" s="3">
        <v>3463769620</v>
      </c>
      <c r="S646" s="7"/>
      <c r="T646" s="72"/>
      <c r="U646" s="3">
        <v>24000000</v>
      </c>
      <c r="V646" s="7"/>
      <c r="W646" s="36"/>
      <c r="X646" s="36">
        <f t="shared" si="83"/>
        <v>0</v>
      </c>
      <c r="Y646" s="36">
        <f t="shared" si="84"/>
        <v>15000000</v>
      </c>
      <c r="Z646" s="36">
        <f t="shared" si="78"/>
        <v>0</v>
      </c>
      <c r="AA646" s="4"/>
      <c r="AB646" s="79"/>
    </row>
    <row r="647" spans="1:28" ht="31.2" x14ac:dyDescent="0.3">
      <c r="A647" s="7" t="s">
        <v>62</v>
      </c>
      <c r="B647" s="6">
        <v>623</v>
      </c>
      <c r="C647" s="7" t="s">
        <v>2562</v>
      </c>
      <c r="D647" s="7" t="s">
        <v>2659</v>
      </c>
      <c r="E647" s="7" t="s">
        <v>2660</v>
      </c>
      <c r="F647" s="7" t="s">
        <v>2661</v>
      </c>
      <c r="G647" s="7" t="s">
        <v>2662</v>
      </c>
      <c r="H647" s="5"/>
      <c r="I647" s="21" t="s">
        <v>2663</v>
      </c>
      <c r="J647" s="7" t="s">
        <v>24</v>
      </c>
      <c r="K647" s="7" t="s">
        <v>2664</v>
      </c>
      <c r="L647" s="14">
        <v>6147723971</v>
      </c>
      <c r="M647" s="14">
        <v>491859703</v>
      </c>
      <c r="N647" s="14">
        <v>15000000</v>
      </c>
      <c r="O647" s="40"/>
      <c r="P647" s="40"/>
      <c r="Q647" s="3">
        <f t="shared" si="82"/>
        <v>6654583674</v>
      </c>
      <c r="R647" s="3">
        <v>6147723971</v>
      </c>
      <c r="S647" s="3">
        <v>491859703</v>
      </c>
      <c r="T647" s="30">
        <v>15000000</v>
      </c>
      <c r="U647" s="7"/>
      <c r="V647" s="7"/>
      <c r="W647" s="36"/>
      <c r="X647" s="36">
        <f t="shared" si="83"/>
        <v>0</v>
      </c>
      <c r="Y647" s="36">
        <f t="shared" si="84"/>
        <v>0</v>
      </c>
      <c r="Z647" s="36">
        <f t="shared" si="78"/>
        <v>0</v>
      </c>
      <c r="AA647" s="4"/>
      <c r="AB647" s="79"/>
    </row>
    <row r="648" spans="1:28" ht="31.2" x14ac:dyDescent="0.3">
      <c r="A648" s="7" t="s">
        <v>1601</v>
      </c>
      <c r="B648" s="6">
        <v>624</v>
      </c>
      <c r="C648" s="7" t="s">
        <v>2562</v>
      </c>
      <c r="D648" s="7" t="s">
        <v>2665</v>
      </c>
      <c r="E648" s="5"/>
      <c r="F648" s="7" t="s">
        <v>2666</v>
      </c>
      <c r="G648" s="5"/>
      <c r="H648" s="5"/>
      <c r="I648" s="21" t="s">
        <v>2667</v>
      </c>
      <c r="J648" s="7" t="s">
        <v>24</v>
      </c>
      <c r="K648" s="7" t="s">
        <v>2517</v>
      </c>
      <c r="L648" s="14">
        <v>4471431370</v>
      </c>
      <c r="M648" s="5"/>
      <c r="N648" s="14">
        <v>15000000</v>
      </c>
      <c r="O648" s="40"/>
      <c r="P648" s="40"/>
      <c r="Q648" s="3">
        <f t="shared" si="82"/>
        <v>4486431370</v>
      </c>
      <c r="R648" s="36">
        <v>4471431370</v>
      </c>
      <c r="S648" s="7"/>
      <c r="T648" s="30">
        <v>15000000</v>
      </c>
      <c r="U648" s="7"/>
      <c r="V648" s="7"/>
      <c r="W648" s="36"/>
      <c r="X648" s="36">
        <f t="shared" si="83"/>
        <v>0</v>
      </c>
      <c r="Y648" s="36">
        <f t="shared" si="84"/>
        <v>0</v>
      </c>
      <c r="Z648" s="36">
        <f t="shared" si="78"/>
        <v>0</v>
      </c>
      <c r="AA648" s="4"/>
      <c r="AB648" s="79"/>
    </row>
    <row r="649" spans="1:28" ht="31.2" x14ac:dyDescent="0.3">
      <c r="A649" s="7" t="s">
        <v>1601</v>
      </c>
      <c r="B649" s="6">
        <v>625</v>
      </c>
      <c r="C649" s="7" t="s">
        <v>2562</v>
      </c>
      <c r="D649" s="7" t="s">
        <v>2668</v>
      </c>
      <c r="E649" s="7" t="s">
        <v>2669</v>
      </c>
      <c r="F649" s="7" t="s">
        <v>2670</v>
      </c>
      <c r="G649" s="7" t="s">
        <v>2671</v>
      </c>
      <c r="H649" s="5"/>
      <c r="I649" s="21" t="s">
        <v>2672</v>
      </c>
      <c r="J649" s="7" t="s">
        <v>24</v>
      </c>
      <c r="K649" s="7" t="s">
        <v>2673</v>
      </c>
      <c r="L649" s="14">
        <v>3044214687</v>
      </c>
      <c r="M649" s="14">
        <v>148963795</v>
      </c>
      <c r="N649" s="14">
        <v>15000000</v>
      </c>
      <c r="O649" s="40"/>
      <c r="P649" s="40"/>
      <c r="Q649" s="3">
        <f t="shared" si="82"/>
        <v>3208178482</v>
      </c>
      <c r="R649" s="36">
        <v>3044214687</v>
      </c>
      <c r="S649" s="3">
        <v>148963795</v>
      </c>
      <c r="T649" s="30">
        <v>15000000</v>
      </c>
      <c r="U649" s="7"/>
      <c r="V649" s="7"/>
      <c r="W649" s="36"/>
      <c r="X649" s="36">
        <f t="shared" si="83"/>
        <v>0</v>
      </c>
      <c r="Y649" s="36">
        <f t="shared" si="84"/>
        <v>0</v>
      </c>
      <c r="Z649" s="36">
        <f t="shared" si="78"/>
        <v>0</v>
      </c>
      <c r="AA649" s="4"/>
      <c r="AB649" s="79"/>
    </row>
    <row r="650" spans="1:28" ht="42" x14ac:dyDescent="0.3">
      <c r="A650" s="7" t="s">
        <v>53</v>
      </c>
      <c r="B650" s="6">
        <v>626</v>
      </c>
      <c r="C650" s="7" t="s">
        <v>2562</v>
      </c>
      <c r="D650" s="7" t="s">
        <v>2674</v>
      </c>
      <c r="E650" s="5"/>
      <c r="F650" s="7" t="s">
        <v>2675</v>
      </c>
      <c r="G650" s="5"/>
      <c r="H650" s="5"/>
      <c r="I650" s="21" t="s">
        <v>2676</v>
      </c>
      <c r="J650" s="7" t="s">
        <v>24</v>
      </c>
      <c r="K650" s="7" t="s">
        <v>2677</v>
      </c>
      <c r="L650" s="14">
        <v>13885095762</v>
      </c>
      <c r="M650" s="5"/>
      <c r="N650" s="14">
        <v>15000000</v>
      </c>
      <c r="O650" s="40" t="s">
        <v>637</v>
      </c>
      <c r="P650" s="10">
        <v>72000000</v>
      </c>
      <c r="Q650" s="3">
        <f t="shared" si="82"/>
        <v>13972095762</v>
      </c>
      <c r="R650" s="3">
        <v>13885095762</v>
      </c>
      <c r="S650" s="7"/>
      <c r="T650" s="30">
        <v>15000000</v>
      </c>
      <c r="U650" s="3">
        <v>72000000</v>
      </c>
      <c r="V650" s="7"/>
      <c r="W650" s="36"/>
      <c r="X650" s="36">
        <f t="shared" si="83"/>
        <v>0</v>
      </c>
      <c r="Y650" s="36">
        <f t="shared" si="84"/>
        <v>0</v>
      </c>
      <c r="Z650" s="36">
        <f t="shared" si="78"/>
        <v>0</v>
      </c>
      <c r="AA650" s="4"/>
      <c r="AB650" s="79"/>
    </row>
    <row r="651" spans="1:28" ht="31.2" x14ac:dyDescent="0.3">
      <c r="A651" s="7" t="s">
        <v>46</v>
      </c>
      <c r="B651" s="6">
        <v>627</v>
      </c>
      <c r="C651" s="7" t="s">
        <v>2562</v>
      </c>
      <c r="D651" s="7" t="s">
        <v>2678</v>
      </c>
      <c r="E651" s="7" t="s">
        <v>828</v>
      </c>
      <c r="F651" s="7" t="s">
        <v>2679</v>
      </c>
      <c r="G651" s="7" t="s">
        <v>2680</v>
      </c>
      <c r="H651" s="5"/>
      <c r="I651" s="21" t="s">
        <v>2681</v>
      </c>
      <c r="J651" s="7" t="s">
        <v>24</v>
      </c>
      <c r="K651" s="7" t="s">
        <v>2682</v>
      </c>
      <c r="L651" s="14">
        <v>15436039426</v>
      </c>
      <c r="M651" s="14">
        <v>276510000</v>
      </c>
      <c r="N651" s="14">
        <v>15000000</v>
      </c>
      <c r="O651" s="40"/>
      <c r="P651" s="40"/>
      <c r="Q651" s="3">
        <f t="shared" si="82"/>
        <v>15727549426</v>
      </c>
      <c r="R651" s="3">
        <v>15436039426</v>
      </c>
      <c r="S651" s="7"/>
      <c r="T651" s="30">
        <v>15000000</v>
      </c>
      <c r="U651" s="7"/>
      <c r="V651" s="7"/>
      <c r="W651" s="36"/>
      <c r="X651" s="36">
        <f t="shared" si="83"/>
        <v>276510000</v>
      </c>
      <c r="Y651" s="36">
        <f t="shared" si="84"/>
        <v>0</v>
      </c>
      <c r="Z651" s="36">
        <f t="shared" si="78"/>
        <v>0</v>
      </c>
      <c r="AA651" s="4"/>
      <c r="AB651" s="79"/>
    </row>
    <row r="652" spans="1:28" ht="42" x14ac:dyDescent="0.3">
      <c r="A652" s="7" t="s">
        <v>53</v>
      </c>
      <c r="B652" s="6">
        <v>628</v>
      </c>
      <c r="C652" s="7" t="s">
        <v>2562</v>
      </c>
      <c r="D652" s="7" t="s">
        <v>2683</v>
      </c>
      <c r="E652" s="5"/>
      <c r="F652" s="7" t="s">
        <v>2684</v>
      </c>
      <c r="G652" s="5"/>
      <c r="H652" s="7" t="s">
        <v>2685</v>
      </c>
      <c r="I652" s="21" t="s">
        <v>2686</v>
      </c>
      <c r="J652" s="7" t="s">
        <v>24</v>
      </c>
      <c r="K652" s="7" t="s">
        <v>2687</v>
      </c>
      <c r="L652" s="14">
        <v>5653822980</v>
      </c>
      <c r="M652" s="5"/>
      <c r="N652" s="14">
        <v>7500000</v>
      </c>
      <c r="O652" s="40"/>
      <c r="P652" s="40"/>
      <c r="Q652" s="3">
        <f t="shared" si="82"/>
        <v>5661322980</v>
      </c>
      <c r="R652" s="3">
        <v>5653822980</v>
      </c>
      <c r="S652" s="7"/>
      <c r="T652" s="30">
        <v>7500000</v>
      </c>
      <c r="U652" s="7"/>
      <c r="V652" s="7"/>
      <c r="W652" s="36"/>
      <c r="X652" s="36">
        <f t="shared" si="83"/>
        <v>0</v>
      </c>
      <c r="Y652" s="36">
        <f t="shared" si="84"/>
        <v>0</v>
      </c>
      <c r="Z652" s="36">
        <f t="shared" si="78"/>
        <v>0</v>
      </c>
      <c r="AA652" s="4"/>
      <c r="AB652" s="79"/>
    </row>
    <row r="653" spans="1:28" ht="42" x14ac:dyDescent="0.3">
      <c r="A653" s="7" t="s">
        <v>53</v>
      </c>
      <c r="B653" s="6">
        <v>629</v>
      </c>
      <c r="C653" s="7" t="s">
        <v>2562</v>
      </c>
      <c r="D653" s="7" t="s">
        <v>2688</v>
      </c>
      <c r="E653" s="5"/>
      <c r="F653" s="7" t="s">
        <v>2689</v>
      </c>
      <c r="G653" s="5"/>
      <c r="H653" s="7" t="s">
        <v>2685</v>
      </c>
      <c r="I653" s="21" t="s">
        <v>2690</v>
      </c>
      <c r="J653" s="7" t="s">
        <v>24</v>
      </c>
      <c r="K653" s="7" t="s">
        <v>2691</v>
      </c>
      <c r="L653" s="14">
        <v>1466514605</v>
      </c>
      <c r="M653" s="5"/>
      <c r="N653" s="14">
        <v>7500000</v>
      </c>
      <c r="O653" s="40"/>
      <c r="P653" s="40"/>
      <c r="Q653" s="3">
        <f t="shared" si="82"/>
        <v>1474014605</v>
      </c>
      <c r="R653" s="3">
        <v>1466514605</v>
      </c>
      <c r="S653" s="7"/>
      <c r="T653" s="30">
        <v>7500000</v>
      </c>
      <c r="U653" s="7"/>
      <c r="V653" s="7"/>
      <c r="W653" s="36"/>
      <c r="X653" s="36">
        <f t="shared" si="83"/>
        <v>0</v>
      </c>
      <c r="Y653" s="36">
        <f t="shared" si="84"/>
        <v>0</v>
      </c>
      <c r="Z653" s="36">
        <f t="shared" si="78"/>
        <v>0</v>
      </c>
      <c r="AA653" s="4"/>
      <c r="AB653" s="79"/>
    </row>
    <row r="654" spans="1:28" ht="42" x14ac:dyDescent="0.3">
      <c r="A654" s="7" t="s">
        <v>2290</v>
      </c>
      <c r="B654" s="6">
        <v>630</v>
      </c>
      <c r="C654" s="7" t="s">
        <v>2562</v>
      </c>
      <c r="D654" s="7" t="s">
        <v>2692</v>
      </c>
      <c r="E654" s="5"/>
      <c r="F654" s="7" t="s">
        <v>2693</v>
      </c>
      <c r="G654" s="5"/>
      <c r="H654" s="7" t="s">
        <v>2565</v>
      </c>
      <c r="I654" s="21" t="s">
        <v>2694</v>
      </c>
      <c r="J654" s="7" t="s">
        <v>24</v>
      </c>
      <c r="K654" s="7" t="s">
        <v>2695</v>
      </c>
      <c r="L654" s="14">
        <v>7247037716</v>
      </c>
      <c r="M654" s="5"/>
      <c r="N654" s="14">
        <v>7500000</v>
      </c>
      <c r="O654" s="40"/>
      <c r="P654" s="40"/>
      <c r="Q654" s="3">
        <f t="shared" si="82"/>
        <v>7254537716</v>
      </c>
      <c r="R654" s="3">
        <v>7247037716</v>
      </c>
      <c r="S654" s="7"/>
      <c r="T654" s="30">
        <v>7500000</v>
      </c>
      <c r="U654" s="7"/>
      <c r="V654" s="7"/>
      <c r="W654" s="36"/>
      <c r="X654" s="36">
        <f t="shared" si="83"/>
        <v>0</v>
      </c>
      <c r="Y654" s="36">
        <f t="shared" si="84"/>
        <v>0</v>
      </c>
      <c r="Z654" s="36">
        <f t="shared" si="78"/>
        <v>0</v>
      </c>
      <c r="AA654" s="4"/>
      <c r="AB654" s="79"/>
    </row>
    <row r="655" spans="1:28" ht="63" x14ac:dyDescent="0.3">
      <c r="A655" s="7" t="s">
        <v>18</v>
      </c>
      <c r="B655" s="6">
        <v>631</v>
      </c>
      <c r="C655" s="7" t="s">
        <v>2562</v>
      </c>
      <c r="D655" s="7" t="s">
        <v>2696</v>
      </c>
      <c r="E655" s="5"/>
      <c r="F655" s="7" t="s">
        <v>2697</v>
      </c>
      <c r="G655" s="5"/>
      <c r="H655" s="5"/>
      <c r="I655" s="21" t="s">
        <v>2698</v>
      </c>
      <c r="J655" s="7" t="s">
        <v>24</v>
      </c>
      <c r="K655" s="7" t="s">
        <v>2699</v>
      </c>
      <c r="L655" s="14">
        <v>3170225742</v>
      </c>
      <c r="M655" s="5"/>
      <c r="N655" s="14">
        <v>15000000</v>
      </c>
      <c r="O655" s="40"/>
      <c r="P655" s="40"/>
      <c r="Q655" s="3">
        <f t="shared" si="82"/>
        <v>3185225742</v>
      </c>
      <c r="R655" s="3">
        <v>3170225742</v>
      </c>
      <c r="S655" s="7"/>
      <c r="T655" s="30">
        <v>15000000</v>
      </c>
      <c r="U655" s="7"/>
      <c r="V655" s="7"/>
      <c r="W655" s="36"/>
      <c r="X655" s="36">
        <f t="shared" si="83"/>
        <v>0</v>
      </c>
      <c r="Y655" s="36">
        <f t="shared" si="84"/>
        <v>0</v>
      </c>
      <c r="Z655" s="36">
        <f t="shared" si="78"/>
        <v>0</v>
      </c>
      <c r="AA655" s="4"/>
      <c r="AB655" s="79"/>
    </row>
    <row r="656" spans="1:28" ht="42" x14ac:dyDescent="0.3">
      <c r="A656" s="7" t="s">
        <v>18</v>
      </c>
      <c r="B656" s="6">
        <v>632</v>
      </c>
      <c r="C656" s="7" t="s">
        <v>2562</v>
      </c>
      <c r="D656" s="7" t="s">
        <v>2700</v>
      </c>
      <c r="E656" s="5"/>
      <c r="F656" s="7" t="s">
        <v>2701</v>
      </c>
      <c r="G656" s="5"/>
      <c r="H656" s="5"/>
      <c r="I656" s="21" t="s">
        <v>2702</v>
      </c>
      <c r="J656" s="7" t="s">
        <v>24</v>
      </c>
      <c r="K656" s="7" t="s">
        <v>2703</v>
      </c>
      <c r="L656" s="14">
        <v>5063021384</v>
      </c>
      <c r="M656" s="5"/>
      <c r="N656" s="14">
        <v>15000000</v>
      </c>
      <c r="O656" s="40"/>
      <c r="P656" s="40"/>
      <c r="Q656" s="3">
        <f t="shared" si="82"/>
        <v>5078021384</v>
      </c>
      <c r="R656" s="3">
        <v>5063021384</v>
      </c>
      <c r="S656" s="7"/>
      <c r="T656" s="30">
        <v>15000000</v>
      </c>
      <c r="U656" s="7"/>
      <c r="V656" s="7"/>
      <c r="W656" s="36"/>
      <c r="X656" s="36">
        <f t="shared" si="83"/>
        <v>0</v>
      </c>
      <c r="Y656" s="36">
        <f t="shared" si="84"/>
        <v>0</v>
      </c>
      <c r="Z656" s="36">
        <f t="shared" si="78"/>
        <v>0</v>
      </c>
      <c r="AA656" s="4"/>
      <c r="AB656" s="79"/>
    </row>
    <row r="657" spans="1:28" ht="126" x14ac:dyDescent="0.3">
      <c r="A657" s="7" t="s">
        <v>53</v>
      </c>
      <c r="B657" s="6">
        <v>633</v>
      </c>
      <c r="C657" s="7" t="s">
        <v>2562</v>
      </c>
      <c r="D657" s="7" t="s">
        <v>2704</v>
      </c>
      <c r="E657" s="5"/>
      <c r="F657" s="7" t="s">
        <v>2705</v>
      </c>
      <c r="G657" s="5"/>
      <c r="H657" s="7" t="s">
        <v>2565</v>
      </c>
      <c r="I657" s="21" t="s">
        <v>2706</v>
      </c>
      <c r="J657" s="7" t="s">
        <v>24</v>
      </c>
      <c r="K657" s="7" t="s">
        <v>2707</v>
      </c>
      <c r="L657" s="14">
        <v>3070287800</v>
      </c>
      <c r="M657" s="5"/>
      <c r="N657" s="14">
        <v>7500000</v>
      </c>
      <c r="O657" s="40"/>
      <c r="P657" s="40"/>
      <c r="Q657" s="3">
        <f t="shared" si="82"/>
        <v>3077787800</v>
      </c>
      <c r="R657" s="3">
        <v>3070287800</v>
      </c>
      <c r="S657" s="7"/>
      <c r="T657" s="30">
        <v>7500000</v>
      </c>
      <c r="U657" s="7"/>
      <c r="V657" s="7"/>
      <c r="W657" s="36"/>
      <c r="X657" s="36">
        <f t="shared" si="83"/>
        <v>0</v>
      </c>
      <c r="Y657" s="36">
        <f t="shared" si="84"/>
        <v>0</v>
      </c>
      <c r="Z657" s="36">
        <f t="shared" si="78"/>
        <v>0</v>
      </c>
      <c r="AA657" s="4"/>
      <c r="AB657" s="79"/>
    </row>
    <row r="658" spans="1:28" ht="46.8" x14ac:dyDescent="0.3">
      <c r="A658" s="7" t="s">
        <v>46</v>
      </c>
      <c r="B658" s="6">
        <v>634</v>
      </c>
      <c r="C658" s="7" t="s">
        <v>2562</v>
      </c>
      <c r="D658" s="7" t="s">
        <v>2708</v>
      </c>
      <c r="E658" s="5"/>
      <c r="F658" s="7" t="s">
        <v>2709</v>
      </c>
      <c r="G658" s="5"/>
      <c r="H658" s="7" t="s">
        <v>2565</v>
      </c>
      <c r="I658" s="21" t="s">
        <v>2710</v>
      </c>
      <c r="J658" s="7" t="s">
        <v>24</v>
      </c>
      <c r="K658" s="7" t="s">
        <v>2711</v>
      </c>
      <c r="L658" s="14">
        <v>3569089716</v>
      </c>
      <c r="M658" s="5"/>
      <c r="N658" s="14">
        <v>7500000</v>
      </c>
      <c r="O658" s="40"/>
      <c r="P658" s="40"/>
      <c r="Q658" s="3">
        <f t="shared" si="82"/>
        <v>3576589716</v>
      </c>
      <c r="R658" s="3">
        <v>3569089716</v>
      </c>
      <c r="S658" s="7"/>
      <c r="T658" s="30">
        <v>7500000</v>
      </c>
      <c r="U658" s="7"/>
      <c r="V658" s="7"/>
      <c r="W658" s="36"/>
      <c r="X658" s="36">
        <f t="shared" si="83"/>
        <v>0</v>
      </c>
      <c r="Y658" s="36">
        <f t="shared" si="84"/>
        <v>0</v>
      </c>
      <c r="Z658" s="36">
        <f t="shared" si="78"/>
        <v>0</v>
      </c>
      <c r="AA658" s="4"/>
      <c r="AB658" s="79"/>
    </row>
    <row r="659" spans="1:28" ht="31.2" x14ac:dyDescent="0.3">
      <c r="A659" s="7" t="s">
        <v>53</v>
      </c>
      <c r="B659" s="6">
        <v>635</v>
      </c>
      <c r="C659" s="7" t="s">
        <v>2562</v>
      </c>
      <c r="D659" s="7" t="s">
        <v>2712</v>
      </c>
      <c r="E659" s="5"/>
      <c r="F659" s="7" t="s">
        <v>2713</v>
      </c>
      <c r="G659" s="5"/>
      <c r="H659" s="7" t="s">
        <v>2685</v>
      </c>
      <c r="I659" s="21" t="s">
        <v>2714</v>
      </c>
      <c r="J659" s="7" t="s">
        <v>24</v>
      </c>
      <c r="K659" s="7" t="s">
        <v>2715</v>
      </c>
      <c r="L659" s="14">
        <v>1028645990</v>
      </c>
      <c r="M659" s="5"/>
      <c r="N659" s="14">
        <v>7500000</v>
      </c>
      <c r="O659" s="40"/>
      <c r="P659" s="40"/>
      <c r="Q659" s="3">
        <f t="shared" si="82"/>
        <v>1036145990</v>
      </c>
      <c r="R659" s="3">
        <v>1028645990</v>
      </c>
      <c r="S659" s="7"/>
      <c r="T659" s="30">
        <v>7500000</v>
      </c>
      <c r="U659" s="7"/>
      <c r="V659" s="7"/>
      <c r="W659" s="36"/>
      <c r="X659" s="36">
        <f t="shared" si="83"/>
        <v>0</v>
      </c>
      <c r="Y659" s="36">
        <f t="shared" si="84"/>
        <v>0</v>
      </c>
      <c r="Z659" s="36">
        <f t="shared" si="78"/>
        <v>0</v>
      </c>
      <c r="AA659" s="4"/>
      <c r="AB659" s="79"/>
    </row>
    <row r="660" spans="1:28" ht="42" x14ac:dyDescent="0.4">
      <c r="A660" s="7" t="s">
        <v>18</v>
      </c>
      <c r="B660" s="6">
        <v>636</v>
      </c>
      <c r="C660" s="7" t="s">
        <v>2562</v>
      </c>
      <c r="D660" s="7" t="s">
        <v>2716</v>
      </c>
      <c r="E660" s="5"/>
      <c r="F660" s="7" t="s">
        <v>2717</v>
      </c>
      <c r="G660" s="5"/>
      <c r="H660" s="5"/>
      <c r="I660" s="21" t="s">
        <v>2718</v>
      </c>
      <c r="J660" s="7" t="s">
        <v>24</v>
      </c>
      <c r="K660" s="7" t="s">
        <v>2719</v>
      </c>
      <c r="L660" s="14">
        <v>4288374500</v>
      </c>
      <c r="M660" s="5"/>
      <c r="N660" s="14">
        <v>7500000</v>
      </c>
      <c r="O660" s="40"/>
      <c r="P660" s="40"/>
      <c r="Q660" s="3">
        <f t="shared" si="82"/>
        <v>4295874500</v>
      </c>
      <c r="R660" s="7"/>
      <c r="S660" s="7"/>
      <c r="T660" s="72"/>
      <c r="U660" s="7"/>
      <c r="V660" s="7"/>
      <c r="W660" s="36">
        <v>4288374500</v>
      </c>
      <c r="X660" s="36">
        <f t="shared" si="83"/>
        <v>0</v>
      </c>
      <c r="Y660" s="36">
        <f t="shared" si="84"/>
        <v>7500000</v>
      </c>
      <c r="Z660" s="36">
        <f t="shared" si="78"/>
        <v>0</v>
      </c>
      <c r="AA660" s="16">
        <v>4288374500</v>
      </c>
      <c r="AB660" s="79"/>
    </row>
    <row r="661" spans="1:28" ht="31.2" x14ac:dyDescent="0.3">
      <c r="A661" s="7" t="s">
        <v>46</v>
      </c>
      <c r="B661" s="6">
        <v>637</v>
      </c>
      <c r="C661" s="7" t="s">
        <v>2562</v>
      </c>
      <c r="D661" s="7" t="s">
        <v>2720</v>
      </c>
      <c r="E661" s="5"/>
      <c r="F661" s="7" t="s">
        <v>2721</v>
      </c>
      <c r="G661" s="5"/>
      <c r="H661" s="5"/>
      <c r="I661" s="21" t="s">
        <v>2722</v>
      </c>
      <c r="J661" s="7" t="s">
        <v>24</v>
      </c>
      <c r="K661" s="7" t="s">
        <v>2723</v>
      </c>
      <c r="L661" s="14">
        <v>1265664188</v>
      </c>
      <c r="M661" s="5"/>
      <c r="N661" s="14">
        <v>7500000</v>
      </c>
      <c r="O661" s="40"/>
      <c r="P661" s="40"/>
      <c r="Q661" s="3">
        <f t="shared" si="82"/>
        <v>1273164188</v>
      </c>
      <c r="R661" s="3">
        <v>1265664188</v>
      </c>
      <c r="S661" s="7"/>
      <c r="T661" s="30">
        <v>7500000</v>
      </c>
      <c r="U661" s="7"/>
      <c r="V661" s="7"/>
      <c r="W661" s="36"/>
      <c r="X661" s="36">
        <f t="shared" si="83"/>
        <v>0</v>
      </c>
      <c r="Y661" s="36">
        <f t="shared" si="84"/>
        <v>0</v>
      </c>
      <c r="Z661" s="36">
        <f t="shared" si="78"/>
        <v>0</v>
      </c>
      <c r="AA661" s="4"/>
      <c r="AB661" s="79"/>
    </row>
    <row r="662" spans="1:28" ht="42" x14ac:dyDescent="0.3">
      <c r="A662" s="7" t="s">
        <v>53</v>
      </c>
      <c r="B662" s="6">
        <v>638</v>
      </c>
      <c r="C662" s="7" t="s">
        <v>2562</v>
      </c>
      <c r="D662" s="7" t="s">
        <v>2724</v>
      </c>
      <c r="E662" s="5"/>
      <c r="F662" s="7" t="s">
        <v>2725</v>
      </c>
      <c r="G662" s="5"/>
      <c r="H662" s="7" t="s">
        <v>2726</v>
      </c>
      <c r="I662" s="21" t="s">
        <v>2727</v>
      </c>
      <c r="J662" s="7" t="s">
        <v>24</v>
      </c>
      <c r="K662" s="7" t="s">
        <v>2728</v>
      </c>
      <c r="L662" s="14">
        <v>301882620</v>
      </c>
      <c r="M662" s="5"/>
      <c r="N662" s="14">
        <v>7500000</v>
      </c>
      <c r="O662" s="40"/>
      <c r="P662" s="40"/>
      <c r="Q662" s="3">
        <f t="shared" si="82"/>
        <v>309382620</v>
      </c>
      <c r="R662" s="3">
        <v>301882620</v>
      </c>
      <c r="S662" s="7"/>
      <c r="T662" s="30">
        <v>7500000</v>
      </c>
      <c r="U662" s="7"/>
      <c r="V662" s="7"/>
      <c r="W662" s="36"/>
      <c r="X662" s="36">
        <f t="shared" si="83"/>
        <v>0</v>
      </c>
      <c r="Y662" s="36">
        <f t="shared" si="84"/>
        <v>0</v>
      </c>
      <c r="Z662" s="36">
        <f t="shared" si="78"/>
        <v>0</v>
      </c>
      <c r="AA662" s="4"/>
      <c r="AB662" s="79"/>
    </row>
    <row r="663" spans="1:28" ht="46.8" x14ac:dyDescent="0.3">
      <c r="A663" s="7" t="s">
        <v>53</v>
      </c>
      <c r="B663" s="6">
        <v>639</v>
      </c>
      <c r="C663" s="7" t="s">
        <v>2562</v>
      </c>
      <c r="D663" s="7" t="s">
        <v>2729</v>
      </c>
      <c r="E663" s="7" t="s">
        <v>2470</v>
      </c>
      <c r="F663" s="7" t="s">
        <v>2731</v>
      </c>
      <c r="G663" s="5"/>
      <c r="H663" s="7" t="s">
        <v>2565</v>
      </c>
      <c r="I663" s="21" t="s">
        <v>2732</v>
      </c>
      <c r="J663" s="7" t="s">
        <v>24</v>
      </c>
      <c r="K663" s="7" t="s">
        <v>2733</v>
      </c>
      <c r="L663" s="14">
        <v>6012667866</v>
      </c>
      <c r="M663" s="15">
        <v>3504088820</v>
      </c>
      <c r="N663" s="14">
        <v>15000000</v>
      </c>
      <c r="O663" s="40" t="s">
        <v>2730</v>
      </c>
      <c r="P663" s="10">
        <v>24000000</v>
      </c>
      <c r="Q663" s="3">
        <f t="shared" si="82"/>
        <v>9555756686</v>
      </c>
      <c r="R663" s="3">
        <v>6012667866</v>
      </c>
      <c r="S663" s="3">
        <v>3504088820</v>
      </c>
      <c r="T663" s="72"/>
      <c r="U663" s="3">
        <v>24000000</v>
      </c>
      <c r="V663" s="7"/>
      <c r="W663" s="36"/>
      <c r="X663" s="36">
        <f t="shared" si="83"/>
        <v>0</v>
      </c>
      <c r="Y663" s="36">
        <f t="shared" si="84"/>
        <v>15000000</v>
      </c>
      <c r="Z663" s="36">
        <f t="shared" si="78"/>
        <v>0</v>
      </c>
      <c r="AA663" s="4"/>
      <c r="AB663" s="79"/>
    </row>
    <row r="664" spans="1:28" ht="42" x14ac:dyDescent="0.4">
      <c r="A664" s="7" t="s">
        <v>53</v>
      </c>
      <c r="B664" s="6">
        <v>640</v>
      </c>
      <c r="C664" s="7" t="s">
        <v>2562</v>
      </c>
      <c r="D664" s="7" t="s">
        <v>2734</v>
      </c>
      <c r="E664" s="5"/>
      <c r="F664" s="7" t="s">
        <v>2735</v>
      </c>
      <c r="G664" s="5"/>
      <c r="H664" s="7" t="s">
        <v>2685</v>
      </c>
      <c r="I664" s="21" t="s">
        <v>2736</v>
      </c>
      <c r="J664" s="7" t="s">
        <v>24</v>
      </c>
      <c r="K664" s="7" t="s">
        <v>2737</v>
      </c>
      <c r="L664" s="14">
        <v>1387021608</v>
      </c>
      <c r="M664" s="5"/>
      <c r="N664" s="14">
        <v>7500000</v>
      </c>
      <c r="O664" s="40"/>
      <c r="P664" s="40"/>
      <c r="Q664" s="3">
        <f t="shared" si="82"/>
        <v>1394521608</v>
      </c>
      <c r="R664" s="7"/>
      <c r="S664" s="7"/>
      <c r="T664" s="72"/>
      <c r="U664" s="7"/>
      <c r="V664" s="7"/>
      <c r="W664" s="36">
        <v>1387021608</v>
      </c>
      <c r="X664" s="36">
        <f t="shared" si="83"/>
        <v>0</v>
      </c>
      <c r="Y664" s="36">
        <f t="shared" si="84"/>
        <v>7500000</v>
      </c>
      <c r="Z664" s="36">
        <f t="shared" si="78"/>
        <v>0</v>
      </c>
      <c r="AA664" s="16">
        <v>1387021608</v>
      </c>
      <c r="AB664" s="79"/>
    </row>
    <row r="665" spans="1:28" ht="31.2" x14ac:dyDescent="0.3">
      <c r="A665" s="7" t="s">
        <v>53</v>
      </c>
      <c r="B665" s="6">
        <v>641</v>
      </c>
      <c r="C665" s="7" t="s">
        <v>2562</v>
      </c>
      <c r="D665" s="7" t="s">
        <v>2738</v>
      </c>
      <c r="E665" s="5"/>
      <c r="F665" s="7" t="s">
        <v>2739</v>
      </c>
      <c r="G665" s="5"/>
      <c r="H665" s="7" t="s">
        <v>28</v>
      </c>
      <c r="I665" s="21" t="s">
        <v>2740</v>
      </c>
      <c r="J665" s="7" t="s">
        <v>24</v>
      </c>
      <c r="K665" s="7" t="s">
        <v>2741</v>
      </c>
      <c r="L665" s="14">
        <v>258157180</v>
      </c>
      <c r="M665" s="5"/>
      <c r="N665" s="14">
        <v>3750000</v>
      </c>
      <c r="O665" s="40"/>
      <c r="P665" s="40"/>
      <c r="Q665" s="3">
        <f t="shared" si="82"/>
        <v>261907180</v>
      </c>
      <c r="R665" s="3">
        <v>258157180</v>
      </c>
      <c r="S665" s="7"/>
      <c r="T665" s="30">
        <v>3750000</v>
      </c>
      <c r="U665" s="7"/>
      <c r="V665" s="7"/>
      <c r="W665" s="36"/>
      <c r="X665" s="36">
        <f t="shared" si="83"/>
        <v>0</v>
      </c>
      <c r="Y665" s="36">
        <f t="shared" si="84"/>
        <v>0</v>
      </c>
      <c r="Z665" s="36">
        <f t="shared" si="78"/>
        <v>0</v>
      </c>
      <c r="AA665" s="4"/>
      <c r="AB665" s="79"/>
    </row>
    <row r="666" spans="1:28" ht="63" x14ac:dyDescent="0.3">
      <c r="A666" s="7" t="s">
        <v>53</v>
      </c>
      <c r="B666" s="6">
        <v>642</v>
      </c>
      <c r="C666" s="7" t="s">
        <v>2562</v>
      </c>
      <c r="D666" s="7" t="s">
        <v>2742</v>
      </c>
      <c r="E666" s="5"/>
      <c r="F666" s="7" t="s">
        <v>2743</v>
      </c>
      <c r="G666" s="5"/>
      <c r="H666" s="7" t="s">
        <v>2685</v>
      </c>
      <c r="I666" s="21" t="s">
        <v>2744</v>
      </c>
      <c r="J666" s="7" t="s">
        <v>24</v>
      </c>
      <c r="K666" s="7" t="s">
        <v>2745</v>
      </c>
      <c r="L666" s="14">
        <v>3184129002</v>
      </c>
      <c r="M666" s="5"/>
      <c r="N666" s="14">
        <v>15000000</v>
      </c>
      <c r="O666" s="40"/>
      <c r="P666" s="40"/>
      <c r="Q666" s="3">
        <f t="shared" si="82"/>
        <v>3199129002</v>
      </c>
      <c r="R666" s="3">
        <v>3184129002</v>
      </c>
      <c r="S666" s="7"/>
      <c r="T666" s="30">
        <v>15000000</v>
      </c>
      <c r="U666" s="7"/>
      <c r="V666" s="7"/>
      <c r="W666" s="36"/>
      <c r="X666" s="36">
        <f t="shared" si="83"/>
        <v>0</v>
      </c>
      <c r="Y666" s="36">
        <f t="shared" si="84"/>
        <v>0</v>
      </c>
      <c r="Z666" s="36">
        <f t="shared" ref="Z666:Z692" si="85">P666-U666</f>
        <v>0</v>
      </c>
      <c r="AA666" s="4"/>
      <c r="AB666" s="79"/>
    </row>
    <row r="667" spans="1:28" ht="31.2" x14ac:dyDescent="0.3">
      <c r="A667" s="7" t="s">
        <v>2290</v>
      </c>
      <c r="B667" s="6">
        <v>643</v>
      </c>
      <c r="C667" s="7" t="s">
        <v>2562</v>
      </c>
      <c r="D667" s="7" t="s">
        <v>2746</v>
      </c>
      <c r="E667" s="7" t="s">
        <v>2747</v>
      </c>
      <c r="F667" s="7" t="s">
        <v>2748</v>
      </c>
      <c r="G667" s="7" t="s">
        <v>2749</v>
      </c>
      <c r="H667" s="7" t="s">
        <v>2685</v>
      </c>
      <c r="I667" s="21" t="s">
        <v>2750</v>
      </c>
      <c r="J667" s="7" t="s">
        <v>24</v>
      </c>
      <c r="K667" s="7" t="s">
        <v>2751</v>
      </c>
      <c r="L667" s="14">
        <v>5429528230</v>
      </c>
      <c r="M667" s="14">
        <v>1005357150</v>
      </c>
      <c r="N667" s="14">
        <v>7500000</v>
      </c>
      <c r="O667" s="40"/>
      <c r="P667" s="40"/>
      <c r="Q667" s="3">
        <f t="shared" si="82"/>
        <v>6442385380</v>
      </c>
      <c r="R667" s="3">
        <v>5429528230</v>
      </c>
      <c r="S667" s="3">
        <v>1005357150</v>
      </c>
      <c r="T667" s="30">
        <v>7500000</v>
      </c>
      <c r="U667" s="7"/>
      <c r="V667" s="7"/>
      <c r="W667" s="36"/>
      <c r="X667" s="36">
        <f t="shared" si="83"/>
        <v>0</v>
      </c>
      <c r="Y667" s="36">
        <f t="shared" si="84"/>
        <v>0</v>
      </c>
      <c r="Z667" s="36">
        <f t="shared" si="85"/>
        <v>0</v>
      </c>
      <c r="AA667" s="4"/>
      <c r="AB667" s="79"/>
    </row>
    <row r="668" spans="1:28" ht="62.4" x14ac:dyDescent="0.3">
      <c r="A668" s="7" t="s">
        <v>2290</v>
      </c>
      <c r="B668" s="6">
        <v>644</v>
      </c>
      <c r="C668" s="7" t="s">
        <v>2562</v>
      </c>
      <c r="D668" s="7" t="s">
        <v>2752</v>
      </c>
      <c r="E668" s="5"/>
      <c r="F668" s="7" t="s">
        <v>2754</v>
      </c>
      <c r="G668" s="5"/>
      <c r="H668" s="7" t="s">
        <v>2565</v>
      </c>
      <c r="I668" s="21" t="s">
        <v>2755</v>
      </c>
      <c r="J668" s="7" t="s">
        <v>24</v>
      </c>
      <c r="K668" s="7" t="s">
        <v>1652</v>
      </c>
      <c r="L668" s="14">
        <v>14057391480</v>
      </c>
      <c r="M668" s="5"/>
      <c r="N668" s="14">
        <v>15000000</v>
      </c>
      <c r="O668" s="40" t="s">
        <v>2753</v>
      </c>
      <c r="P668" s="10">
        <v>72000000</v>
      </c>
      <c r="Q668" s="3">
        <f t="shared" si="82"/>
        <v>14144391480</v>
      </c>
      <c r="R668" s="3">
        <v>14057391480</v>
      </c>
      <c r="S668" s="7"/>
      <c r="T668" s="30">
        <v>15000000</v>
      </c>
      <c r="U668" s="3">
        <v>24000000</v>
      </c>
      <c r="V668" s="7"/>
      <c r="W668" s="36"/>
      <c r="X668" s="36">
        <f t="shared" si="83"/>
        <v>0</v>
      </c>
      <c r="Y668" s="36">
        <f t="shared" si="84"/>
        <v>0</v>
      </c>
      <c r="Z668" s="36">
        <f t="shared" si="85"/>
        <v>48000000</v>
      </c>
      <c r="AA668" s="4"/>
      <c r="AB668" s="80" t="s">
        <v>3822</v>
      </c>
    </row>
    <row r="669" spans="1:28" ht="31.2" x14ac:dyDescent="0.3">
      <c r="A669" s="7" t="s">
        <v>53</v>
      </c>
      <c r="B669" s="6">
        <v>645</v>
      </c>
      <c r="C669" s="7" t="s">
        <v>2562</v>
      </c>
      <c r="D669" s="7" t="s">
        <v>2756</v>
      </c>
      <c r="E669" s="7" t="s">
        <v>2757</v>
      </c>
      <c r="F669" s="7" t="s">
        <v>2758</v>
      </c>
      <c r="G669" s="7" t="s">
        <v>2759</v>
      </c>
      <c r="H669" s="7" t="s">
        <v>2565</v>
      </c>
      <c r="I669" s="21" t="s">
        <v>2760</v>
      </c>
      <c r="J669" s="7" t="s">
        <v>24</v>
      </c>
      <c r="K669" s="7" t="s">
        <v>2761</v>
      </c>
      <c r="L669" s="14">
        <v>3117329551</v>
      </c>
      <c r="M669" s="14">
        <v>7186340</v>
      </c>
      <c r="N669" s="14">
        <v>15000000</v>
      </c>
      <c r="O669" s="40" t="s">
        <v>2058</v>
      </c>
      <c r="P669" s="10">
        <v>8000000</v>
      </c>
      <c r="Q669" s="3">
        <f t="shared" si="82"/>
        <v>3147515891</v>
      </c>
      <c r="R669" s="3">
        <v>3117329551</v>
      </c>
      <c r="S669" s="3">
        <v>7186340</v>
      </c>
      <c r="T669" s="30">
        <v>15000000</v>
      </c>
      <c r="U669" s="3">
        <v>8000000</v>
      </c>
      <c r="V669" s="7"/>
      <c r="W669" s="36"/>
      <c r="X669" s="36">
        <f t="shared" si="83"/>
        <v>0</v>
      </c>
      <c r="Y669" s="36">
        <f t="shared" si="84"/>
        <v>0</v>
      </c>
      <c r="Z669" s="36">
        <f t="shared" si="85"/>
        <v>0</v>
      </c>
      <c r="AA669" s="4"/>
      <c r="AB669" s="79"/>
    </row>
    <row r="670" spans="1:28" ht="31.2" x14ac:dyDescent="0.3">
      <c r="A670" s="7" t="s">
        <v>2290</v>
      </c>
      <c r="B670" s="6">
        <v>646</v>
      </c>
      <c r="C670" s="7" t="s">
        <v>2562</v>
      </c>
      <c r="D670" s="7" t="s">
        <v>2762</v>
      </c>
      <c r="E670" s="7" t="s">
        <v>2764</v>
      </c>
      <c r="F670" s="7" t="s">
        <v>2765</v>
      </c>
      <c r="G670" s="5"/>
      <c r="H670" s="7" t="s">
        <v>2685</v>
      </c>
      <c r="I670" s="21" t="s">
        <v>2766</v>
      </c>
      <c r="J670" s="7" t="s">
        <v>24</v>
      </c>
      <c r="K670" s="7" t="s">
        <v>2767</v>
      </c>
      <c r="L670" s="14">
        <v>986764751</v>
      </c>
      <c r="M670" s="14">
        <v>522395346</v>
      </c>
      <c r="N670" s="14">
        <v>15000000</v>
      </c>
      <c r="O670" s="40" t="s">
        <v>2763</v>
      </c>
      <c r="P670" s="10">
        <v>24000000</v>
      </c>
      <c r="Q670" s="3">
        <f t="shared" si="82"/>
        <v>1548160097</v>
      </c>
      <c r="R670" s="3">
        <v>986764751</v>
      </c>
      <c r="S670" s="3">
        <v>522395346</v>
      </c>
      <c r="T670" s="30">
        <v>15000000</v>
      </c>
      <c r="U670" s="3">
        <v>24000000</v>
      </c>
      <c r="V670" s="7"/>
      <c r="W670" s="36"/>
      <c r="X670" s="36">
        <f t="shared" si="83"/>
        <v>0</v>
      </c>
      <c r="Y670" s="36">
        <f t="shared" si="84"/>
        <v>0</v>
      </c>
      <c r="Z670" s="36">
        <f t="shared" si="85"/>
        <v>0</v>
      </c>
      <c r="AA670" s="4"/>
      <c r="AB670" s="79"/>
    </row>
    <row r="671" spans="1:28" ht="42" x14ac:dyDescent="0.3">
      <c r="A671" s="7" t="s">
        <v>46</v>
      </c>
      <c r="B671" s="6">
        <v>647</v>
      </c>
      <c r="C671" s="7" t="s">
        <v>2562</v>
      </c>
      <c r="D671" s="7" t="s">
        <v>2768</v>
      </c>
      <c r="E671" s="5"/>
      <c r="F671" s="7" t="s">
        <v>2769</v>
      </c>
      <c r="G671" s="5"/>
      <c r="H671" s="5"/>
      <c r="I671" s="21" t="s">
        <v>2770</v>
      </c>
      <c r="J671" s="7" t="s">
        <v>24</v>
      </c>
      <c r="K671" s="7" t="s">
        <v>2771</v>
      </c>
      <c r="L671" s="14">
        <v>1533758900</v>
      </c>
      <c r="M671" s="5"/>
      <c r="N671" s="14">
        <v>7500000</v>
      </c>
      <c r="O671" s="40"/>
      <c r="P671" s="40"/>
      <c r="Q671" s="3">
        <f t="shared" si="82"/>
        <v>1541258900</v>
      </c>
      <c r="R671" s="3">
        <v>1533758900</v>
      </c>
      <c r="S671" s="7"/>
      <c r="T671" s="30">
        <v>7500000</v>
      </c>
      <c r="U671" s="7"/>
      <c r="V671" s="7"/>
      <c r="W671" s="36"/>
      <c r="X671" s="36">
        <f t="shared" si="83"/>
        <v>0</v>
      </c>
      <c r="Y671" s="36">
        <f t="shared" si="84"/>
        <v>0</v>
      </c>
      <c r="Z671" s="36">
        <f t="shared" si="85"/>
        <v>0</v>
      </c>
      <c r="AA671" s="4"/>
      <c r="AB671" s="79"/>
    </row>
    <row r="672" spans="1:28" ht="31.2" x14ac:dyDescent="0.3">
      <c r="A672" s="7" t="s">
        <v>53</v>
      </c>
      <c r="B672" s="6">
        <v>648</v>
      </c>
      <c r="C672" s="7" t="s">
        <v>2562</v>
      </c>
      <c r="D672" s="7" t="s">
        <v>2772</v>
      </c>
      <c r="E672" s="5"/>
      <c r="F672" s="7" t="s">
        <v>2773</v>
      </c>
      <c r="G672" s="5"/>
      <c r="H672" s="7" t="s">
        <v>2565</v>
      </c>
      <c r="I672" s="21" t="s">
        <v>2774</v>
      </c>
      <c r="J672" s="7" t="s">
        <v>24</v>
      </c>
      <c r="K672" s="7" t="s">
        <v>2775</v>
      </c>
      <c r="L672" s="14">
        <v>7462791400</v>
      </c>
      <c r="M672" s="5"/>
      <c r="N672" s="14">
        <v>15000000</v>
      </c>
      <c r="O672" s="40"/>
      <c r="P672" s="40"/>
      <c r="Q672" s="3">
        <f t="shared" si="82"/>
        <v>7477791400</v>
      </c>
      <c r="R672" s="3">
        <v>7462791400</v>
      </c>
      <c r="S672" s="7"/>
      <c r="T672" s="30">
        <v>15000000</v>
      </c>
      <c r="U672" s="7"/>
      <c r="V672" s="7"/>
      <c r="W672" s="36"/>
      <c r="X672" s="36">
        <f t="shared" si="83"/>
        <v>0</v>
      </c>
      <c r="Y672" s="36">
        <f t="shared" si="84"/>
        <v>0</v>
      </c>
      <c r="Z672" s="36">
        <f t="shared" si="85"/>
        <v>0</v>
      </c>
      <c r="AA672" s="4"/>
      <c r="AB672" s="79"/>
    </row>
    <row r="673" spans="1:28" ht="31.2" x14ac:dyDescent="0.3">
      <c r="A673" s="7" t="s">
        <v>2290</v>
      </c>
      <c r="B673" s="6">
        <v>649</v>
      </c>
      <c r="C673" s="7" t="s">
        <v>2562</v>
      </c>
      <c r="D673" s="7" t="s">
        <v>2776</v>
      </c>
      <c r="E673" s="5"/>
      <c r="F673" s="7" t="s">
        <v>2777</v>
      </c>
      <c r="G673" s="5"/>
      <c r="H673" s="7" t="s">
        <v>2685</v>
      </c>
      <c r="I673" s="21" t="s">
        <v>2778</v>
      </c>
      <c r="J673" s="7" t="s">
        <v>24</v>
      </c>
      <c r="K673" s="7" t="s">
        <v>2779</v>
      </c>
      <c r="L673" s="14">
        <v>5198673388</v>
      </c>
      <c r="M673" s="5"/>
      <c r="N673" s="14">
        <v>15000000</v>
      </c>
      <c r="O673" s="40"/>
      <c r="P673" s="40"/>
      <c r="Q673" s="3">
        <f t="shared" si="82"/>
        <v>5213673388</v>
      </c>
      <c r="R673" s="3">
        <v>5198673388</v>
      </c>
      <c r="S673" s="7"/>
      <c r="T673" s="30">
        <v>15000000</v>
      </c>
      <c r="U673" s="7"/>
      <c r="V673" s="7"/>
      <c r="W673" s="36"/>
      <c r="X673" s="36">
        <f t="shared" si="83"/>
        <v>0</v>
      </c>
      <c r="Y673" s="36">
        <f t="shared" si="84"/>
        <v>0</v>
      </c>
      <c r="Z673" s="36">
        <f t="shared" si="85"/>
        <v>0</v>
      </c>
      <c r="AA673" s="4"/>
      <c r="AB673" s="79"/>
    </row>
    <row r="674" spans="1:28" ht="31.2" x14ac:dyDescent="0.3">
      <c r="A674" s="7" t="s">
        <v>2290</v>
      </c>
      <c r="B674" s="6">
        <v>650</v>
      </c>
      <c r="C674" s="7" t="s">
        <v>2562</v>
      </c>
      <c r="D674" s="7" t="s">
        <v>2780</v>
      </c>
      <c r="E674" s="5"/>
      <c r="F674" s="7" t="s">
        <v>2781</v>
      </c>
      <c r="G674" s="5"/>
      <c r="H674" s="7" t="s">
        <v>2565</v>
      </c>
      <c r="I674" s="21" t="s">
        <v>2782</v>
      </c>
      <c r="J674" s="7" t="s">
        <v>24</v>
      </c>
      <c r="K674" s="7" t="s">
        <v>2783</v>
      </c>
      <c r="L674" s="14">
        <v>2087490465</v>
      </c>
      <c r="M674" s="5"/>
      <c r="N674" s="14">
        <v>15000000</v>
      </c>
      <c r="O674" s="40"/>
      <c r="P674" s="40"/>
      <c r="Q674" s="3">
        <f t="shared" si="82"/>
        <v>2102490465</v>
      </c>
      <c r="R674" s="3">
        <v>2087490465</v>
      </c>
      <c r="S674" s="7"/>
      <c r="T674" s="30">
        <v>15000000</v>
      </c>
      <c r="U674" s="7"/>
      <c r="V674" s="7"/>
      <c r="W674" s="36"/>
      <c r="X674" s="36">
        <f t="shared" si="83"/>
        <v>0</v>
      </c>
      <c r="Y674" s="36">
        <f t="shared" si="84"/>
        <v>0</v>
      </c>
      <c r="Z674" s="36">
        <f t="shared" si="85"/>
        <v>0</v>
      </c>
      <c r="AA674" s="4"/>
      <c r="AB674" s="79"/>
    </row>
    <row r="675" spans="1:28" ht="42" x14ac:dyDescent="0.3">
      <c r="A675" s="7" t="s">
        <v>46</v>
      </c>
      <c r="B675" s="6">
        <v>651</v>
      </c>
      <c r="C675" s="7" t="s">
        <v>2562</v>
      </c>
      <c r="D675" s="7" t="s">
        <v>2784</v>
      </c>
      <c r="E675" s="5"/>
      <c r="F675" s="7" t="s">
        <v>2785</v>
      </c>
      <c r="G675" s="5"/>
      <c r="H675" s="5"/>
      <c r="I675" s="21" t="s">
        <v>2786</v>
      </c>
      <c r="J675" s="7" t="s">
        <v>24</v>
      </c>
      <c r="K675" s="7" t="s">
        <v>2787</v>
      </c>
      <c r="L675" s="14">
        <v>5912489280</v>
      </c>
      <c r="M675" s="5"/>
      <c r="N675" s="14">
        <v>15000000</v>
      </c>
      <c r="O675" s="40"/>
      <c r="P675" s="40"/>
      <c r="Q675" s="3">
        <f t="shared" si="82"/>
        <v>5927489280</v>
      </c>
      <c r="R675" s="3">
        <v>5912489280</v>
      </c>
      <c r="S675" s="7"/>
      <c r="T675" s="72"/>
      <c r="U675" s="7"/>
      <c r="V675" s="7"/>
      <c r="W675" s="36"/>
      <c r="X675" s="36">
        <f t="shared" si="83"/>
        <v>0</v>
      </c>
      <c r="Y675" s="36">
        <f t="shared" si="84"/>
        <v>15000000</v>
      </c>
      <c r="Z675" s="36">
        <f t="shared" si="85"/>
        <v>0</v>
      </c>
      <c r="AA675" s="4"/>
      <c r="AB675" s="79"/>
    </row>
    <row r="676" spans="1:28" ht="63" x14ac:dyDescent="0.3">
      <c r="A676" s="7" t="s">
        <v>2290</v>
      </c>
      <c r="B676" s="6">
        <v>652</v>
      </c>
      <c r="C676" s="7" t="s">
        <v>2562</v>
      </c>
      <c r="D676" s="7" t="s">
        <v>2788</v>
      </c>
      <c r="E676" s="5"/>
      <c r="F676" s="7" t="s">
        <v>2789</v>
      </c>
      <c r="G676" s="5"/>
      <c r="H676" s="7" t="s">
        <v>2685</v>
      </c>
      <c r="I676" s="21" t="s">
        <v>2790</v>
      </c>
      <c r="J676" s="7" t="s">
        <v>24</v>
      </c>
      <c r="K676" s="7" t="s">
        <v>2791</v>
      </c>
      <c r="L676" s="14">
        <v>16382742639</v>
      </c>
      <c r="M676" s="5"/>
      <c r="N676" s="14">
        <v>15000000</v>
      </c>
      <c r="O676" s="40" t="s">
        <v>378</v>
      </c>
      <c r="P676" s="10">
        <v>144000000</v>
      </c>
      <c r="Q676" s="3">
        <f t="shared" si="82"/>
        <v>16541742639</v>
      </c>
      <c r="R676" s="3">
        <v>16382742639</v>
      </c>
      <c r="S676" s="7"/>
      <c r="T676" s="30">
        <v>15000000</v>
      </c>
      <c r="U676" s="3">
        <v>144000000</v>
      </c>
      <c r="V676" s="7"/>
      <c r="W676" s="36"/>
      <c r="X676" s="36">
        <f t="shared" si="83"/>
        <v>0</v>
      </c>
      <c r="Y676" s="36">
        <f t="shared" si="84"/>
        <v>0</v>
      </c>
      <c r="Z676" s="36">
        <f t="shared" si="85"/>
        <v>0</v>
      </c>
      <c r="AA676" s="4"/>
      <c r="AB676" s="79"/>
    </row>
    <row r="677" spans="1:28" ht="63" x14ac:dyDescent="0.3">
      <c r="A677" s="7" t="s">
        <v>2290</v>
      </c>
      <c r="B677" s="6">
        <v>653</v>
      </c>
      <c r="C677" s="7" t="s">
        <v>2562</v>
      </c>
      <c r="D677" s="7" t="s">
        <v>2792</v>
      </c>
      <c r="E677" s="5"/>
      <c r="F677" s="7" t="s">
        <v>2793</v>
      </c>
      <c r="G677" s="5"/>
      <c r="H677" s="7" t="s">
        <v>2685</v>
      </c>
      <c r="I677" s="21" t="s">
        <v>2794</v>
      </c>
      <c r="J677" s="7" t="s">
        <v>24</v>
      </c>
      <c r="K677" s="7" t="s">
        <v>2795</v>
      </c>
      <c r="L677" s="14">
        <v>3035947492</v>
      </c>
      <c r="M677" s="5"/>
      <c r="N677" s="14">
        <v>15000000</v>
      </c>
      <c r="O677" s="40"/>
      <c r="P677" s="40"/>
      <c r="Q677" s="3">
        <f t="shared" si="82"/>
        <v>3050947492</v>
      </c>
      <c r="R677" s="3">
        <v>3035947492</v>
      </c>
      <c r="S677" s="7"/>
      <c r="T677" s="30">
        <v>15000000</v>
      </c>
      <c r="U677" s="7"/>
      <c r="V677" s="7"/>
      <c r="W677" s="36"/>
      <c r="X677" s="36">
        <f t="shared" si="83"/>
        <v>0</v>
      </c>
      <c r="Y677" s="36">
        <f t="shared" si="84"/>
        <v>0</v>
      </c>
      <c r="Z677" s="36">
        <f t="shared" si="85"/>
        <v>0</v>
      </c>
      <c r="AA677" s="4"/>
      <c r="AB677" s="79"/>
    </row>
    <row r="678" spans="1:28" ht="63" x14ac:dyDescent="0.3">
      <c r="A678" s="7" t="s">
        <v>2290</v>
      </c>
      <c r="B678" s="6">
        <v>654</v>
      </c>
      <c r="C678" s="7" t="s">
        <v>2562</v>
      </c>
      <c r="D678" s="7" t="s">
        <v>2796</v>
      </c>
      <c r="E678" s="5"/>
      <c r="F678" s="7" t="s">
        <v>2797</v>
      </c>
      <c r="G678" s="5"/>
      <c r="H678" s="5"/>
      <c r="I678" s="21" t="s">
        <v>2798</v>
      </c>
      <c r="J678" s="7" t="s">
        <v>24</v>
      </c>
      <c r="K678" s="7" t="s">
        <v>2799</v>
      </c>
      <c r="L678" s="14">
        <v>5634993422</v>
      </c>
      <c r="M678" s="5"/>
      <c r="N678" s="14">
        <v>15000000</v>
      </c>
      <c r="O678" s="40"/>
      <c r="P678" s="40"/>
      <c r="Q678" s="3">
        <f t="shared" si="82"/>
        <v>5649993422</v>
      </c>
      <c r="R678" s="3">
        <v>5634993422</v>
      </c>
      <c r="S678" s="7"/>
      <c r="T678" s="72"/>
      <c r="U678" s="7"/>
      <c r="V678" s="7"/>
      <c r="W678" s="36"/>
      <c r="X678" s="36">
        <f t="shared" si="83"/>
        <v>0</v>
      </c>
      <c r="Y678" s="36">
        <f t="shared" si="84"/>
        <v>15000000</v>
      </c>
      <c r="Z678" s="36">
        <f t="shared" si="85"/>
        <v>0</v>
      </c>
      <c r="AA678" s="4"/>
      <c r="AB678" s="79"/>
    </row>
    <row r="679" spans="1:28" ht="42" x14ac:dyDescent="0.3">
      <c r="A679" s="7" t="s">
        <v>62</v>
      </c>
      <c r="B679" s="6">
        <v>655</v>
      </c>
      <c r="C679" s="7" t="s">
        <v>2800</v>
      </c>
      <c r="D679" s="7" t="s">
        <v>2801</v>
      </c>
      <c r="E679" s="7" t="s">
        <v>982</v>
      </c>
      <c r="F679" s="7" t="s">
        <v>2802</v>
      </c>
      <c r="G679" s="5"/>
      <c r="H679" s="5"/>
      <c r="I679" s="21" t="s">
        <v>2803</v>
      </c>
      <c r="J679" s="7" t="s">
        <v>24</v>
      </c>
      <c r="K679" s="7" t="s">
        <v>2497</v>
      </c>
      <c r="L679" s="14">
        <v>9457911350</v>
      </c>
      <c r="M679" s="14">
        <v>415138500</v>
      </c>
      <c r="N679" s="14">
        <v>7500000</v>
      </c>
      <c r="O679" s="40"/>
      <c r="P679" s="40"/>
      <c r="Q679" s="3">
        <f t="shared" si="82"/>
        <v>9880549850</v>
      </c>
      <c r="R679" s="3">
        <v>9457911350</v>
      </c>
      <c r="S679" s="3">
        <v>415138500</v>
      </c>
      <c r="T679" s="30">
        <v>7500000</v>
      </c>
      <c r="U679" s="7"/>
      <c r="V679" s="7"/>
      <c r="W679" s="36"/>
      <c r="X679" s="36">
        <f t="shared" si="83"/>
        <v>0</v>
      </c>
      <c r="Y679" s="36">
        <f t="shared" si="84"/>
        <v>0</v>
      </c>
      <c r="Z679" s="36">
        <f t="shared" si="85"/>
        <v>0</v>
      </c>
      <c r="AA679" s="4"/>
      <c r="AB679" s="79"/>
    </row>
    <row r="680" spans="1:28" ht="63" x14ac:dyDescent="0.3">
      <c r="A680" s="7" t="s">
        <v>18</v>
      </c>
      <c r="B680" s="6">
        <v>656</v>
      </c>
      <c r="C680" s="7" t="s">
        <v>2800</v>
      </c>
      <c r="D680" s="7" t="s">
        <v>2804</v>
      </c>
      <c r="E680" s="7" t="s">
        <v>2805</v>
      </c>
      <c r="F680" s="7" t="s">
        <v>2806</v>
      </c>
      <c r="G680" s="7" t="s">
        <v>2807</v>
      </c>
      <c r="H680" s="5"/>
      <c r="I680" s="21" t="s">
        <v>2808</v>
      </c>
      <c r="J680" s="7" t="s">
        <v>24</v>
      </c>
      <c r="K680" s="7" t="s">
        <v>2809</v>
      </c>
      <c r="L680" s="14">
        <v>2036054500</v>
      </c>
      <c r="M680" s="14">
        <v>165171840</v>
      </c>
      <c r="N680" s="14">
        <v>15000000</v>
      </c>
      <c r="O680" s="40" t="s">
        <v>378</v>
      </c>
      <c r="P680" s="10">
        <v>24000000</v>
      </c>
      <c r="Q680" s="3">
        <f t="shared" si="82"/>
        <v>2240226340</v>
      </c>
      <c r="R680" s="3">
        <v>2036054500</v>
      </c>
      <c r="S680" s="7"/>
      <c r="T680" s="30">
        <v>15000000</v>
      </c>
      <c r="U680" s="3">
        <v>24000000</v>
      </c>
      <c r="V680" s="7"/>
      <c r="W680" s="36"/>
      <c r="X680" s="36">
        <f t="shared" si="83"/>
        <v>165171840</v>
      </c>
      <c r="Y680" s="36">
        <f t="shared" si="84"/>
        <v>0</v>
      </c>
      <c r="Z680" s="36">
        <f t="shared" si="85"/>
        <v>0</v>
      </c>
      <c r="AA680" s="4"/>
      <c r="AB680" s="79"/>
    </row>
    <row r="681" spans="1:28" ht="31.2" x14ac:dyDescent="0.3">
      <c r="A681" s="7" t="s">
        <v>46</v>
      </c>
      <c r="B681" s="6">
        <v>657</v>
      </c>
      <c r="C681" s="7" t="s">
        <v>2800</v>
      </c>
      <c r="D681" s="7" t="s">
        <v>2810</v>
      </c>
      <c r="E681" s="5"/>
      <c r="F681" s="7" t="s">
        <v>2811</v>
      </c>
      <c r="G681" s="5"/>
      <c r="H681" s="7" t="s">
        <v>28</v>
      </c>
      <c r="I681" s="21" t="s">
        <v>2571</v>
      </c>
      <c r="J681" s="7" t="s">
        <v>24</v>
      </c>
      <c r="K681" s="7" t="s">
        <v>1789</v>
      </c>
      <c r="L681" s="14">
        <v>3993807300</v>
      </c>
      <c r="M681" s="5"/>
      <c r="N681" s="14">
        <v>3750000</v>
      </c>
      <c r="O681" s="40"/>
      <c r="P681" s="40"/>
      <c r="Q681" s="3">
        <f t="shared" si="82"/>
        <v>3997557300</v>
      </c>
      <c r="R681" s="3">
        <v>3993807300</v>
      </c>
      <c r="S681" s="7"/>
      <c r="T681" s="30">
        <v>3750000</v>
      </c>
      <c r="U681" s="7"/>
      <c r="V681" s="7"/>
      <c r="W681" s="36"/>
      <c r="X681" s="36">
        <f t="shared" si="83"/>
        <v>0</v>
      </c>
      <c r="Y681" s="36">
        <f t="shared" si="84"/>
        <v>0</v>
      </c>
      <c r="Z681" s="36">
        <f t="shared" si="85"/>
        <v>0</v>
      </c>
      <c r="AA681" s="4"/>
      <c r="AB681" s="79"/>
    </row>
    <row r="682" spans="1:28" ht="46.8" x14ac:dyDescent="0.3">
      <c r="A682" s="7" t="s">
        <v>18</v>
      </c>
      <c r="B682" s="6">
        <v>658</v>
      </c>
      <c r="C682" s="7" t="s">
        <v>2800</v>
      </c>
      <c r="D682" s="7" t="s">
        <v>2812</v>
      </c>
      <c r="E682" s="7" t="s">
        <v>2035</v>
      </c>
      <c r="F682" s="7" t="s">
        <v>2813</v>
      </c>
      <c r="G682" s="7" t="s">
        <v>2814</v>
      </c>
      <c r="H682" s="5"/>
      <c r="I682" s="21" t="s">
        <v>2815</v>
      </c>
      <c r="J682" s="7" t="s">
        <v>24</v>
      </c>
      <c r="K682" s="7" t="s">
        <v>2816</v>
      </c>
      <c r="L682" s="14">
        <v>2023224224</v>
      </c>
      <c r="M682" s="14">
        <v>497631632</v>
      </c>
      <c r="N682" s="14">
        <v>7500000</v>
      </c>
      <c r="O682" s="40"/>
      <c r="P682" s="40"/>
      <c r="Q682" s="3">
        <f t="shared" si="82"/>
        <v>2528355856</v>
      </c>
      <c r="R682" s="3">
        <v>2023224224</v>
      </c>
      <c r="S682" s="3">
        <v>497631632</v>
      </c>
      <c r="T682" s="72"/>
      <c r="U682" s="7"/>
      <c r="V682" s="7"/>
      <c r="W682" s="36"/>
      <c r="X682" s="36">
        <f t="shared" si="83"/>
        <v>0</v>
      </c>
      <c r="Y682" s="36">
        <f t="shared" si="84"/>
        <v>7500000</v>
      </c>
      <c r="Z682" s="36">
        <f t="shared" si="85"/>
        <v>0</v>
      </c>
      <c r="AA682" s="4"/>
      <c r="AB682" s="79"/>
    </row>
    <row r="683" spans="1:28" ht="63" x14ac:dyDescent="0.3">
      <c r="A683" s="7" t="s">
        <v>46</v>
      </c>
      <c r="B683" s="6">
        <v>659</v>
      </c>
      <c r="C683" s="7" t="s">
        <v>2800</v>
      </c>
      <c r="D683" s="7" t="s">
        <v>2817</v>
      </c>
      <c r="E683" s="7" t="s">
        <v>2669</v>
      </c>
      <c r="F683" s="7" t="s">
        <v>2818</v>
      </c>
      <c r="G683" s="7" t="s">
        <v>2819</v>
      </c>
      <c r="H683" s="5"/>
      <c r="I683" s="21" t="s">
        <v>2820</v>
      </c>
      <c r="J683" s="7" t="s">
        <v>24</v>
      </c>
      <c r="K683" s="7" t="s">
        <v>2821</v>
      </c>
      <c r="L683" s="14">
        <v>10422381215</v>
      </c>
      <c r="M683" s="14">
        <v>330976800</v>
      </c>
      <c r="N683" s="14">
        <v>7500000</v>
      </c>
      <c r="O683" s="40"/>
      <c r="P683" s="40"/>
      <c r="Q683" s="3">
        <f t="shared" si="82"/>
        <v>10760858015</v>
      </c>
      <c r="R683" s="3">
        <v>10422381215</v>
      </c>
      <c r="S683" s="3">
        <v>330976800</v>
      </c>
      <c r="T683" s="30">
        <v>7500000</v>
      </c>
      <c r="U683" s="7"/>
      <c r="V683" s="7"/>
      <c r="W683" s="36"/>
      <c r="X683" s="36">
        <f t="shared" si="83"/>
        <v>0</v>
      </c>
      <c r="Y683" s="36">
        <f t="shared" si="84"/>
        <v>0</v>
      </c>
      <c r="Z683" s="36">
        <f t="shared" si="85"/>
        <v>0</v>
      </c>
      <c r="AA683" s="4"/>
      <c r="AB683" s="79"/>
    </row>
    <row r="684" spans="1:28" s="98" customFormat="1" ht="30.6" customHeight="1" x14ac:dyDescent="0.3">
      <c r="A684" s="89"/>
      <c r="B684" s="148">
        <v>660</v>
      </c>
      <c r="C684" s="148" t="s">
        <v>2800</v>
      </c>
      <c r="D684" s="89"/>
      <c r="E684" s="148"/>
      <c r="F684" s="148" t="s">
        <v>2824</v>
      </c>
      <c r="G684" s="148"/>
      <c r="H684" s="154"/>
      <c r="I684" s="150" t="s">
        <v>2825</v>
      </c>
      <c r="J684" s="89"/>
      <c r="K684" s="148" t="s">
        <v>2826</v>
      </c>
      <c r="L684" s="90"/>
      <c r="M684" s="90"/>
      <c r="N684" s="90"/>
      <c r="O684" s="91" t="s">
        <v>3823</v>
      </c>
      <c r="P684" s="92">
        <v>24000000</v>
      </c>
      <c r="Q684" s="93"/>
      <c r="R684" s="93"/>
      <c r="S684" s="93"/>
      <c r="T684" s="94"/>
      <c r="U684" s="89"/>
      <c r="V684" s="89"/>
      <c r="W684" s="95"/>
      <c r="X684" s="95"/>
      <c r="Y684" s="95"/>
      <c r="Z684" s="95">
        <f t="shared" si="85"/>
        <v>24000000</v>
      </c>
      <c r="AA684" s="96"/>
      <c r="AB684" s="97" t="s">
        <v>3850</v>
      </c>
    </row>
    <row r="685" spans="1:28" ht="39" customHeight="1" x14ac:dyDescent="0.3">
      <c r="A685" s="7" t="s">
        <v>18</v>
      </c>
      <c r="B685" s="149"/>
      <c r="C685" s="149"/>
      <c r="D685" s="7" t="s">
        <v>2822</v>
      </c>
      <c r="E685" s="149"/>
      <c r="F685" s="149"/>
      <c r="G685" s="149"/>
      <c r="H685" s="155"/>
      <c r="I685" s="151"/>
      <c r="J685" s="7" t="s">
        <v>24</v>
      </c>
      <c r="K685" s="149"/>
      <c r="L685" s="14">
        <v>10000000</v>
      </c>
      <c r="M685" s="5"/>
      <c r="N685" s="14">
        <v>15000000</v>
      </c>
      <c r="O685" s="7" t="s">
        <v>3824</v>
      </c>
      <c r="P685" s="75">
        <v>48000000</v>
      </c>
      <c r="Q685" s="3">
        <f t="shared" ref="Q685:Q726" si="86">L685+M685+N685+P685</f>
        <v>73000000</v>
      </c>
      <c r="R685" s="3">
        <v>10000000</v>
      </c>
      <c r="S685" s="7"/>
      <c r="T685" s="30">
        <v>15000000</v>
      </c>
      <c r="U685" s="7"/>
      <c r="V685" s="7"/>
      <c r="W685" s="36"/>
      <c r="X685" s="36">
        <f t="shared" ref="X685:Y692" si="87">M685-S685</f>
        <v>0</v>
      </c>
      <c r="Y685" s="36">
        <f t="shared" si="87"/>
        <v>0</v>
      </c>
      <c r="Z685" s="36">
        <f t="shared" si="85"/>
        <v>48000000</v>
      </c>
      <c r="AA685" s="4"/>
      <c r="AB685" s="80" t="s">
        <v>3822</v>
      </c>
    </row>
    <row r="686" spans="1:28" ht="46.8" x14ac:dyDescent="0.3">
      <c r="A686" s="7" t="s">
        <v>18</v>
      </c>
      <c r="B686" s="6">
        <v>661</v>
      </c>
      <c r="C686" s="7" t="s">
        <v>2800</v>
      </c>
      <c r="D686" s="7" t="s">
        <v>2827</v>
      </c>
      <c r="E686" s="5"/>
      <c r="F686" s="7" t="s">
        <v>2828</v>
      </c>
      <c r="G686" s="5"/>
      <c r="H686" s="5"/>
      <c r="I686" s="21" t="s">
        <v>2829</v>
      </c>
      <c r="J686" s="7" t="s">
        <v>24</v>
      </c>
      <c r="K686" s="7" t="s">
        <v>2826</v>
      </c>
      <c r="L686" s="14">
        <v>619998256</v>
      </c>
      <c r="M686" s="5"/>
      <c r="N686" s="14">
        <v>15000000</v>
      </c>
      <c r="O686" s="40"/>
      <c r="P686" s="40"/>
      <c r="Q686" s="3">
        <f t="shared" si="86"/>
        <v>634998256</v>
      </c>
      <c r="R686" s="36">
        <v>619998256</v>
      </c>
      <c r="S686" s="7"/>
      <c r="T686" s="30">
        <v>15000000</v>
      </c>
      <c r="U686" s="7"/>
      <c r="V686" s="7"/>
      <c r="W686" s="36"/>
      <c r="X686" s="36">
        <f t="shared" si="87"/>
        <v>0</v>
      </c>
      <c r="Y686" s="36">
        <f t="shared" si="87"/>
        <v>0</v>
      </c>
      <c r="Z686" s="36">
        <f t="shared" si="85"/>
        <v>0</v>
      </c>
      <c r="AA686" s="4"/>
      <c r="AB686" s="79"/>
    </row>
    <row r="687" spans="1:28" ht="84" x14ac:dyDescent="0.3">
      <c r="A687" s="7" t="s">
        <v>18</v>
      </c>
      <c r="B687" s="6">
        <v>662</v>
      </c>
      <c r="C687" s="7" t="s">
        <v>2800</v>
      </c>
      <c r="D687" s="7" t="s">
        <v>2830</v>
      </c>
      <c r="E687" s="5"/>
      <c r="F687" s="7" t="s">
        <v>2831</v>
      </c>
      <c r="G687" s="5"/>
      <c r="H687" s="5"/>
      <c r="I687" s="21" t="s">
        <v>2832</v>
      </c>
      <c r="J687" s="7" t="s">
        <v>24</v>
      </c>
      <c r="K687" s="7" t="s">
        <v>2833</v>
      </c>
      <c r="L687" s="14">
        <v>3682837780</v>
      </c>
      <c r="M687" s="5"/>
      <c r="N687" s="14">
        <v>15000000</v>
      </c>
      <c r="O687" s="40"/>
      <c r="P687" s="40"/>
      <c r="Q687" s="3">
        <f t="shared" si="86"/>
        <v>3697837780</v>
      </c>
      <c r="R687" s="3">
        <v>3682837780</v>
      </c>
      <c r="S687" s="7"/>
      <c r="T687" s="30">
        <v>15000000</v>
      </c>
      <c r="U687" s="7"/>
      <c r="V687" s="7"/>
      <c r="W687" s="36"/>
      <c r="X687" s="36">
        <f t="shared" si="87"/>
        <v>0</v>
      </c>
      <c r="Y687" s="36">
        <f t="shared" si="87"/>
        <v>0</v>
      </c>
      <c r="Z687" s="36">
        <f t="shared" si="85"/>
        <v>0</v>
      </c>
      <c r="AA687" s="4"/>
      <c r="AB687" s="79"/>
    </row>
    <row r="688" spans="1:28" ht="84" x14ac:dyDescent="0.3">
      <c r="A688" s="7" t="s">
        <v>18</v>
      </c>
      <c r="B688" s="6">
        <v>663</v>
      </c>
      <c r="C688" s="7" t="s">
        <v>2800</v>
      </c>
      <c r="D688" s="7" t="s">
        <v>2834</v>
      </c>
      <c r="E688" s="5"/>
      <c r="F688" s="7" t="s">
        <v>2835</v>
      </c>
      <c r="G688" s="5"/>
      <c r="H688" s="5"/>
      <c r="I688" s="21" t="s">
        <v>2836</v>
      </c>
      <c r="J688" s="7" t="s">
        <v>24</v>
      </c>
      <c r="K688" s="7" t="s">
        <v>2837</v>
      </c>
      <c r="L688" s="14">
        <v>30531714626</v>
      </c>
      <c r="M688" s="5"/>
      <c r="N688" s="14">
        <v>15000000</v>
      </c>
      <c r="O688" s="40"/>
      <c r="P688" s="40"/>
      <c r="Q688" s="3">
        <f t="shared" si="86"/>
        <v>30546714626</v>
      </c>
      <c r="R688" s="3">
        <v>30531714626</v>
      </c>
      <c r="S688" s="7"/>
      <c r="T688" s="72"/>
      <c r="U688" s="7"/>
      <c r="V688" s="7"/>
      <c r="W688" s="36"/>
      <c r="X688" s="36">
        <f t="shared" si="87"/>
        <v>0</v>
      </c>
      <c r="Y688" s="36">
        <f t="shared" si="87"/>
        <v>15000000</v>
      </c>
      <c r="Z688" s="36">
        <f t="shared" si="85"/>
        <v>0</v>
      </c>
      <c r="AA688" s="4"/>
      <c r="AB688" s="79"/>
    </row>
    <row r="689" spans="1:28" ht="48.6" customHeight="1" x14ac:dyDescent="0.3">
      <c r="A689" s="7" t="s">
        <v>18</v>
      </c>
      <c r="B689" s="6">
        <v>664</v>
      </c>
      <c r="C689" s="7" t="s">
        <v>2838</v>
      </c>
      <c r="D689" s="7" t="s">
        <v>2839</v>
      </c>
      <c r="E689" s="7" t="s">
        <v>2841</v>
      </c>
      <c r="F689" s="7" t="s">
        <v>2842</v>
      </c>
      <c r="G689" s="7" t="s">
        <v>2843</v>
      </c>
      <c r="H689" s="5"/>
      <c r="I689" s="7" t="s">
        <v>2844</v>
      </c>
      <c r="J689" s="7" t="s">
        <v>24</v>
      </c>
      <c r="K689" s="7" t="s">
        <v>2845</v>
      </c>
      <c r="L689" s="3">
        <v>10000000</v>
      </c>
      <c r="M689" s="3">
        <v>1529015488</v>
      </c>
      <c r="N689" s="3">
        <v>15000000</v>
      </c>
      <c r="O689" s="7" t="s">
        <v>2840</v>
      </c>
      <c r="P689" s="3">
        <v>48000000</v>
      </c>
      <c r="Q689" s="3">
        <f t="shared" si="86"/>
        <v>1602015488</v>
      </c>
      <c r="R689" s="3">
        <v>10000000</v>
      </c>
      <c r="S689" s="3">
        <v>1529015488</v>
      </c>
      <c r="T689" s="72"/>
      <c r="U689" s="7"/>
      <c r="V689" s="7"/>
      <c r="W689" s="36"/>
      <c r="X689" s="36">
        <f t="shared" si="87"/>
        <v>0</v>
      </c>
      <c r="Y689" s="36">
        <f t="shared" si="87"/>
        <v>15000000</v>
      </c>
      <c r="Z689" s="36">
        <f t="shared" si="85"/>
        <v>48000000</v>
      </c>
      <c r="AA689" s="4"/>
      <c r="AB689" s="83"/>
    </row>
    <row r="690" spans="1:28" ht="42" x14ac:dyDescent="0.3">
      <c r="A690" s="7" t="s">
        <v>18</v>
      </c>
      <c r="B690" s="6">
        <v>665</v>
      </c>
      <c r="C690" s="7" t="s">
        <v>2838</v>
      </c>
      <c r="D690" s="7" t="s">
        <v>2846</v>
      </c>
      <c r="E690" s="7" t="s">
        <v>1922</v>
      </c>
      <c r="F690" s="7" t="s">
        <v>2847</v>
      </c>
      <c r="G690" s="7" t="s">
        <v>2848</v>
      </c>
      <c r="H690" s="5"/>
      <c r="I690" s="21" t="s">
        <v>2849</v>
      </c>
      <c r="J690" s="7" t="s">
        <v>24</v>
      </c>
      <c r="K690" s="7" t="s">
        <v>2850</v>
      </c>
      <c r="L690" s="14">
        <v>2569591424</v>
      </c>
      <c r="M690" s="14">
        <v>588296218</v>
      </c>
      <c r="N690" s="14">
        <v>15000000</v>
      </c>
      <c r="O690" s="40"/>
      <c r="P690" s="40"/>
      <c r="Q690" s="3">
        <f t="shared" si="86"/>
        <v>3172887642</v>
      </c>
      <c r="R690" s="3">
        <v>2569591424</v>
      </c>
      <c r="S690" s="3">
        <v>588296218</v>
      </c>
      <c r="T690" s="30">
        <v>15000000</v>
      </c>
      <c r="U690" s="7"/>
      <c r="V690" s="7"/>
      <c r="W690" s="36"/>
      <c r="X690" s="36">
        <f t="shared" si="87"/>
        <v>0</v>
      </c>
      <c r="Y690" s="36">
        <f t="shared" si="87"/>
        <v>0</v>
      </c>
      <c r="Z690" s="36">
        <f t="shared" si="85"/>
        <v>0</v>
      </c>
      <c r="AA690" s="4"/>
      <c r="AB690" s="79"/>
    </row>
    <row r="691" spans="1:28" ht="42" x14ac:dyDescent="0.3">
      <c r="A691" s="7" t="s">
        <v>46</v>
      </c>
      <c r="B691" s="6">
        <v>666</v>
      </c>
      <c r="C691" s="7" t="s">
        <v>2838</v>
      </c>
      <c r="D691" s="7" t="s">
        <v>2851</v>
      </c>
      <c r="E691" s="7" t="s">
        <v>2853</v>
      </c>
      <c r="F691" s="7" t="s">
        <v>2854</v>
      </c>
      <c r="G691" s="5"/>
      <c r="H691" s="5"/>
      <c r="I691" s="21" t="s">
        <v>2855</v>
      </c>
      <c r="J691" s="7" t="s">
        <v>24</v>
      </c>
      <c r="K691" s="7" t="s">
        <v>2856</v>
      </c>
      <c r="L691" s="14">
        <v>10000000</v>
      </c>
      <c r="M691" s="14">
        <v>348172944</v>
      </c>
      <c r="N691" s="14">
        <v>15000000</v>
      </c>
      <c r="O691" s="40" t="s">
        <v>2852</v>
      </c>
      <c r="P691" s="10">
        <v>30000000</v>
      </c>
      <c r="Q691" s="3">
        <f t="shared" si="86"/>
        <v>403172944</v>
      </c>
      <c r="R691" s="3">
        <v>10000000</v>
      </c>
      <c r="S691" s="3">
        <v>348172944</v>
      </c>
      <c r="T691" s="30">
        <v>15000000</v>
      </c>
      <c r="U691" s="3">
        <v>30000000</v>
      </c>
      <c r="V691" s="7"/>
      <c r="W691" s="36"/>
      <c r="X691" s="36">
        <f t="shared" si="87"/>
        <v>0</v>
      </c>
      <c r="Y691" s="36">
        <f t="shared" si="87"/>
        <v>0</v>
      </c>
      <c r="Z691" s="36">
        <f t="shared" si="85"/>
        <v>0</v>
      </c>
      <c r="AA691" s="4"/>
      <c r="AB691" s="79"/>
    </row>
    <row r="692" spans="1:28" ht="78" x14ac:dyDescent="0.3">
      <c r="A692" s="41" t="s">
        <v>18</v>
      </c>
      <c r="B692" s="6">
        <v>667</v>
      </c>
      <c r="C692" s="41" t="s">
        <v>2838</v>
      </c>
      <c r="D692" s="41" t="s">
        <v>2857</v>
      </c>
      <c r="E692" s="5"/>
      <c r="F692" s="41" t="s">
        <v>2858</v>
      </c>
      <c r="G692" s="5"/>
      <c r="H692" s="5"/>
      <c r="I692" s="45" t="s">
        <v>2859</v>
      </c>
      <c r="J692" s="41" t="s">
        <v>24</v>
      </c>
      <c r="K692" s="41" t="s">
        <v>2860</v>
      </c>
      <c r="L692" s="18">
        <v>10000000</v>
      </c>
      <c r="M692" s="5"/>
      <c r="N692" s="18">
        <v>15000000</v>
      </c>
      <c r="O692" s="40"/>
      <c r="P692" s="40"/>
      <c r="Q692" s="3">
        <f t="shared" si="86"/>
        <v>25000000</v>
      </c>
      <c r="R692" s="9">
        <v>10000000</v>
      </c>
      <c r="S692" s="7"/>
      <c r="T692" s="32">
        <v>15000000</v>
      </c>
      <c r="U692" s="7"/>
      <c r="V692" s="7"/>
      <c r="W692" s="36"/>
      <c r="X692" s="36">
        <f t="shared" si="87"/>
        <v>0</v>
      </c>
      <c r="Y692" s="36">
        <f t="shared" si="87"/>
        <v>0</v>
      </c>
      <c r="Z692" s="36">
        <f t="shared" si="85"/>
        <v>0</v>
      </c>
      <c r="AA692" s="4"/>
      <c r="AB692" s="79"/>
    </row>
    <row r="693" spans="1:28" ht="171.6" x14ac:dyDescent="0.3">
      <c r="A693" s="41" t="s">
        <v>18</v>
      </c>
      <c r="B693" s="6">
        <v>668</v>
      </c>
      <c r="C693" s="41" t="s">
        <v>2861</v>
      </c>
      <c r="D693" s="5"/>
      <c r="E693" s="5" t="s">
        <v>3820</v>
      </c>
      <c r="F693" s="5"/>
      <c r="G693" s="5"/>
      <c r="H693" s="41" t="s">
        <v>2862</v>
      </c>
      <c r="I693" s="45" t="s">
        <v>2859</v>
      </c>
      <c r="J693" s="41" t="s">
        <v>24</v>
      </c>
      <c r="K693" s="41" t="s">
        <v>2860</v>
      </c>
      <c r="L693" s="5">
        <v>0</v>
      </c>
      <c r="M693" s="18">
        <v>965448012</v>
      </c>
      <c r="N693" s="18">
        <v>15000000</v>
      </c>
      <c r="O693" s="40"/>
      <c r="P693" s="40"/>
      <c r="Q693" s="3">
        <f t="shared" si="86"/>
        <v>980448012</v>
      </c>
      <c r="R693" s="9">
        <v>955448012</v>
      </c>
      <c r="S693" s="7"/>
      <c r="T693" s="72"/>
      <c r="U693" s="7"/>
      <c r="V693" s="7"/>
      <c r="W693" s="36"/>
      <c r="X693" s="36">
        <v>10000000</v>
      </c>
      <c r="Y693" s="36">
        <f t="shared" ref="Y693:Y726" si="88">N693-T693</f>
        <v>15000000</v>
      </c>
      <c r="Z693" s="36">
        <f t="shared" ref="Z693:Z760" si="89">P693-U693</f>
        <v>0</v>
      </c>
      <c r="AA693" s="4"/>
      <c r="AB693" s="40" t="s">
        <v>3813</v>
      </c>
    </row>
    <row r="694" spans="1:28" ht="46.8" x14ac:dyDescent="0.3">
      <c r="A694" s="7" t="s">
        <v>46</v>
      </c>
      <c r="B694" s="6">
        <v>669</v>
      </c>
      <c r="C694" s="7" t="s">
        <v>2838</v>
      </c>
      <c r="D694" s="7" t="s">
        <v>2863</v>
      </c>
      <c r="E694" s="7" t="s">
        <v>2864</v>
      </c>
      <c r="F694" s="7" t="s">
        <v>552</v>
      </c>
      <c r="G694" s="7" t="s">
        <v>2865</v>
      </c>
      <c r="H694" s="5"/>
      <c r="I694" s="21" t="s">
        <v>2866</v>
      </c>
      <c r="J694" s="7" t="s">
        <v>24</v>
      </c>
      <c r="K694" s="7" t="s">
        <v>2867</v>
      </c>
      <c r="L694" s="14">
        <v>10000000</v>
      </c>
      <c r="M694" s="14">
        <v>429264612</v>
      </c>
      <c r="N694" s="14">
        <v>15000000</v>
      </c>
      <c r="O694" s="40"/>
      <c r="P694" s="40"/>
      <c r="Q694" s="3">
        <f t="shared" si="86"/>
        <v>454264612</v>
      </c>
      <c r="R694" s="3">
        <v>10000000</v>
      </c>
      <c r="S694" s="3">
        <v>429264612</v>
      </c>
      <c r="T694" s="30">
        <v>15000000</v>
      </c>
      <c r="U694" s="7"/>
      <c r="V694" s="7"/>
      <c r="W694" s="36"/>
      <c r="X694" s="36">
        <f t="shared" ref="X694:X726" si="90">M694-S694</f>
        <v>0</v>
      </c>
      <c r="Y694" s="36">
        <f t="shared" si="88"/>
        <v>0</v>
      </c>
      <c r="Z694" s="36">
        <f t="shared" si="89"/>
        <v>0</v>
      </c>
      <c r="AA694" s="4"/>
      <c r="AB694" s="79"/>
    </row>
    <row r="695" spans="1:28" ht="93.6" x14ac:dyDescent="0.4">
      <c r="A695" s="7" t="s">
        <v>18</v>
      </c>
      <c r="B695" s="6">
        <v>670</v>
      </c>
      <c r="C695" s="7" t="s">
        <v>2838</v>
      </c>
      <c r="D695" s="7" t="s">
        <v>2868</v>
      </c>
      <c r="E695" s="7" t="s">
        <v>2869</v>
      </c>
      <c r="F695" s="5"/>
      <c r="G695" s="5"/>
      <c r="H695" s="7" t="s">
        <v>2870</v>
      </c>
      <c r="I695" s="21" t="s">
        <v>2871</v>
      </c>
      <c r="J695" s="7" t="s">
        <v>24</v>
      </c>
      <c r="K695" s="7" t="s">
        <v>2872</v>
      </c>
      <c r="L695" s="14">
        <v>10000000</v>
      </c>
      <c r="M695" s="5"/>
      <c r="N695" s="14">
        <v>15000000</v>
      </c>
      <c r="O695" s="40"/>
      <c r="P695" s="40"/>
      <c r="Q695" s="3">
        <f t="shared" si="86"/>
        <v>25000000</v>
      </c>
      <c r="R695" s="7"/>
      <c r="S695" s="7"/>
      <c r="T695" s="72"/>
      <c r="U695" s="7"/>
      <c r="V695" s="7"/>
      <c r="W695" s="36">
        <v>10000000</v>
      </c>
      <c r="X695" s="36">
        <f t="shared" si="90"/>
        <v>0</v>
      </c>
      <c r="Y695" s="36">
        <f t="shared" si="88"/>
        <v>15000000</v>
      </c>
      <c r="Z695" s="36">
        <f t="shared" si="89"/>
        <v>0</v>
      </c>
      <c r="AA695" s="16">
        <v>10000000</v>
      </c>
      <c r="AB695" s="79"/>
    </row>
    <row r="696" spans="1:28" ht="42" x14ac:dyDescent="0.3">
      <c r="A696" s="7" t="s">
        <v>18</v>
      </c>
      <c r="B696" s="6">
        <v>671</v>
      </c>
      <c r="C696" s="7" t="s">
        <v>2838</v>
      </c>
      <c r="D696" s="7" t="s">
        <v>2873</v>
      </c>
      <c r="E696" s="5"/>
      <c r="F696" s="7" t="s">
        <v>2874</v>
      </c>
      <c r="G696" s="5"/>
      <c r="H696" s="5"/>
      <c r="I696" s="21" t="s">
        <v>2875</v>
      </c>
      <c r="J696" s="7" t="s">
        <v>24</v>
      </c>
      <c r="K696" s="7" t="s">
        <v>2876</v>
      </c>
      <c r="L696" s="14">
        <v>6640287381</v>
      </c>
      <c r="M696" s="5"/>
      <c r="N696" s="14">
        <v>15000000</v>
      </c>
      <c r="O696" s="40"/>
      <c r="P696" s="40"/>
      <c r="Q696" s="3">
        <f t="shared" si="86"/>
        <v>6655287381</v>
      </c>
      <c r="R696" s="3">
        <v>6640287381</v>
      </c>
      <c r="S696" s="7"/>
      <c r="T696" s="72"/>
      <c r="U696" s="7"/>
      <c r="V696" s="7"/>
      <c r="W696" s="36"/>
      <c r="X696" s="36">
        <f t="shared" si="90"/>
        <v>0</v>
      </c>
      <c r="Y696" s="36">
        <f t="shared" si="88"/>
        <v>15000000</v>
      </c>
      <c r="Z696" s="36">
        <f t="shared" si="89"/>
        <v>0</v>
      </c>
      <c r="AA696" s="4"/>
      <c r="AB696" s="79"/>
    </row>
    <row r="697" spans="1:28" ht="42" x14ac:dyDescent="0.3">
      <c r="A697" s="7" t="s">
        <v>62</v>
      </c>
      <c r="B697" s="6">
        <v>672</v>
      </c>
      <c r="C697" s="7" t="s">
        <v>2877</v>
      </c>
      <c r="D697" s="7" t="s">
        <v>2878</v>
      </c>
      <c r="E697" s="7" t="s">
        <v>2879</v>
      </c>
      <c r="F697" s="7" t="s">
        <v>2880</v>
      </c>
      <c r="G697" s="7" t="s">
        <v>2881</v>
      </c>
      <c r="H697" s="5"/>
      <c r="I697" s="21" t="s">
        <v>2882</v>
      </c>
      <c r="J697" s="7" t="s">
        <v>24</v>
      </c>
      <c r="K697" s="7" t="s">
        <v>2883</v>
      </c>
      <c r="L697" s="14">
        <v>21170862212</v>
      </c>
      <c r="M697" s="3">
        <v>250496432</v>
      </c>
      <c r="N697" s="14">
        <v>7500000</v>
      </c>
      <c r="O697" s="40"/>
      <c r="P697" s="40"/>
      <c r="Q697" s="3">
        <f t="shared" si="86"/>
        <v>21428858644</v>
      </c>
      <c r="R697" s="3">
        <v>21170862212</v>
      </c>
      <c r="S697" s="7"/>
      <c r="T697" s="30">
        <v>7500000</v>
      </c>
      <c r="U697" s="7"/>
      <c r="V697" s="7"/>
      <c r="W697" s="36"/>
      <c r="X697" s="36">
        <f t="shared" si="90"/>
        <v>250496432</v>
      </c>
      <c r="Y697" s="36">
        <f t="shared" si="88"/>
        <v>0</v>
      </c>
      <c r="Z697" s="36">
        <f t="shared" si="89"/>
        <v>0</v>
      </c>
      <c r="AA697" s="4"/>
      <c r="AB697" s="79"/>
    </row>
    <row r="698" spans="1:28" ht="63" x14ac:dyDescent="0.3">
      <c r="A698" s="7" t="s">
        <v>62</v>
      </c>
      <c r="B698" s="6">
        <v>673</v>
      </c>
      <c r="C698" s="7" t="s">
        <v>2877</v>
      </c>
      <c r="D698" s="7" t="s">
        <v>2884</v>
      </c>
      <c r="E698" s="5"/>
      <c r="F698" s="7" t="s">
        <v>2885</v>
      </c>
      <c r="G698" s="5"/>
      <c r="H698" s="5"/>
      <c r="I698" s="21" t="s">
        <v>2886</v>
      </c>
      <c r="J698" s="7" t="s">
        <v>24</v>
      </c>
      <c r="K698" s="7" t="s">
        <v>2887</v>
      </c>
      <c r="L698" s="14">
        <v>2853972350</v>
      </c>
      <c r="M698" s="5"/>
      <c r="N698" s="14">
        <v>7500000</v>
      </c>
      <c r="O698" s="40"/>
      <c r="P698" s="40"/>
      <c r="Q698" s="3">
        <f t="shared" si="86"/>
        <v>2861472350</v>
      </c>
      <c r="R698" s="3">
        <v>2853972350</v>
      </c>
      <c r="S698" s="7"/>
      <c r="T698" s="30">
        <v>7500000</v>
      </c>
      <c r="U698" s="7"/>
      <c r="V698" s="7"/>
      <c r="W698" s="36"/>
      <c r="X698" s="36">
        <f t="shared" si="90"/>
        <v>0</v>
      </c>
      <c r="Y698" s="36">
        <f t="shared" si="88"/>
        <v>0</v>
      </c>
      <c r="Z698" s="36">
        <f t="shared" si="89"/>
        <v>0</v>
      </c>
      <c r="AA698" s="4"/>
      <c r="AB698" s="79"/>
    </row>
    <row r="699" spans="1:28" ht="126" x14ac:dyDescent="0.3">
      <c r="A699" s="7" t="s">
        <v>46</v>
      </c>
      <c r="B699" s="6">
        <v>674</v>
      </c>
      <c r="C699" s="7" t="s">
        <v>2877</v>
      </c>
      <c r="D699" s="7" t="s">
        <v>2888</v>
      </c>
      <c r="E699" s="5"/>
      <c r="F699" s="7" t="s">
        <v>2889</v>
      </c>
      <c r="G699" s="7" t="s">
        <v>2890</v>
      </c>
      <c r="H699" s="5"/>
      <c r="I699" s="21" t="s">
        <v>2891</v>
      </c>
      <c r="J699" s="7" t="s">
        <v>24</v>
      </c>
      <c r="K699" s="7" t="s">
        <v>2892</v>
      </c>
      <c r="L699" s="14">
        <v>235340708770</v>
      </c>
      <c r="M699" s="5"/>
      <c r="N699" s="14">
        <v>15000000</v>
      </c>
      <c r="O699" s="40" t="s">
        <v>378</v>
      </c>
      <c r="P699" s="10">
        <v>144000000</v>
      </c>
      <c r="Q699" s="3">
        <f t="shared" si="86"/>
        <v>235499708770</v>
      </c>
      <c r="R699" s="3">
        <v>235340708770</v>
      </c>
      <c r="S699" s="7"/>
      <c r="T699" s="72"/>
      <c r="U699" s="3">
        <v>144000000</v>
      </c>
      <c r="V699" s="7"/>
      <c r="W699" s="36"/>
      <c r="X699" s="36">
        <f t="shared" si="90"/>
        <v>0</v>
      </c>
      <c r="Y699" s="36">
        <f t="shared" si="88"/>
        <v>15000000</v>
      </c>
      <c r="Z699" s="36">
        <f t="shared" si="89"/>
        <v>0</v>
      </c>
      <c r="AA699" s="4"/>
      <c r="AB699" s="79"/>
    </row>
    <row r="700" spans="1:28" ht="42" x14ac:dyDescent="0.3">
      <c r="A700" s="7" t="s">
        <v>18</v>
      </c>
      <c r="B700" s="6">
        <v>675</v>
      </c>
      <c r="C700" s="7" t="s">
        <v>2877</v>
      </c>
      <c r="D700" s="7" t="s">
        <v>2893</v>
      </c>
      <c r="E700" s="7" t="s">
        <v>914</v>
      </c>
      <c r="F700" s="7" t="s">
        <v>2894</v>
      </c>
      <c r="G700" s="5"/>
      <c r="H700" s="5"/>
      <c r="I700" s="21" t="s">
        <v>2895</v>
      </c>
      <c r="J700" s="7" t="s">
        <v>24</v>
      </c>
      <c r="K700" s="7" t="s">
        <v>2896</v>
      </c>
      <c r="L700" s="14">
        <v>54817863740</v>
      </c>
      <c r="M700" s="14">
        <v>10109297</v>
      </c>
      <c r="N700" s="14">
        <v>7500000</v>
      </c>
      <c r="O700" s="40"/>
      <c r="P700" s="40"/>
      <c r="Q700" s="3">
        <f t="shared" si="86"/>
        <v>54835473037</v>
      </c>
      <c r="R700" s="3">
        <v>54817863740</v>
      </c>
      <c r="S700" s="3">
        <v>10109297</v>
      </c>
      <c r="T700" s="72"/>
      <c r="U700" s="7"/>
      <c r="V700" s="7"/>
      <c r="W700" s="36"/>
      <c r="X700" s="36">
        <f t="shared" si="90"/>
        <v>0</v>
      </c>
      <c r="Y700" s="36">
        <f t="shared" si="88"/>
        <v>7500000</v>
      </c>
      <c r="Z700" s="36">
        <f t="shared" si="89"/>
        <v>0</v>
      </c>
      <c r="AA700" s="4"/>
      <c r="AB700" s="79"/>
    </row>
    <row r="701" spans="1:28" ht="42" x14ac:dyDescent="0.3">
      <c r="A701" s="7" t="s">
        <v>62</v>
      </c>
      <c r="B701" s="6">
        <v>676</v>
      </c>
      <c r="C701" s="7" t="s">
        <v>2877</v>
      </c>
      <c r="D701" s="7" t="s">
        <v>2897</v>
      </c>
      <c r="E701" s="5"/>
      <c r="F701" s="7" t="s">
        <v>2898</v>
      </c>
      <c r="G701" s="5"/>
      <c r="H701" s="5"/>
      <c r="I701" s="21" t="s">
        <v>2899</v>
      </c>
      <c r="J701" s="7" t="s">
        <v>24</v>
      </c>
      <c r="K701" s="7" t="s">
        <v>2900</v>
      </c>
      <c r="L701" s="14">
        <v>3446384400</v>
      </c>
      <c r="M701" s="5"/>
      <c r="N701" s="14">
        <v>7500000</v>
      </c>
      <c r="O701" s="40"/>
      <c r="P701" s="40"/>
      <c r="Q701" s="3">
        <f t="shared" si="86"/>
        <v>3453884400</v>
      </c>
      <c r="R701" s="3">
        <v>3446384400</v>
      </c>
      <c r="S701" s="7"/>
      <c r="T701" s="30">
        <v>7500000</v>
      </c>
      <c r="U701" s="7"/>
      <c r="V701" s="7"/>
      <c r="W701" s="36"/>
      <c r="X701" s="36">
        <f t="shared" si="90"/>
        <v>0</v>
      </c>
      <c r="Y701" s="36">
        <f t="shared" si="88"/>
        <v>0</v>
      </c>
      <c r="Z701" s="36">
        <f t="shared" si="89"/>
        <v>0</v>
      </c>
      <c r="AA701" s="4"/>
      <c r="AB701" s="79"/>
    </row>
    <row r="702" spans="1:28" ht="42" x14ac:dyDescent="0.3">
      <c r="A702" s="7" t="s">
        <v>46</v>
      </c>
      <c r="B702" s="6">
        <v>677</v>
      </c>
      <c r="C702" s="7" t="s">
        <v>2877</v>
      </c>
      <c r="D702" s="7" t="s">
        <v>2901</v>
      </c>
      <c r="E702" s="5"/>
      <c r="F702" s="7" t="s">
        <v>2902</v>
      </c>
      <c r="G702" s="5"/>
      <c r="H702" s="5"/>
      <c r="I702" s="21" t="s">
        <v>1536</v>
      </c>
      <c r="J702" s="7" t="s">
        <v>24</v>
      </c>
      <c r="K702" s="7" t="s">
        <v>2903</v>
      </c>
      <c r="L702" s="14">
        <v>1133587600</v>
      </c>
      <c r="M702" s="5"/>
      <c r="N702" s="14">
        <v>15000000</v>
      </c>
      <c r="O702" s="40" t="s">
        <v>637</v>
      </c>
      <c r="P702" s="10">
        <v>36000000</v>
      </c>
      <c r="Q702" s="3">
        <f t="shared" si="86"/>
        <v>1184587600</v>
      </c>
      <c r="R702" s="3">
        <v>1133587600</v>
      </c>
      <c r="S702" s="7"/>
      <c r="T702" s="30">
        <v>15000000</v>
      </c>
      <c r="U702" s="3">
        <v>36000000</v>
      </c>
      <c r="V702" s="7"/>
      <c r="W702" s="36"/>
      <c r="X702" s="36">
        <f t="shared" si="90"/>
        <v>0</v>
      </c>
      <c r="Y702" s="36">
        <f t="shared" si="88"/>
        <v>0</v>
      </c>
      <c r="Z702" s="36">
        <f t="shared" si="89"/>
        <v>0</v>
      </c>
      <c r="AA702" s="4"/>
      <c r="AB702" s="79"/>
    </row>
    <row r="703" spans="1:28" ht="63" x14ac:dyDescent="0.3">
      <c r="A703" s="7" t="s">
        <v>46</v>
      </c>
      <c r="B703" s="6">
        <v>678</v>
      </c>
      <c r="C703" s="7" t="s">
        <v>2877</v>
      </c>
      <c r="D703" s="7" t="s">
        <v>2904</v>
      </c>
      <c r="E703" s="5"/>
      <c r="F703" s="7" t="s">
        <v>2905</v>
      </c>
      <c r="G703" s="5"/>
      <c r="H703" s="5"/>
      <c r="I703" s="21" t="s">
        <v>2906</v>
      </c>
      <c r="J703" s="7" t="s">
        <v>24</v>
      </c>
      <c r="K703" s="7" t="s">
        <v>2907</v>
      </c>
      <c r="L703" s="14">
        <v>13988110203</v>
      </c>
      <c r="M703" s="5"/>
      <c r="N703" s="14">
        <v>15000000</v>
      </c>
      <c r="O703" s="40" t="s">
        <v>637</v>
      </c>
      <c r="P703" s="10">
        <v>36000000</v>
      </c>
      <c r="Q703" s="3">
        <f t="shared" si="86"/>
        <v>14039110203</v>
      </c>
      <c r="R703" s="3">
        <v>13988110203</v>
      </c>
      <c r="S703" s="7"/>
      <c r="T703" s="30">
        <v>15000000</v>
      </c>
      <c r="U703" s="3">
        <v>36000000</v>
      </c>
      <c r="V703" s="7"/>
      <c r="W703" s="36"/>
      <c r="X703" s="36">
        <f t="shared" si="90"/>
        <v>0</v>
      </c>
      <c r="Y703" s="36">
        <f t="shared" si="88"/>
        <v>0</v>
      </c>
      <c r="Z703" s="36">
        <f t="shared" si="89"/>
        <v>0</v>
      </c>
      <c r="AA703" s="4"/>
      <c r="AB703" s="79"/>
    </row>
    <row r="704" spans="1:28" ht="42" x14ac:dyDescent="0.3">
      <c r="A704" s="7" t="s">
        <v>46</v>
      </c>
      <c r="B704" s="6">
        <v>679</v>
      </c>
      <c r="C704" s="7" t="s">
        <v>2877</v>
      </c>
      <c r="D704" s="7" t="s">
        <v>2908</v>
      </c>
      <c r="E704" s="5"/>
      <c r="F704" s="7" t="s">
        <v>2909</v>
      </c>
      <c r="G704" s="5"/>
      <c r="H704" s="5"/>
      <c r="I704" s="21" t="s">
        <v>2910</v>
      </c>
      <c r="J704" s="7" t="s">
        <v>24</v>
      </c>
      <c r="K704" s="7" t="s">
        <v>2911</v>
      </c>
      <c r="L704" s="14">
        <v>7884922752</v>
      </c>
      <c r="M704" s="5"/>
      <c r="N704" s="14">
        <v>7500000</v>
      </c>
      <c r="O704" s="40"/>
      <c r="P704" s="40"/>
      <c r="Q704" s="3">
        <f t="shared" si="86"/>
        <v>7892422752</v>
      </c>
      <c r="R704" s="3">
        <v>7884922752</v>
      </c>
      <c r="S704" s="7"/>
      <c r="T704" s="30">
        <v>7500000</v>
      </c>
      <c r="U704" s="7"/>
      <c r="V704" s="7"/>
      <c r="W704" s="36"/>
      <c r="X704" s="36">
        <f t="shared" si="90"/>
        <v>0</v>
      </c>
      <c r="Y704" s="36">
        <f t="shared" si="88"/>
        <v>0</v>
      </c>
      <c r="Z704" s="36">
        <f t="shared" si="89"/>
        <v>0</v>
      </c>
      <c r="AA704" s="4"/>
      <c r="AB704" s="79"/>
    </row>
    <row r="705" spans="1:28" ht="42" x14ac:dyDescent="0.3">
      <c r="A705" s="7" t="s">
        <v>46</v>
      </c>
      <c r="B705" s="6">
        <v>680</v>
      </c>
      <c r="C705" s="7" t="s">
        <v>2877</v>
      </c>
      <c r="D705" s="7" t="s">
        <v>2912</v>
      </c>
      <c r="E705" s="5"/>
      <c r="F705" s="7" t="s">
        <v>2913</v>
      </c>
      <c r="G705" s="5"/>
      <c r="H705" s="5"/>
      <c r="I705" s="21" t="s">
        <v>2914</v>
      </c>
      <c r="J705" s="7" t="s">
        <v>24</v>
      </c>
      <c r="K705" s="7" t="s">
        <v>2915</v>
      </c>
      <c r="L705" s="14">
        <v>4656135712</v>
      </c>
      <c r="M705" s="5"/>
      <c r="N705" s="14">
        <v>15000000</v>
      </c>
      <c r="O705" s="40" t="s">
        <v>637</v>
      </c>
      <c r="P705" s="10">
        <v>72000000</v>
      </c>
      <c r="Q705" s="3">
        <f t="shared" si="86"/>
        <v>4743135712</v>
      </c>
      <c r="R705" s="3">
        <v>4656135712</v>
      </c>
      <c r="S705" s="7"/>
      <c r="T705" s="72"/>
      <c r="U705" s="3">
        <v>72000000</v>
      </c>
      <c r="V705" s="7"/>
      <c r="W705" s="36"/>
      <c r="X705" s="36">
        <f t="shared" si="90"/>
        <v>0</v>
      </c>
      <c r="Y705" s="36">
        <f t="shared" si="88"/>
        <v>15000000</v>
      </c>
      <c r="Z705" s="36">
        <f t="shared" si="89"/>
        <v>0</v>
      </c>
      <c r="AA705" s="4"/>
      <c r="AB705" s="79"/>
    </row>
    <row r="706" spans="1:28" ht="105" x14ac:dyDescent="0.4">
      <c r="A706" s="7" t="s">
        <v>18</v>
      </c>
      <c r="B706" s="6">
        <v>681</v>
      </c>
      <c r="C706" s="7" t="s">
        <v>2877</v>
      </c>
      <c r="D706" s="7" t="s">
        <v>2916</v>
      </c>
      <c r="E706" s="5"/>
      <c r="F706" s="7" t="s">
        <v>2917</v>
      </c>
      <c r="G706" s="5"/>
      <c r="H706" s="5"/>
      <c r="I706" s="21" t="s">
        <v>2918</v>
      </c>
      <c r="J706" s="7" t="s">
        <v>24</v>
      </c>
      <c r="K706" s="7" t="s">
        <v>2919</v>
      </c>
      <c r="L706" s="14">
        <v>2778910722</v>
      </c>
      <c r="M706" s="5"/>
      <c r="N706" s="14">
        <v>7500000</v>
      </c>
      <c r="O706" s="40"/>
      <c r="P706" s="40"/>
      <c r="Q706" s="3">
        <f t="shared" si="86"/>
        <v>2786410722</v>
      </c>
      <c r="R706" s="7"/>
      <c r="S706" s="7"/>
      <c r="T706" s="72"/>
      <c r="U706" s="7"/>
      <c r="V706" s="7"/>
      <c r="W706" s="36">
        <v>2778910722</v>
      </c>
      <c r="X706" s="36">
        <f t="shared" si="90"/>
        <v>0</v>
      </c>
      <c r="Y706" s="36">
        <f t="shared" si="88"/>
        <v>7500000</v>
      </c>
      <c r="Z706" s="36">
        <f t="shared" si="89"/>
        <v>0</v>
      </c>
      <c r="AA706" s="16">
        <v>2778910722</v>
      </c>
      <c r="AB706" s="79"/>
    </row>
    <row r="707" spans="1:28" ht="31.2" x14ac:dyDescent="0.3">
      <c r="A707" s="7" t="s">
        <v>62</v>
      </c>
      <c r="B707" s="6">
        <v>682</v>
      </c>
      <c r="C707" s="7" t="s">
        <v>2877</v>
      </c>
      <c r="D707" s="7" t="s">
        <v>2920</v>
      </c>
      <c r="E707" s="5"/>
      <c r="F707" s="7" t="s">
        <v>2921</v>
      </c>
      <c r="G707" s="5"/>
      <c r="H707" s="5"/>
      <c r="I707" s="21" t="s">
        <v>327</v>
      </c>
      <c r="J707" s="7" t="s">
        <v>24</v>
      </c>
      <c r="K707" s="7" t="s">
        <v>2922</v>
      </c>
      <c r="L707" s="14">
        <v>1260476040</v>
      </c>
      <c r="M707" s="5"/>
      <c r="N707" s="14">
        <v>7500000</v>
      </c>
      <c r="O707" s="40"/>
      <c r="P707" s="40"/>
      <c r="Q707" s="3">
        <f t="shared" si="86"/>
        <v>1267976040</v>
      </c>
      <c r="R707" s="3">
        <v>1260476040</v>
      </c>
      <c r="S707" s="7"/>
      <c r="T707" s="30">
        <v>7500000</v>
      </c>
      <c r="U707" s="7"/>
      <c r="V707" s="7"/>
      <c r="W707" s="36"/>
      <c r="X707" s="36">
        <f t="shared" si="90"/>
        <v>0</v>
      </c>
      <c r="Y707" s="36">
        <f t="shared" si="88"/>
        <v>0</v>
      </c>
      <c r="Z707" s="36">
        <f t="shared" si="89"/>
        <v>0</v>
      </c>
      <c r="AA707" s="4"/>
      <c r="AB707" s="79"/>
    </row>
    <row r="708" spans="1:28" ht="46.8" x14ac:dyDescent="0.3">
      <c r="A708" s="7" t="s">
        <v>18</v>
      </c>
      <c r="B708" s="6">
        <v>683</v>
      </c>
      <c r="C708" s="7" t="s">
        <v>2877</v>
      </c>
      <c r="D708" s="7" t="s">
        <v>2923</v>
      </c>
      <c r="E708" s="5"/>
      <c r="F708" s="7" t="s">
        <v>2924</v>
      </c>
      <c r="G708" s="5"/>
      <c r="H708" s="5"/>
      <c r="I708" s="21" t="s">
        <v>2925</v>
      </c>
      <c r="J708" s="7" t="s">
        <v>24</v>
      </c>
      <c r="K708" s="7" t="s">
        <v>2926</v>
      </c>
      <c r="L708" s="14">
        <v>331459398</v>
      </c>
      <c r="M708" s="5"/>
      <c r="N708" s="14">
        <v>15000000</v>
      </c>
      <c r="O708" s="40"/>
      <c r="P708" s="40"/>
      <c r="Q708" s="3">
        <f t="shared" si="86"/>
        <v>346459398</v>
      </c>
      <c r="R708" s="3">
        <v>331459398</v>
      </c>
      <c r="S708" s="7"/>
      <c r="T708" s="30">
        <v>15000000</v>
      </c>
      <c r="U708" s="7"/>
      <c r="V708" s="7"/>
      <c r="W708" s="36"/>
      <c r="X708" s="36">
        <f t="shared" si="90"/>
        <v>0</v>
      </c>
      <c r="Y708" s="36">
        <f t="shared" si="88"/>
        <v>0</v>
      </c>
      <c r="Z708" s="36">
        <f t="shared" si="89"/>
        <v>0</v>
      </c>
      <c r="AA708" s="4"/>
      <c r="AB708" s="79"/>
    </row>
    <row r="709" spans="1:28" ht="46.8" x14ac:dyDescent="0.3">
      <c r="A709" s="7" t="s">
        <v>2290</v>
      </c>
      <c r="B709" s="6">
        <v>684</v>
      </c>
      <c r="C709" s="7" t="s">
        <v>2877</v>
      </c>
      <c r="D709" s="7" t="s">
        <v>2927</v>
      </c>
      <c r="E709" s="5"/>
      <c r="F709" s="7" t="s">
        <v>2928</v>
      </c>
      <c r="G709" s="5"/>
      <c r="H709" s="5"/>
      <c r="I709" s="21" t="s">
        <v>2929</v>
      </c>
      <c r="J709" s="7" t="s">
        <v>24</v>
      </c>
      <c r="K709" s="7" t="s">
        <v>2930</v>
      </c>
      <c r="L709" s="14">
        <v>10000000</v>
      </c>
      <c r="M709" s="5"/>
      <c r="N709" s="14">
        <v>15000000</v>
      </c>
      <c r="O709" s="40"/>
      <c r="P709" s="40"/>
      <c r="Q709" s="3">
        <f t="shared" si="86"/>
        <v>25000000</v>
      </c>
      <c r="R709" s="3">
        <v>10000000</v>
      </c>
      <c r="S709" s="7"/>
      <c r="T709" s="30">
        <v>15000000</v>
      </c>
      <c r="U709" s="7"/>
      <c r="V709" s="7"/>
      <c r="W709" s="36"/>
      <c r="X709" s="36">
        <f t="shared" si="90"/>
        <v>0</v>
      </c>
      <c r="Y709" s="36">
        <f t="shared" si="88"/>
        <v>0</v>
      </c>
      <c r="Z709" s="36">
        <f t="shared" si="89"/>
        <v>0</v>
      </c>
      <c r="AA709" s="4"/>
      <c r="AB709" s="79"/>
    </row>
    <row r="710" spans="1:28" ht="62.4" x14ac:dyDescent="0.3">
      <c r="A710" s="7" t="s">
        <v>2290</v>
      </c>
      <c r="B710" s="6">
        <v>685</v>
      </c>
      <c r="C710" s="7" t="s">
        <v>2877</v>
      </c>
      <c r="D710" s="7" t="s">
        <v>2931</v>
      </c>
      <c r="E710" s="5"/>
      <c r="F710" s="7" t="s">
        <v>2933</v>
      </c>
      <c r="G710" s="5"/>
      <c r="H710" s="5"/>
      <c r="I710" s="21" t="s">
        <v>1153</v>
      </c>
      <c r="J710" s="7" t="s">
        <v>24</v>
      </c>
      <c r="K710" s="7" t="s">
        <v>2934</v>
      </c>
      <c r="L710" s="14">
        <v>731347144</v>
      </c>
      <c r="M710" s="5"/>
      <c r="N710" s="14">
        <v>15000000</v>
      </c>
      <c r="O710" s="40" t="s">
        <v>2932</v>
      </c>
      <c r="P710" s="10">
        <v>72000000</v>
      </c>
      <c r="Q710" s="3">
        <f t="shared" si="86"/>
        <v>818347144</v>
      </c>
      <c r="R710" s="3">
        <v>731347144</v>
      </c>
      <c r="S710" s="7"/>
      <c r="T710" s="30">
        <v>15000000</v>
      </c>
      <c r="U710" s="3">
        <v>24000000</v>
      </c>
      <c r="V710" s="7"/>
      <c r="W710" s="36"/>
      <c r="X710" s="36">
        <f t="shared" si="90"/>
        <v>0</v>
      </c>
      <c r="Y710" s="36">
        <f t="shared" si="88"/>
        <v>0</v>
      </c>
      <c r="Z710" s="36">
        <f t="shared" si="89"/>
        <v>48000000</v>
      </c>
      <c r="AA710" s="4"/>
      <c r="AB710" s="80" t="s">
        <v>3827</v>
      </c>
    </row>
    <row r="711" spans="1:28" ht="42" x14ac:dyDescent="0.3">
      <c r="A711" s="7" t="s">
        <v>62</v>
      </c>
      <c r="B711" s="6">
        <v>686</v>
      </c>
      <c r="C711" s="7" t="s">
        <v>2877</v>
      </c>
      <c r="D711" s="7" t="s">
        <v>2935</v>
      </c>
      <c r="E711" s="5"/>
      <c r="F711" s="7" t="s">
        <v>2936</v>
      </c>
      <c r="G711" s="5"/>
      <c r="H711" s="5"/>
      <c r="I711" s="21" t="s">
        <v>2937</v>
      </c>
      <c r="J711" s="7" t="s">
        <v>24</v>
      </c>
      <c r="K711" s="7" t="s">
        <v>2938</v>
      </c>
      <c r="L711" s="14">
        <v>9840789310</v>
      </c>
      <c r="M711" s="5"/>
      <c r="N711" s="14">
        <v>15000000</v>
      </c>
      <c r="O711" s="40" t="s">
        <v>637</v>
      </c>
      <c r="P711" s="10">
        <v>120000000</v>
      </c>
      <c r="Q711" s="3">
        <f t="shared" si="86"/>
        <v>9975789310</v>
      </c>
      <c r="R711" s="3">
        <v>9840789310</v>
      </c>
      <c r="S711" s="7"/>
      <c r="T711" s="30">
        <v>15000000</v>
      </c>
      <c r="U711" s="3">
        <v>120000000</v>
      </c>
      <c r="V711" s="7"/>
      <c r="W711" s="36"/>
      <c r="X711" s="36">
        <f t="shared" si="90"/>
        <v>0</v>
      </c>
      <c r="Y711" s="36">
        <f t="shared" si="88"/>
        <v>0</v>
      </c>
      <c r="Z711" s="36">
        <f t="shared" si="89"/>
        <v>0</v>
      </c>
      <c r="AA711" s="4"/>
      <c r="AB711" s="79"/>
    </row>
    <row r="712" spans="1:28" ht="62.4" x14ac:dyDescent="0.3">
      <c r="A712" s="7" t="s">
        <v>18</v>
      </c>
      <c r="B712" s="6">
        <v>687</v>
      </c>
      <c r="C712" s="7" t="s">
        <v>2877</v>
      </c>
      <c r="D712" s="7" t="s">
        <v>2939</v>
      </c>
      <c r="E712" s="7" t="s">
        <v>2940</v>
      </c>
      <c r="F712" s="5"/>
      <c r="G712" s="5"/>
      <c r="H712" s="7" t="s">
        <v>2941</v>
      </c>
      <c r="I712" s="21" t="s">
        <v>2942</v>
      </c>
      <c r="J712" s="7" t="s">
        <v>24</v>
      </c>
      <c r="K712" s="7" t="s">
        <v>2943</v>
      </c>
      <c r="L712" s="19">
        <v>0</v>
      </c>
      <c r="M712" s="5"/>
      <c r="N712" s="14">
        <v>7500000</v>
      </c>
      <c r="O712" s="40"/>
      <c r="P712" s="40"/>
      <c r="Q712" s="3">
        <f t="shared" si="86"/>
        <v>7500000</v>
      </c>
      <c r="R712" s="6">
        <v>0</v>
      </c>
      <c r="S712" s="7"/>
      <c r="T712" s="72"/>
      <c r="U712" s="7"/>
      <c r="V712" s="7"/>
      <c r="W712" s="36"/>
      <c r="X712" s="36">
        <f t="shared" si="90"/>
        <v>0</v>
      </c>
      <c r="Y712" s="36">
        <f t="shared" si="88"/>
        <v>7500000</v>
      </c>
      <c r="Z712" s="36">
        <f t="shared" si="89"/>
        <v>0</v>
      </c>
      <c r="AA712" s="4"/>
      <c r="AB712" s="79"/>
    </row>
    <row r="713" spans="1:28" ht="78" x14ac:dyDescent="0.3">
      <c r="A713" s="7" t="s">
        <v>18</v>
      </c>
      <c r="B713" s="6">
        <v>688</v>
      </c>
      <c r="C713" s="7" t="s">
        <v>2877</v>
      </c>
      <c r="D713" s="7" t="s">
        <v>2944</v>
      </c>
      <c r="E713" s="7" t="s">
        <v>2940</v>
      </c>
      <c r="F713" s="5"/>
      <c r="G713" s="5"/>
      <c r="H713" s="7" t="s">
        <v>2945</v>
      </c>
      <c r="I713" s="21" t="s">
        <v>346</v>
      </c>
      <c r="J713" s="7" t="s">
        <v>24</v>
      </c>
      <c r="K713" s="7" t="s">
        <v>2943</v>
      </c>
      <c r="L713" s="14">
        <v>10000000</v>
      </c>
      <c r="M713" s="5"/>
      <c r="N713" s="14">
        <v>15000000</v>
      </c>
      <c r="O713" s="40"/>
      <c r="P713" s="40"/>
      <c r="Q713" s="3">
        <f t="shared" si="86"/>
        <v>25000000</v>
      </c>
      <c r="R713" s="7"/>
      <c r="S713" s="7"/>
      <c r="T713" s="72"/>
      <c r="U713" s="7"/>
      <c r="V713" s="7"/>
      <c r="W713" s="36">
        <v>10000000</v>
      </c>
      <c r="X713" s="36">
        <f t="shared" si="90"/>
        <v>0</v>
      </c>
      <c r="Y713" s="36">
        <f t="shared" si="88"/>
        <v>15000000</v>
      </c>
      <c r="Z713" s="36">
        <f t="shared" si="89"/>
        <v>0</v>
      </c>
      <c r="AA713" s="8">
        <v>10000000</v>
      </c>
      <c r="AB713" s="79"/>
    </row>
    <row r="714" spans="1:28" ht="46.8" x14ac:dyDescent="0.3">
      <c r="A714" s="7" t="s">
        <v>62</v>
      </c>
      <c r="B714" s="6">
        <v>689</v>
      </c>
      <c r="C714" s="7" t="s">
        <v>2877</v>
      </c>
      <c r="D714" s="7" t="s">
        <v>2946</v>
      </c>
      <c r="E714" s="7" t="s">
        <v>764</v>
      </c>
      <c r="F714" s="7" t="s">
        <v>2947</v>
      </c>
      <c r="G714" s="7" t="s">
        <v>2948</v>
      </c>
      <c r="H714" s="5"/>
      <c r="I714" s="21" t="s">
        <v>2949</v>
      </c>
      <c r="J714" s="7" t="s">
        <v>24</v>
      </c>
      <c r="K714" s="7" t="s">
        <v>2950</v>
      </c>
      <c r="L714" s="14">
        <v>1016998986</v>
      </c>
      <c r="M714" s="14">
        <v>86605610</v>
      </c>
      <c r="N714" s="14">
        <v>15000000</v>
      </c>
      <c r="O714" s="40"/>
      <c r="P714" s="40"/>
      <c r="Q714" s="3">
        <f t="shared" si="86"/>
        <v>1118604596</v>
      </c>
      <c r="R714" s="3">
        <v>1016998986</v>
      </c>
      <c r="S714" s="3">
        <v>86605610</v>
      </c>
      <c r="T714" s="30">
        <v>15000000</v>
      </c>
      <c r="U714" s="7"/>
      <c r="V714" s="7"/>
      <c r="W714" s="36"/>
      <c r="X714" s="36">
        <f t="shared" si="90"/>
        <v>0</v>
      </c>
      <c r="Y714" s="36">
        <f t="shared" si="88"/>
        <v>0</v>
      </c>
      <c r="Z714" s="36">
        <f t="shared" si="89"/>
        <v>0</v>
      </c>
      <c r="AA714" s="4"/>
      <c r="AB714" s="79"/>
    </row>
    <row r="715" spans="1:28" ht="42" x14ac:dyDescent="0.3">
      <c r="A715" s="7" t="s">
        <v>46</v>
      </c>
      <c r="B715" s="6">
        <v>690</v>
      </c>
      <c r="C715" s="7" t="s">
        <v>2877</v>
      </c>
      <c r="D715" s="7" t="s">
        <v>2951</v>
      </c>
      <c r="E715" s="5"/>
      <c r="F715" s="7" t="s">
        <v>2952</v>
      </c>
      <c r="G715" s="5"/>
      <c r="H715" s="5"/>
      <c r="I715" s="21" t="s">
        <v>2953</v>
      </c>
      <c r="J715" s="7" t="s">
        <v>24</v>
      </c>
      <c r="K715" s="7" t="s">
        <v>2954</v>
      </c>
      <c r="L715" s="14">
        <v>309253343</v>
      </c>
      <c r="M715" s="5"/>
      <c r="N715" s="14">
        <v>15000000</v>
      </c>
      <c r="O715" s="40" t="s">
        <v>1559</v>
      </c>
      <c r="P715" s="10">
        <v>30000000</v>
      </c>
      <c r="Q715" s="3">
        <f t="shared" si="86"/>
        <v>354253343</v>
      </c>
      <c r="R715" s="3">
        <v>309253343</v>
      </c>
      <c r="S715" s="7"/>
      <c r="T715" s="72"/>
      <c r="U715" s="3">
        <v>30000000</v>
      </c>
      <c r="V715" s="7"/>
      <c r="W715" s="36"/>
      <c r="X715" s="36">
        <f t="shared" si="90"/>
        <v>0</v>
      </c>
      <c r="Y715" s="36">
        <f t="shared" si="88"/>
        <v>15000000</v>
      </c>
      <c r="Z715" s="36">
        <f t="shared" si="89"/>
        <v>0</v>
      </c>
      <c r="AA715" s="4"/>
      <c r="AB715" s="79"/>
    </row>
    <row r="716" spans="1:28" ht="62.4" x14ac:dyDescent="0.3">
      <c r="A716" s="7" t="s">
        <v>18</v>
      </c>
      <c r="B716" s="6">
        <v>691</v>
      </c>
      <c r="C716" s="7" t="s">
        <v>2877</v>
      </c>
      <c r="D716" s="7" t="s">
        <v>2955</v>
      </c>
      <c r="E716" s="5"/>
      <c r="F716" s="7" t="s">
        <v>2956</v>
      </c>
      <c r="G716" s="5"/>
      <c r="H716" s="5"/>
      <c r="I716" s="21" t="s">
        <v>2957</v>
      </c>
      <c r="J716" s="7" t="s">
        <v>24</v>
      </c>
      <c r="K716" s="7" t="s">
        <v>2958</v>
      </c>
      <c r="L716" s="14">
        <v>1095920500</v>
      </c>
      <c r="M716" s="5"/>
      <c r="N716" s="14">
        <v>15000000</v>
      </c>
      <c r="O716" s="40" t="s">
        <v>1679</v>
      </c>
      <c r="P716" s="10">
        <v>90000000</v>
      </c>
      <c r="Q716" s="3">
        <f t="shared" si="86"/>
        <v>1200920500</v>
      </c>
      <c r="R716" s="3">
        <v>1095920500</v>
      </c>
      <c r="S716" s="7"/>
      <c r="T716" s="30">
        <v>15000000</v>
      </c>
      <c r="U716" s="3">
        <v>60000000</v>
      </c>
      <c r="V716" s="7"/>
      <c r="W716" s="36"/>
      <c r="X716" s="36">
        <f t="shared" si="90"/>
        <v>0</v>
      </c>
      <c r="Y716" s="36">
        <f t="shared" si="88"/>
        <v>0</v>
      </c>
      <c r="Z716" s="36">
        <f t="shared" si="89"/>
        <v>30000000</v>
      </c>
      <c r="AA716" s="4"/>
      <c r="AB716" s="80" t="s">
        <v>3827</v>
      </c>
    </row>
    <row r="717" spans="1:28" ht="42" x14ac:dyDescent="0.3">
      <c r="A717" s="7" t="s">
        <v>2290</v>
      </c>
      <c r="B717" s="6">
        <v>692</v>
      </c>
      <c r="C717" s="7" t="s">
        <v>2877</v>
      </c>
      <c r="D717" s="7" t="s">
        <v>2959</v>
      </c>
      <c r="E717" s="5"/>
      <c r="F717" s="7" t="s">
        <v>2960</v>
      </c>
      <c r="G717" s="5"/>
      <c r="H717" s="5"/>
      <c r="I717" s="21" t="s">
        <v>2961</v>
      </c>
      <c r="J717" s="7" t="s">
        <v>24</v>
      </c>
      <c r="K717" s="7" t="s">
        <v>2962</v>
      </c>
      <c r="L717" s="14">
        <v>1271355500</v>
      </c>
      <c r="M717" s="5"/>
      <c r="N717" s="14">
        <v>7500000</v>
      </c>
      <c r="O717" s="40"/>
      <c r="P717" s="40"/>
      <c r="Q717" s="3">
        <f t="shared" si="86"/>
        <v>1278855500</v>
      </c>
      <c r="R717" s="3">
        <v>1271355500</v>
      </c>
      <c r="S717" s="7"/>
      <c r="T717" s="30">
        <v>7500000</v>
      </c>
      <c r="U717" s="7"/>
      <c r="V717" s="7"/>
      <c r="W717" s="36"/>
      <c r="X717" s="36">
        <f t="shared" si="90"/>
        <v>0</v>
      </c>
      <c r="Y717" s="36">
        <f t="shared" si="88"/>
        <v>0</v>
      </c>
      <c r="Z717" s="36">
        <f t="shared" si="89"/>
        <v>0</v>
      </c>
      <c r="AA717" s="4"/>
      <c r="AB717" s="79"/>
    </row>
    <row r="718" spans="1:28" ht="124.8" x14ac:dyDescent="0.3">
      <c r="A718" s="7" t="s">
        <v>18</v>
      </c>
      <c r="B718" s="6">
        <v>693</v>
      </c>
      <c r="C718" s="7" t="s">
        <v>2877</v>
      </c>
      <c r="D718" s="7" t="s">
        <v>2963</v>
      </c>
      <c r="E718" s="5"/>
      <c r="F718" s="7" t="s">
        <v>2965</v>
      </c>
      <c r="G718" s="7" t="s">
        <v>1656</v>
      </c>
      <c r="H718" s="5"/>
      <c r="I718" s="21" t="s">
        <v>2966</v>
      </c>
      <c r="J718" s="7" t="s">
        <v>24</v>
      </c>
      <c r="K718" s="7" t="s">
        <v>2967</v>
      </c>
      <c r="L718" s="14">
        <v>1213968903</v>
      </c>
      <c r="M718" s="5"/>
      <c r="N718" s="3">
        <v>15000000</v>
      </c>
      <c r="O718" s="40" t="s">
        <v>2964</v>
      </c>
      <c r="P718" s="10">
        <v>192000000</v>
      </c>
      <c r="Q718" s="3">
        <f t="shared" si="86"/>
        <v>1420968903</v>
      </c>
      <c r="R718" s="3">
        <v>1213968903</v>
      </c>
      <c r="S718" s="7"/>
      <c r="T718" s="30">
        <v>15000000</v>
      </c>
      <c r="U718" s="3">
        <v>192000000</v>
      </c>
      <c r="V718" s="7"/>
      <c r="W718" s="36"/>
      <c r="X718" s="36">
        <f t="shared" si="90"/>
        <v>0</v>
      </c>
      <c r="Y718" s="36">
        <f t="shared" si="88"/>
        <v>0</v>
      </c>
      <c r="Z718" s="36">
        <f t="shared" si="89"/>
        <v>0</v>
      </c>
      <c r="AA718" s="4"/>
      <c r="AB718" s="79"/>
    </row>
    <row r="719" spans="1:28" ht="31.2" x14ac:dyDescent="0.3">
      <c r="A719" s="7" t="s">
        <v>62</v>
      </c>
      <c r="B719" s="6">
        <v>694</v>
      </c>
      <c r="C719" s="7" t="s">
        <v>2877</v>
      </c>
      <c r="D719" s="7" t="s">
        <v>2968</v>
      </c>
      <c r="E719" s="5"/>
      <c r="F719" s="7" t="s">
        <v>2969</v>
      </c>
      <c r="G719" s="5"/>
      <c r="H719" s="5"/>
      <c r="I719" s="21" t="s">
        <v>2970</v>
      </c>
      <c r="J719" s="7" t="s">
        <v>24</v>
      </c>
      <c r="K719" s="7" t="s">
        <v>2971</v>
      </c>
      <c r="L719" s="14">
        <v>3795291327</v>
      </c>
      <c r="M719" s="5"/>
      <c r="N719" s="14">
        <v>7500000</v>
      </c>
      <c r="O719" s="40"/>
      <c r="P719" s="40"/>
      <c r="Q719" s="3">
        <f t="shared" si="86"/>
        <v>3802791327</v>
      </c>
      <c r="R719" s="3">
        <v>3795291327</v>
      </c>
      <c r="S719" s="7"/>
      <c r="T719" s="30">
        <v>7500000</v>
      </c>
      <c r="U719" s="7"/>
      <c r="V719" s="7"/>
      <c r="W719" s="36"/>
      <c r="X719" s="36">
        <f t="shared" si="90"/>
        <v>0</v>
      </c>
      <c r="Y719" s="36">
        <f t="shared" si="88"/>
        <v>0</v>
      </c>
      <c r="Z719" s="36">
        <f t="shared" si="89"/>
        <v>0</v>
      </c>
      <c r="AA719" s="4"/>
      <c r="AB719" s="79"/>
    </row>
    <row r="720" spans="1:28" ht="42" x14ac:dyDescent="0.3">
      <c r="A720" s="7" t="s">
        <v>62</v>
      </c>
      <c r="B720" s="6">
        <v>695</v>
      </c>
      <c r="C720" s="7" t="s">
        <v>2877</v>
      </c>
      <c r="D720" s="7" t="s">
        <v>2972</v>
      </c>
      <c r="E720" s="5"/>
      <c r="F720" s="7" t="s">
        <v>2973</v>
      </c>
      <c r="G720" s="5"/>
      <c r="H720" s="5"/>
      <c r="I720" s="21" t="s">
        <v>2974</v>
      </c>
      <c r="J720" s="7" t="s">
        <v>24</v>
      </c>
      <c r="K720" s="7" t="s">
        <v>2975</v>
      </c>
      <c r="L720" s="14">
        <v>1838697914</v>
      </c>
      <c r="M720" s="5"/>
      <c r="N720" s="14">
        <v>7500000</v>
      </c>
      <c r="O720" s="40"/>
      <c r="P720" s="40"/>
      <c r="Q720" s="3">
        <f t="shared" si="86"/>
        <v>1846197914</v>
      </c>
      <c r="R720" s="3">
        <v>1838697914</v>
      </c>
      <c r="S720" s="7"/>
      <c r="T720" s="30">
        <v>7500000</v>
      </c>
      <c r="U720" s="7"/>
      <c r="V720" s="7"/>
      <c r="W720" s="36"/>
      <c r="X720" s="36">
        <f t="shared" si="90"/>
        <v>0</v>
      </c>
      <c r="Y720" s="36">
        <f t="shared" si="88"/>
        <v>0</v>
      </c>
      <c r="Z720" s="36">
        <f t="shared" si="89"/>
        <v>0</v>
      </c>
      <c r="AA720" s="4"/>
      <c r="AB720" s="79"/>
    </row>
    <row r="721" spans="1:28" ht="63" x14ac:dyDescent="0.3">
      <c r="A721" s="7" t="s">
        <v>46</v>
      </c>
      <c r="B721" s="6">
        <v>696</v>
      </c>
      <c r="C721" s="7" t="s">
        <v>2877</v>
      </c>
      <c r="D721" s="7" t="s">
        <v>2976</v>
      </c>
      <c r="E721" s="5"/>
      <c r="F721" s="7" t="s">
        <v>2977</v>
      </c>
      <c r="G721" s="5"/>
      <c r="H721" s="5"/>
      <c r="I721" s="21" t="s">
        <v>2978</v>
      </c>
      <c r="J721" s="7" t="s">
        <v>24</v>
      </c>
      <c r="K721" s="7" t="s">
        <v>2979</v>
      </c>
      <c r="L721" s="14">
        <v>9228830690</v>
      </c>
      <c r="M721" s="5"/>
      <c r="N721" s="14">
        <v>15000000</v>
      </c>
      <c r="O721" s="40"/>
      <c r="P721" s="40"/>
      <c r="Q721" s="3">
        <f t="shared" si="86"/>
        <v>9243830690</v>
      </c>
      <c r="R721" s="3">
        <v>9228830690</v>
      </c>
      <c r="S721" s="7"/>
      <c r="T721" s="72"/>
      <c r="U721" s="7"/>
      <c r="V721" s="7"/>
      <c r="W721" s="36"/>
      <c r="X721" s="36">
        <f t="shared" si="90"/>
        <v>0</v>
      </c>
      <c r="Y721" s="36">
        <f t="shared" si="88"/>
        <v>15000000</v>
      </c>
      <c r="Z721" s="36">
        <f t="shared" si="89"/>
        <v>0</v>
      </c>
      <c r="AA721" s="4"/>
      <c r="AB721" s="79"/>
    </row>
    <row r="722" spans="1:28" ht="42" x14ac:dyDescent="0.3">
      <c r="A722" s="7" t="s">
        <v>62</v>
      </c>
      <c r="B722" s="6">
        <v>697</v>
      </c>
      <c r="C722" s="7" t="s">
        <v>2877</v>
      </c>
      <c r="D722" s="7" t="s">
        <v>2980</v>
      </c>
      <c r="E722" s="5"/>
      <c r="F722" s="7" t="s">
        <v>2981</v>
      </c>
      <c r="G722" s="5"/>
      <c r="H722" s="5"/>
      <c r="I722" s="21" t="s">
        <v>2982</v>
      </c>
      <c r="J722" s="7" t="s">
        <v>24</v>
      </c>
      <c r="K722" s="7" t="s">
        <v>2983</v>
      </c>
      <c r="L722" s="14">
        <v>1043360216</v>
      </c>
      <c r="M722" s="5"/>
      <c r="N722" s="14">
        <v>15000000</v>
      </c>
      <c r="O722" s="40" t="s">
        <v>1315</v>
      </c>
      <c r="P722" s="10">
        <v>24000000</v>
      </c>
      <c r="Q722" s="3">
        <f t="shared" si="86"/>
        <v>1082360216</v>
      </c>
      <c r="R722" s="3">
        <v>1043360216</v>
      </c>
      <c r="S722" s="7"/>
      <c r="T722" s="30">
        <v>15000000</v>
      </c>
      <c r="U722" s="3">
        <v>24000000</v>
      </c>
      <c r="V722" s="7"/>
      <c r="W722" s="36"/>
      <c r="X722" s="36">
        <f t="shared" si="90"/>
        <v>0</v>
      </c>
      <c r="Y722" s="36">
        <f t="shared" si="88"/>
        <v>0</v>
      </c>
      <c r="Z722" s="36">
        <f t="shared" si="89"/>
        <v>0</v>
      </c>
      <c r="AA722" s="4"/>
      <c r="AB722" s="79" t="s">
        <v>3864</v>
      </c>
    </row>
    <row r="723" spans="1:28" ht="31.2" x14ac:dyDescent="0.3">
      <c r="A723" s="7" t="s">
        <v>46</v>
      </c>
      <c r="B723" s="6">
        <v>698</v>
      </c>
      <c r="C723" s="7" t="s">
        <v>2877</v>
      </c>
      <c r="D723" s="7" t="s">
        <v>2984</v>
      </c>
      <c r="E723" s="7" t="s">
        <v>2669</v>
      </c>
      <c r="F723" s="7" t="s">
        <v>2985</v>
      </c>
      <c r="G723" s="7" t="s">
        <v>2986</v>
      </c>
      <c r="H723" s="5"/>
      <c r="I723" s="21" t="s">
        <v>2987</v>
      </c>
      <c r="J723" s="7" t="s">
        <v>24</v>
      </c>
      <c r="K723" s="7" t="s">
        <v>2988</v>
      </c>
      <c r="L723" s="14">
        <v>8588500084</v>
      </c>
      <c r="M723" s="14">
        <v>1184688218</v>
      </c>
      <c r="N723" s="14">
        <v>7500000</v>
      </c>
      <c r="O723" s="40"/>
      <c r="P723" s="40"/>
      <c r="Q723" s="3">
        <f t="shared" si="86"/>
        <v>9780688302</v>
      </c>
      <c r="R723" s="3">
        <v>8588500084</v>
      </c>
      <c r="S723" s="3">
        <v>1184688218</v>
      </c>
      <c r="T723" s="30">
        <v>7500000</v>
      </c>
      <c r="U723" s="7"/>
      <c r="V723" s="7"/>
      <c r="W723" s="36"/>
      <c r="X723" s="36">
        <f t="shared" si="90"/>
        <v>0</v>
      </c>
      <c r="Y723" s="36">
        <f t="shared" si="88"/>
        <v>0</v>
      </c>
      <c r="Z723" s="36">
        <f t="shared" si="89"/>
        <v>0</v>
      </c>
      <c r="AA723" s="4"/>
      <c r="AB723" s="79"/>
    </row>
    <row r="724" spans="1:28" ht="31.2" x14ac:dyDescent="0.3">
      <c r="A724" s="7" t="s">
        <v>46</v>
      </c>
      <c r="B724" s="6">
        <v>699</v>
      </c>
      <c r="C724" s="7" t="s">
        <v>2877</v>
      </c>
      <c r="D724" s="7" t="s">
        <v>2989</v>
      </c>
      <c r="E724" s="7" t="s">
        <v>1922</v>
      </c>
      <c r="F724" s="7" t="s">
        <v>2991</v>
      </c>
      <c r="G724" s="7" t="s">
        <v>2992</v>
      </c>
      <c r="H724" s="5"/>
      <c r="I724" s="21" t="s">
        <v>2993</v>
      </c>
      <c r="J724" s="7" t="s">
        <v>24</v>
      </c>
      <c r="K724" s="7" t="s">
        <v>2994</v>
      </c>
      <c r="L724" s="14">
        <v>1495439088</v>
      </c>
      <c r="M724" s="14">
        <v>330415722</v>
      </c>
      <c r="N724" s="14">
        <v>15000000</v>
      </c>
      <c r="O724" s="7" t="s">
        <v>2990</v>
      </c>
      <c r="P724" s="3">
        <v>24000000</v>
      </c>
      <c r="Q724" s="3">
        <f t="shared" si="86"/>
        <v>1864854810</v>
      </c>
      <c r="R724" s="3">
        <v>1495439088</v>
      </c>
      <c r="S724" s="3">
        <v>330415722</v>
      </c>
      <c r="T724" s="72"/>
      <c r="U724" s="7"/>
      <c r="V724" s="7"/>
      <c r="W724" s="36"/>
      <c r="X724" s="36">
        <f t="shared" si="90"/>
        <v>0</v>
      </c>
      <c r="Y724" s="36">
        <f t="shared" si="88"/>
        <v>15000000</v>
      </c>
      <c r="Z724" s="36">
        <f t="shared" si="89"/>
        <v>24000000</v>
      </c>
      <c r="AA724" s="4"/>
      <c r="AB724" s="83"/>
    </row>
    <row r="725" spans="1:28" ht="31.2" x14ac:dyDescent="0.3">
      <c r="A725" s="7" t="s">
        <v>62</v>
      </c>
      <c r="B725" s="6">
        <v>700</v>
      </c>
      <c r="C725" s="7" t="s">
        <v>2877</v>
      </c>
      <c r="D725" s="7" t="s">
        <v>2995</v>
      </c>
      <c r="E725" s="5"/>
      <c r="F725" s="7" t="s">
        <v>2996</v>
      </c>
      <c r="G725" s="5"/>
      <c r="H725" s="5"/>
      <c r="I725" s="21" t="s">
        <v>2997</v>
      </c>
      <c r="J725" s="7" t="s">
        <v>24</v>
      </c>
      <c r="K725" s="7" t="s">
        <v>2998</v>
      </c>
      <c r="L725" s="14">
        <v>793397916</v>
      </c>
      <c r="M725" s="5"/>
      <c r="N725" s="14">
        <v>15000000</v>
      </c>
      <c r="O725" s="40"/>
      <c r="P725" s="40"/>
      <c r="Q725" s="3">
        <f t="shared" si="86"/>
        <v>808397916</v>
      </c>
      <c r="R725" s="3">
        <v>793397916</v>
      </c>
      <c r="S725" s="7"/>
      <c r="T725" s="30">
        <v>15000000</v>
      </c>
      <c r="U725" s="7"/>
      <c r="V725" s="7"/>
      <c r="W725" s="36"/>
      <c r="X725" s="36">
        <f t="shared" si="90"/>
        <v>0</v>
      </c>
      <c r="Y725" s="36">
        <f t="shared" si="88"/>
        <v>0</v>
      </c>
      <c r="Z725" s="36">
        <f t="shared" si="89"/>
        <v>0</v>
      </c>
      <c r="AA725" s="4"/>
      <c r="AB725" s="79"/>
    </row>
    <row r="726" spans="1:28" ht="31.2" x14ac:dyDescent="0.3">
      <c r="A726" s="7" t="s">
        <v>62</v>
      </c>
      <c r="B726" s="6">
        <v>701</v>
      </c>
      <c r="C726" s="7" t="s">
        <v>2877</v>
      </c>
      <c r="D726" s="7" t="s">
        <v>2999</v>
      </c>
      <c r="E726" s="5"/>
      <c r="F726" s="7" t="s">
        <v>3000</v>
      </c>
      <c r="G726" s="5"/>
      <c r="H726" s="5"/>
      <c r="I726" s="21" t="s">
        <v>3001</v>
      </c>
      <c r="J726" s="7" t="s">
        <v>24</v>
      </c>
      <c r="K726" s="7" t="s">
        <v>3002</v>
      </c>
      <c r="L726" s="14">
        <v>776854950</v>
      </c>
      <c r="M726" s="5"/>
      <c r="N726" s="14">
        <v>15000000</v>
      </c>
      <c r="O726" s="40" t="s">
        <v>505</v>
      </c>
      <c r="P726" s="10">
        <v>8000000</v>
      </c>
      <c r="Q726" s="3">
        <f t="shared" si="86"/>
        <v>799854950</v>
      </c>
      <c r="R726" s="3">
        <v>776854950</v>
      </c>
      <c r="S726" s="7"/>
      <c r="T726" s="30">
        <v>15000000</v>
      </c>
      <c r="U726" s="3">
        <v>8000000</v>
      </c>
      <c r="V726" s="7"/>
      <c r="W726" s="36"/>
      <c r="X726" s="36">
        <f t="shared" si="90"/>
        <v>0</v>
      </c>
      <c r="Y726" s="36">
        <f t="shared" si="88"/>
        <v>0</v>
      </c>
      <c r="Z726" s="36">
        <f t="shared" si="89"/>
        <v>0</v>
      </c>
      <c r="AA726" s="4"/>
      <c r="AB726" s="79"/>
    </row>
    <row r="727" spans="1:28" ht="36.6" customHeight="1" x14ac:dyDescent="0.3">
      <c r="A727" s="7"/>
      <c r="B727" s="148">
        <v>702</v>
      </c>
      <c r="C727" s="148" t="s">
        <v>2877</v>
      </c>
      <c r="D727" s="7"/>
      <c r="E727" s="5"/>
      <c r="F727" s="148" t="s">
        <v>3004</v>
      </c>
      <c r="G727" s="5"/>
      <c r="H727" s="5"/>
      <c r="I727" s="162" t="s">
        <v>3005</v>
      </c>
      <c r="J727" s="148" t="s">
        <v>24</v>
      </c>
      <c r="K727" s="148" t="s">
        <v>3006</v>
      </c>
      <c r="L727" s="14"/>
      <c r="M727" s="5"/>
      <c r="N727" s="14"/>
      <c r="O727" s="40" t="s">
        <v>3448</v>
      </c>
      <c r="P727" s="10">
        <v>40000000</v>
      </c>
      <c r="Q727" s="3"/>
      <c r="R727" s="3"/>
      <c r="S727" s="7"/>
      <c r="T727" s="30"/>
      <c r="U727" s="3">
        <v>40000000</v>
      </c>
      <c r="V727" s="7"/>
      <c r="W727" s="36"/>
      <c r="X727" s="36"/>
      <c r="Y727" s="36"/>
      <c r="Z727" s="36">
        <f t="shared" si="89"/>
        <v>0</v>
      </c>
      <c r="AA727" s="4"/>
      <c r="AB727" s="79"/>
    </row>
    <row r="728" spans="1:28" ht="31.2" x14ac:dyDescent="0.3">
      <c r="A728" s="7" t="s">
        <v>46</v>
      </c>
      <c r="B728" s="149"/>
      <c r="C728" s="149"/>
      <c r="D728" s="7" t="s">
        <v>3003</v>
      </c>
      <c r="E728" s="5"/>
      <c r="F728" s="149"/>
      <c r="G728" s="5"/>
      <c r="H728" s="5"/>
      <c r="I728" s="163"/>
      <c r="J728" s="149"/>
      <c r="K728" s="149"/>
      <c r="L728" s="14">
        <v>1219499284</v>
      </c>
      <c r="M728" s="5"/>
      <c r="N728" s="14">
        <v>15000000</v>
      </c>
      <c r="O728" s="7" t="s">
        <v>3834</v>
      </c>
      <c r="P728" s="3">
        <v>48000000</v>
      </c>
      <c r="Q728" s="3">
        <f t="shared" ref="Q728:Q775" si="91">L728+M728+N728+P728</f>
        <v>1282499284</v>
      </c>
      <c r="R728" s="3">
        <v>1219499284</v>
      </c>
      <c r="S728" s="7"/>
      <c r="T728" s="30">
        <v>15000000</v>
      </c>
      <c r="U728" s="3"/>
      <c r="V728" s="7"/>
      <c r="W728" s="36"/>
      <c r="X728" s="36">
        <f t="shared" ref="X728:X775" si="92">M728-S728</f>
        <v>0</v>
      </c>
      <c r="Y728" s="36">
        <f t="shared" ref="Y728:Y775" si="93">N728-T728</f>
        <v>0</v>
      </c>
      <c r="Z728" s="36">
        <f t="shared" si="89"/>
        <v>48000000</v>
      </c>
      <c r="AA728" s="4"/>
      <c r="AB728" s="83" t="s">
        <v>3864</v>
      </c>
    </row>
    <row r="729" spans="1:28" ht="42" x14ac:dyDescent="0.3">
      <c r="A729" s="7" t="s">
        <v>62</v>
      </c>
      <c r="B729" s="6">
        <v>703</v>
      </c>
      <c r="C729" s="7" t="s">
        <v>2877</v>
      </c>
      <c r="D729" s="7" t="s">
        <v>3007</v>
      </c>
      <c r="E729" s="7" t="s">
        <v>3008</v>
      </c>
      <c r="F729" s="7" t="s">
        <v>3009</v>
      </c>
      <c r="G729" s="7" t="s">
        <v>3010</v>
      </c>
      <c r="H729" s="5"/>
      <c r="I729" s="21" t="s">
        <v>3011</v>
      </c>
      <c r="J729" s="7" t="s">
        <v>24</v>
      </c>
      <c r="K729" s="7" t="s">
        <v>3012</v>
      </c>
      <c r="L729" s="14">
        <v>1540321022</v>
      </c>
      <c r="M729" s="14">
        <v>659051076</v>
      </c>
      <c r="N729" s="14">
        <v>15000000</v>
      </c>
      <c r="O729" s="40"/>
      <c r="P729" s="40"/>
      <c r="Q729" s="3">
        <f t="shared" si="91"/>
        <v>2214372098</v>
      </c>
      <c r="R729" s="3">
        <v>1540321022</v>
      </c>
      <c r="S729" s="7"/>
      <c r="T729" s="30">
        <v>15000000</v>
      </c>
      <c r="U729" s="7"/>
      <c r="V729" s="7"/>
      <c r="W729" s="36"/>
      <c r="X729" s="36">
        <f t="shared" si="92"/>
        <v>659051076</v>
      </c>
      <c r="Y729" s="36">
        <f t="shared" si="93"/>
        <v>0</v>
      </c>
      <c r="Z729" s="36">
        <f t="shared" si="89"/>
        <v>0</v>
      </c>
      <c r="AA729" s="4"/>
      <c r="AB729" s="79"/>
    </row>
    <row r="730" spans="1:28" ht="31.2" x14ac:dyDescent="0.3">
      <c r="A730" s="7" t="s">
        <v>62</v>
      </c>
      <c r="B730" s="6">
        <v>704</v>
      </c>
      <c r="C730" s="7" t="s">
        <v>2877</v>
      </c>
      <c r="D730" s="7" t="s">
        <v>3013</v>
      </c>
      <c r="E730" s="5"/>
      <c r="F730" s="7" t="s">
        <v>3015</v>
      </c>
      <c r="G730" s="5"/>
      <c r="H730" s="5"/>
      <c r="I730" s="21" t="s">
        <v>3016</v>
      </c>
      <c r="J730" s="7" t="s">
        <v>24</v>
      </c>
      <c r="K730" s="7" t="s">
        <v>3017</v>
      </c>
      <c r="L730" s="14">
        <v>732297702</v>
      </c>
      <c r="M730" s="5"/>
      <c r="N730" s="14">
        <v>15000000</v>
      </c>
      <c r="O730" s="40" t="s">
        <v>3014</v>
      </c>
      <c r="P730" s="10">
        <v>24000000</v>
      </c>
      <c r="Q730" s="3">
        <f t="shared" si="91"/>
        <v>771297702</v>
      </c>
      <c r="R730" s="3">
        <v>732297702</v>
      </c>
      <c r="S730" s="7"/>
      <c r="T730" s="30">
        <v>15000000</v>
      </c>
      <c r="U730" s="3">
        <v>24000000</v>
      </c>
      <c r="V730" s="7"/>
      <c r="W730" s="36"/>
      <c r="X730" s="36">
        <f t="shared" si="92"/>
        <v>0</v>
      </c>
      <c r="Y730" s="36">
        <f t="shared" si="93"/>
        <v>0</v>
      </c>
      <c r="Z730" s="36">
        <f t="shared" si="89"/>
        <v>0</v>
      </c>
      <c r="AA730" s="4"/>
      <c r="AB730" s="79"/>
    </row>
    <row r="731" spans="1:28" ht="42" x14ac:dyDescent="0.3">
      <c r="A731" s="7" t="s">
        <v>46</v>
      </c>
      <c r="B731" s="6">
        <v>705</v>
      </c>
      <c r="C731" s="7" t="s">
        <v>2877</v>
      </c>
      <c r="D731" s="7" t="s">
        <v>3018</v>
      </c>
      <c r="E731" s="5"/>
      <c r="F731" s="7" t="s">
        <v>3019</v>
      </c>
      <c r="G731" s="5"/>
      <c r="H731" s="5"/>
      <c r="I731" s="21" t="s">
        <v>3020</v>
      </c>
      <c r="J731" s="7" t="s">
        <v>24</v>
      </c>
      <c r="K731" s="7" t="s">
        <v>3021</v>
      </c>
      <c r="L731" s="14">
        <v>1040312692</v>
      </c>
      <c r="M731" s="5"/>
      <c r="N731" s="14">
        <v>7500000</v>
      </c>
      <c r="O731" s="40"/>
      <c r="P731" s="40"/>
      <c r="Q731" s="3">
        <f t="shared" si="91"/>
        <v>1047812692</v>
      </c>
      <c r="R731" s="3">
        <v>1040312692</v>
      </c>
      <c r="S731" s="7"/>
      <c r="T731" s="30">
        <v>7500000</v>
      </c>
      <c r="U731" s="7"/>
      <c r="V731" s="7"/>
      <c r="W731" s="36"/>
      <c r="X731" s="36">
        <f t="shared" si="92"/>
        <v>0</v>
      </c>
      <c r="Y731" s="36">
        <f t="shared" si="93"/>
        <v>0</v>
      </c>
      <c r="Z731" s="36">
        <f t="shared" si="89"/>
        <v>0</v>
      </c>
      <c r="AA731" s="4"/>
      <c r="AB731" s="79"/>
    </row>
    <row r="732" spans="1:28" ht="36" x14ac:dyDescent="0.3">
      <c r="A732" s="7" t="s">
        <v>46</v>
      </c>
      <c r="B732" s="6">
        <v>706</v>
      </c>
      <c r="C732" s="7" t="s">
        <v>2877</v>
      </c>
      <c r="D732" s="7" t="s">
        <v>3022</v>
      </c>
      <c r="E732" s="5"/>
      <c r="F732" s="7" t="s">
        <v>3023</v>
      </c>
      <c r="G732" s="7" t="s">
        <v>728</v>
      </c>
      <c r="H732" s="5"/>
      <c r="I732" s="46" t="s">
        <v>3024</v>
      </c>
      <c r="J732" s="7" t="s">
        <v>24</v>
      </c>
      <c r="K732" s="7" t="s">
        <v>3025</v>
      </c>
      <c r="L732" s="14">
        <v>810543033</v>
      </c>
      <c r="M732" s="5"/>
      <c r="N732" s="14">
        <v>15000000</v>
      </c>
      <c r="O732" s="40"/>
      <c r="P732" s="40"/>
      <c r="Q732" s="3">
        <f t="shared" si="91"/>
        <v>825543033</v>
      </c>
      <c r="R732" s="3">
        <v>810543033</v>
      </c>
      <c r="S732" s="7"/>
      <c r="T732" s="30">
        <v>15000000</v>
      </c>
      <c r="U732" s="7"/>
      <c r="V732" s="7"/>
      <c r="W732" s="36"/>
      <c r="X732" s="36">
        <f t="shared" si="92"/>
        <v>0</v>
      </c>
      <c r="Y732" s="36">
        <f t="shared" si="93"/>
        <v>0</v>
      </c>
      <c r="Z732" s="36">
        <f t="shared" si="89"/>
        <v>0</v>
      </c>
      <c r="AA732" s="4"/>
      <c r="AB732" s="79"/>
    </row>
    <row r="733" spans="1:28" ht="42" x14ac:dyDescent="0.3">
      <c r="A733" s="7" t="s">
        <v>46</v>
      </c>
      <c r="B733" s="6">
        <v>707</v>
      </c>
      <c r="C733" s="7" t="s">
        <v>2877</v>
      </c>
      <c r="D733" s="7" t="s">
        <v>3026</v>
      </c>
      <c r="E733" s="5"/>
      <c r="F733" s="7" t="s">
        <v>3027</v>
      </c>
      <c r="G733" s="5"/>
      <c r="H733" s="5"/>
      <c r="I733" s="21" t="s">
        <v>3028</v>
      </c>
      <c r="J733" s="7" t="s">
        <v>24</v>
      </c>
      <c r="K733" s="7" t="s">
        <v>3029</v>
      </c>
      <c r="L733" s="14">
        <v>332579306</v>
      </c>
      <c r="M733" s="5"/>
      <c r="N733" s="14">
        <v>7500000</v>
      </c>
      <c r="O733" s="40"/>
      <c r="P733" s="40"/>
      <c r="Q733" s="3">
        <f t="shared" si="91"/>
        <v>340079306</v>
      </c>
      <c r="R733" s="3">
        <v>332579306</v>
      </c>
      <c r="S733" s="7"/>
      <c r="T733" s="30">
        <v>7500000</v>
      </c>
      <c r="U733" s="7"/>
      <c r="V733" s="7"/>
      <c r="W733" s="36"/>
      <c r="X733" s="36">
        <f t="shared" si="92"/>
        <v>0</v>
      </c>
      <c r="Y733" s="36">
        <f t="shared" si="93"/>
        <v>0</v>
      </c>
      <c r="Z733" s="36">
        <f t="shared" si="89"/>
        <v>0</v>
      </c>
      <c r="AA733" s="4"/>
      <c r="AB733" s="79"/>
    </row>
    <row r="734" spans="1:28" ht="46.8" x14ac:dyDescent="0.3">
      <c r="A734" s="7" t="s">
        <v>46</v>
      </c>
      <c r="B734" s="6">
        <v>708</v>
      </c>
      <c r="C734" s="7" t="s">
        <v>2877</v>
      </c>
      <c r="D734" s="7" t="s">
        <v>3030</v>
      </c>
      <c r="E734" s="5"/>
      <c r="F734" s="7" t="s">
        <v>3031</v>
      </c>
      <c r="G734" s="5"/>
      <c r="H734" s="5"/>
      <c r="I734" s="21" t="s">
        <v>3032</v>
      </c>
      <c r="J734" s="7" t="s">
        <v>24</v>
      </c>
      <c r="K734" s="7" t="s">
        <v>3033</v>
      </c>
      <c r="L734" s="14">
        <v>72618840</v>
      </c>
      <c r="M734" s="5"/>
      <c r="N734" s="14">
        <v>7500000</v>
      </c>
      <c r="O734" s="40"/>
      <c r="P734" s="40"/>
      <c r="Q734" s="3">
        <f t="shared" si="91"/>
        <v>80118840</v>
      </c>
      <c r="R734" s="3">
        <v>72618840</v>
      </c>
      <c r="S734" s="7"/>
      <c r="T734" s="30">
        <v>7500000</v>
      </c>
      <c r="U734" s="7"/>
      <c r="V734" s="7"/>
      <c r="W734" s="36"/>
      <c r="X734" s="36">
        <f t="shared" si="92"/>
        <v>0</v>
      </c>
      <c r="Y734" s="36">
        <f t="shared" si="93"/>
        <v>0</v>
      </c>
      <c r="Z734" s="36">
        <f t="shared" si="89"/>
        <v>0</v>
      </c>
      <c r="AA734" s="4"/>
      <c r="AB734" s="79"/>
    </row>
    <row r="735" spans="1:28" ht="42" x14ac:dyDescent="0.3">
      <c r="A735" s="7" t="s">
        <v>46</v>
      </c>
      <c r="B735" s="6">
        <v>709</v>
      </c>
      <c r="C735" s="7" t="s">
        <v>2877</v>
      </c>
      <c r="D735" s="7" t="s">
        <v>3034</v>
      </c>
      <c r="E735" s="5"/>
      <c r="F735" s="7" t="s">
        <v>3035</v>
      </c>
      <c r="G735" s="7" t="s">
        <v>27</v>
      </c>
      <c r="H735" s="5"/>
      <c r="I735" s="21" t="s">
        <v>3036</v>
      </c>
      <c r="J735" s="7" t="s">
        <v>24</v>
      </c>
      <c r="K735" s="7" t="s">
        <v>3037</v>
      </c>
      <c r="L735" s="14">
        <v>2877293872</v>
      </c>
      <c r="M735" s="5"/>
      <c r="N735" s="14">
        <v>15000000</v>
      </c>
      <c r="O735" s="40" t="s">
        <v>2139</v>
      </c>
      <c r="P735" s="10">
        <v>32000000</v>
      </c>
      <c r="Q735" s="3">
        <f t="shared" si="91"/>
        <v>2924293872</v>
      </c>
      <c r="R735" s="3">
        <v>2877293872</v>
      </c>
      <c r="S735" s="7"/>
      <c r="T735" s="30">
        <v>15000000</v>
      </c>
      <c r="U735" s="3">
        <v>32000000</v>
      </c>
      <c r="V735" s="7"/>
      <c r="W735" s="36"/>
      <c r="X735" s="36">
        <f t="shared" si="92"/>
        <v>0</v>
      </c>
      <c r="Y735" s="36">
        <f t="shared" si="93"/>
        <v>0</v>
      </c>
      <c r="Z735" s="36">
        <f t="shared" si="89"/>
        <v>0</v>
      </c>
      <c r="AA735" s="4"/>
      <c r="AB735" s="79"/>
    </row>
    <row r="736" spans="1:28" ht="31.2" x14ac:dyDescent="0.3">
      <c r="A736" s="7" t="s">
        <v>46</v>
      </c>
      <c r="B736" s="6">
        <v>710</v>
      </c>
      <c r="C736" s="7" t="s">
        <v>2877</v>
      </c>
      <c r="D736" s="7" t="s">
        <v>3038</v>
      </c>
      <c r="E736" s="5"/>
      <c r="F736" s="7" t="s">
        <v>3039</v>
      </c>
      <c r="G736" s="7" t="s">
        <v>3040</v>
      </c>
      <c r="H736" s="5"/>
      <c r="I736" s="21" t="s">
        <v>3041</v>
      </c>
      <c r="J736" s="7" t="s">
        <v>24</v>
      </c>
      <c r="K736" s="7" t="s">
        <v>2524</v>
      </c>
      <c r="L736" s="14">
        <v>3969631000</v>
      </c>
      <c r="M736" s="5"/>
      <c r="N736" s="14">
        <v>15000000</v>
      </c>
      <c r="O736" s="40"/>
      <c r="P736" s="40"/>
      <c r="Q736" s="3">
        <f t="shared" si="91"/>
        <v>3984631000</v>
      </c>
      <c r="R736" s="3">
        <v>3969631000</v>
      </c>
      <c r="S736" s="7"/>
      <c r="T736" s="30">
        <v>15000000</v>
      </c>
      <c r="U736" s="7"/>
      <c r="V736" s="7"/>
      <c r="W736" s="36"/>
      <c r="X736" s="36">
        <f t="shared" si="92"/>
        <v>0</v>
      </c>
      <c r="Y736" s="36">
        <f t="shared" si="93"/>
        <v>0</v>
      </c>
      <c r="Z736" s="36">
        <f t="shared" si="89"/>
        <v>0</v>
      </c>
      <c r="AA736" s="4"/>
      <c r="AB736" s="79"/>
    </row>
    <row r="737" spans="1:28" ht="42" x14ac:dyDescent="0.3">
      <c r="A737" s="7" t="s">
        <v>18</v>
      </c>
      <c r="B737" s="6">
        <v>711</v>
      </c>
      <c r="C737" s="7" t="s">
        <v>2877</v>
      </c>
      <c r="D737" s="7" t="s">
        <v>3042</v>
      </c>
      <c r="E737" s="5"/>
      <c r="F737" s="7" t="s">
        <v>3043</v>
      </c>
      <c r="G737" s="7" t="s">
        <v>681</v>
      </c>
      <c r="H737" s="5"/>
      <c r="I737" s="21" t="s">
        <v>3044</v>
      </c>
      <c r="J737" s="7" t="s">
        <v>24</v>
      </c>
      <c r="K737" s="7" t="s">
        <v>3045</v>
      </c>
      <c r="L737" s="14">
        <v>770926012</v>
      </c>
      <c r="M737" s="5"/>
      <c r="N737" s="14">
        <v>15000000</v>
      </c>
      <c r="O737" s="40" t="s">
        <v>691</v>
      </c>
      <c r="P737" s="10">
        <v>17866669</v>
      </c>
      <c r="Q737" s="3">
        <f t="shared" si="91"/>
        <v>803792681</v>
      </c>
      <c r="R737" s="3">
        <v>770926012</v>
      </c>
      <c r="S737" s="7"/>
      <c r="T737" s="30">
        <v>15000000</v>
      </c>
      <c r="U737" s="3">
        <v>17866669</v>
      </c>
      <c r="V737" s="7"/>
      <c r="W737" s="36"/>
      <c r="X737" s="36">
        <f t="shared" si="92"/>
        <v>0</v>
      </c>
      <c r="Y737" s="36">
        <f t="shared" si="93"/>
        <v>0</v>
      </c>
      <c r="Z737" s="36">
        <f t="shared" si="89"/>
        <v>0</v>
      </c>
      <c r="AA737" s="4"/>
      <c r="AB737" s="79"/>
    </row>
    <row r="738" spans="1:28" ht="31.2" x14ac:dyDescent="0.3">
      <c r="A738" s="7"/>
      <c r="B738" s="148">
        <v>712</v>
      </c>
      <c r="C738" s="148" t="s">
        <v>2877</v>
      </c>
      <c r="D738" s="7"/>
      <c r="E738" s="5"/>
      <c r="F738" s="148" t="s">
        <v>3048</v>
      </c>
      <c r="G738" s="7"/>
      <c r="H738" s="5"/>
      <c r="I738" s="150" t="s">
        <v>3049</v>
      </c>
      <c r="J738" s="148" t="s">
        <v>24</v>
      </c>
      <c r="K738" s="148" t="s">
        <v>3050</v>
      </c>
      <c r="L738" s="14"/>
      <c r="M738" s="5"/>
      <c r="N738" s="14"/>
      <c r="O738" s="40" t="s">
        <v>3866</v>
      </c>
      <c r="P738" s="10">
        <v>60000000</v>
      </c>
      <c r="Q738" s="3"/>
      <c r="R738" s="3"/>
      <c r="S738" s="7"/>
      <c r="T738" s="30"/>
      <c r="U738" s="3">
        <v>60000000</v>
      </c>
      <c r="V738" s="7"/>
      <c r="W738" s="36"/>
      <c r="X738" s="36"/>
      <c r="Y738" s="36"/>
      <c r="Z738" s="36">
        <f t="shared" si="89"/>
        <v>0</v>
      </c>
      <c r="AA738" s="4"/>
      <c r="AB738" s="79"/>
    </row>
    <row r="739" spans="1:28" ht="31.2" x14ac:dyDescent="0.3">
      <c r="A739" s="7" t="s">
        <v>62</v>
      </c>
      <c r="B739" s="149"/>
      <c r="C739" s="149"/>
      <c r="D739" s="7" t="s">
        <v>3046</v>
      </c>
      <c r="E739" s="5"/>
      <c r="F739" s="149"/>
      <c r="G739" s="5"/>
      <c r="H739" s="5"/>
      <c r="I739" s="151"/>
      <c r="J739" s="149"/>
      <c r="K739" s="149"/>
      <c r="L739" s="14">
        <v>1080696928</v>
      </c>
      <c r="M739" s="5"/>
      <c r="N739" s="14">
        <v>15000000</v>
      </c>
      <c r="O739" s="40" t="s">
        <v>3865</v>
      </c>
      <c r="P739" s="10">
        <v>60000000</v>
      </c>
      <c r="Q739" s="3">
        <f t="shared" si="91"/>
        <v>1155696928</v>
      </c>
      <c r="R739" s="3">
        <v>1080696928</v>
      </c>
      <c r="S739" s="7"/>
      <c r="T739" s="30">
        <v>15000000</v>
      </c>
      <c r="U739" s="3"/>
      <c r="V739" s="7"/>
      <c r="W739" s="36"/>
      <c r="X739" s="36">
        <f t="shared" si="92"/>
        <v>0</v>
      </c>
      <c r="Y739" s="36">
        <f t="shared" si="93"/>
        <v>0</v>
      </c>
      <c r="Z739" s="36">
        <f t="shared" si="89"/>
        <v>60000000</v>
      </c>
      <c r="AA739" s="4"/>
      <c r="AB739" s="80" t="s">
        <v>3864</v>
      </c>
    </row>
    <row r="740" spans="1:28" ht="63" x14ac:dyDescent="0.3">
      <c r="A740" s="7" t="s">
        <v>62</v>
      </c>
      <c r="B740" s="6">
        <v>713</v>
      </c>
      <c r="C740" s="7" t="s">
        <v>2877</v>
      </c>
      <c r="D740" s="7" t="s">
        <v>3051</v>
      </c>
      <c r="E740" s="7" t="s">
        <v>3052</v>
      </c>
      <c r="F740" s="7" t="s">
        <v>3053</v>
      </c>
      <c r="G740" s="7" t="s">
        <v>3054</v>
      </c>
      <c r="H740" s="5"/>
      <c r="I740" s="21" t="s">
        <v>3055</v>
      </c>
      <c r="J740" s="7" t="s">
        <v>24</v>
      </c>
      <c r="K740" s="7" t="s">
        <v>2856</v>
      </c>
      <c r="L740" s="14">
        <v>560918363</v>
      </c>
      <c r="M740" s="14">
        <v>113902001</v>
      </c>
      <c r="N740" s="14">
        <v>15000000</v>
      </c>
      <c r="O740" s="40"/>
      <c r="P740" s="40"/>
      <c r="Q740" s="3">
        <f t="shared" si="91"/>
        <v>689820364</v>
      </c>
      <c r="R740" s="3">
        <v>560918363</v>
      </c>
      <c r="S740" s="3">
        <v>113902001</v>
      </c>
      <c r="T740" s="30">
        <v>15000000</v>
      </c>
      <c r="U740" s="7"/>
      <c r="V740" s="7"/>
      <c r="W740" s="36"/>
      <c r="X740" s="36">
        <f t="shared" si="92"/>
        <v>0</v>
      </c>
      <c r="Y740" s="36">
        <f t="shared" si="93"/>
        <v>0</v>
      </c>
      <c r="Z740" s="36">
        <f t="shared" si="89"/>
        <v>0</v>
      </c>
      <c r="AA740" s="4"/>
      <c r="AB740" s="79"/>
    </row>
    <row r="741" spans="1:28" ht="42" x14ac:dyDescent="0.3">
      <c r="A741" s="7" t="s">
        <v>62</v>
      </c>
      <c r="B741" s="6">
        <v>714</v>
      </c>
      <c r="C741" s="7" t="s">
        <v>2877</v>
      </c>
      <c r="D741" s="7" t="s">
        <v>3056</v>
      </c>
      <c r="E741" s="7" t="s">
        <v>3057</v>
      </c>
      <c r="F741" s="7" t="s">
        <v>3058</v>
      </c>
      <c r="G741" s="7" t="s">
        <v>3059</v>
      </c>
      <c r="H741" s="5"/>
      <c r="I741" s="21" t="s">
        <v>3060</v>
      </c>
      <c r="J741" s="7" t="s">
        <v>24</v>
      </c>
      <c r="K741" s="7" t="s">
        <v>3061</v>
      </c>
      <c r="L741" s="14">
        <v>905632360</v>
      </c>
      <c r="M741" s="14">
        <v>164705380</v>
      </c>
      <c r="N741" s="14">
        <v>15000000</v>
      </c>
      <c r="O741" s="40"/>
      <c r="P741" s="40"/>
      <c r="Q741" s="3">
        <f t="shared" si="91"/>
        <v>1085337740</v>
      </c>
      <c r="R741" s="3">
        <v>905632360</v>
      </c>
      <c r="S741" s="3">
        <v>164705380</v>
      </c>
      <c r="T741" s="30">
        <v>15000000</v>
      </c>
      <c r="U741" s="7"/>
      <c r="V741" s="7"/>
      <c r="W741" s="36"/>
      <c r="X741" s="36">
        <f t="shared" si="92"/>
        <v>0</v>
      </c>
      <c r="Y741" s="36">
        <f t="shared" si="93"/>
        <v>0</v>
      </c>
      <c r="Z741" s="36">
        <f t="shared" si="89"/>
        <v>0</v>
      </c>
      <c r="AA741" s="4"/>
      <c r="AB741" s="79"/>
    </row>
    <row r="742" spans="1:28" ht="31.2" x14ac:dyDescent="0.3">
      <c r="A742" s="7" t="s">
        <v>46</v>
      </c>
      <c r="B742" s="6">
        <v>715</v>
      </c>
      <c r="C742" s="7" t="s">
        <v>2877</v>
      </c>
      <c r="D742" s="7" t="s">
        <v>3062</v>
      </c>
      <c r="E742" s="7" t="s">
        <v>3063</v>
      </c>
      <c r="F742" s="7" t="s">
        <v>3064</v>
      </c>
      <c r="G742" s="7" t="s">
        <v>3065</v>
      </c>
      <c r="H742" s="5"/>
      <c r="I742" s="21" t="s">
        <v>3066</v>
      </c>
      <c r="J742" s="7" t="s">
        <v>24</v>
      </c>
      <c r="K742" s="7" t="s">
        <v>3067</v>
      </c>
      <c r="L742" s="14">
        <v>366299104</v>
      </c>
      <c r="M742" s="14">
        <v>60646656</v>
      </c>
      <c r="N742" s="14">
        <v>15000000</v>
      </c>
      <c r="O742" s="40"/>
      <c r="P742" s="40"/>
      <c r="Q742" s="3">
        <f t="shared" si="91"/>
        <v>441945760</v>
      </c>
      <c r="R742" s="3">
        <v>366299104</v>
      </c>
      <c r="S742" s="7"/>
      <c r="T742" s="30">
        <v>15000000</v>
      </c>
      <c r="U742" s="7"/>
      <c r="V742" s="7"/>
      <c r="W742" s="36"/>
      <c r="X742" s="36">
        <f t="shared" si="92"/>
        <v>60646656</v>
      </c>
      <c r="Y742" s="36">
        <f t="shared" si="93"/>
        <v>0</v>
      </c>
      <c r="Z742" s="36">
        <f t="shared" si="89"/>
        <v>0</v>
      </c>
      <c r="AA742" s="4"/>
      <c r="AB742" s="79"/>
    </row>
    <row r="743" spans="1:28" ht="63" x14ac:dyDescent="0.3">
      <c r="A743" s="7" t="s">
        <v>46</v>
      </c>
      <c r="B743" s="6">
        <v>716</v>
      </c>
      <c r="C743" s="7" t="s">
        <v>2877</v>
      </c>
      <c r="D743" s="7" t="s">
        <v>3068</v>
      </c>
      <c r="E743" s="5"/>
      <c r="F743" s="7" t="s">
        <v>3069</v>
      </c>
      <c r="G743" s="5"/>
      <c r="H743" s="5"/>
      <c r="I743" s="21" t="s">
        <v>3070</v>
      </c>
      <c r="J743" s="7" t="s">
        <v>24</v>
      </c>
      <c r="K743" s="7" t="s">
        <v>3071</v>
      </c>
      <c r="L743" s="14">
        <v>4243700000</v>
      </c>
      <c r="M743" s="5"/>
      <c r="N743" s="14">
        <v>15000000</v>
      </c>
      <c r="O743" s="40"/>
      <c r="P743" s="40"/>
      <c r="Q743" s="3">
        <f t="shared" si="91"/>
        <v>4258700000</v>
      </c>
      <c r="R743" s="3">
        <v>4243700000</v>
      </c>
      <c r="S743" s="7"/>
      <c r="T743" s="30">
        <v>15000000</v>
      </c>
      <c r="U743" s="7"/>
      <c r="V743" s="7"/>
      <c r="W743" s="36"/>
      <c r="X743" s="36">
        <f t="shared" si="92"/>
        <v>0</v>
      </c>
      <c r="Y743" s="36">
        <f t="shared" si="93"/>
        <v>0</v>
      </c>
      <c r="Z743" s="36">
        <f t="shared" si="89"/>
        <v>0</v>
      </c>
      <c r="AA743" s="4"/>
      <c r="AB743" s="79"/>
    </row>
    <row r="744" spans="1:28" ht="63" x14ac:dyDescent="0.3">
      <c r="A744" s="7" t="s">
        <v>46</v>
      </c>
      <c r="B744" s="6">
        <v>717</v>
      </c>
      <c r="C744" s="7" t="s">
        <v>2877</v>
      </c>
      <c r="D744" s="7" t="s">
        <v>3072</v>
      </c>
      <c r="E744" s="7" t="s">
        <v>3073</v>
      </c>
      <c r="F744" s="7" t="s">
        <v>3074</v>
      </c>
      <c r="G744" s="7" t="s">
        <v>3075</v>
      </c>
      <c r="H744" s="5"/>
      <c r="I744" s="21" t="s">
        <v>3070</v>
      </c>
      <c r="J744" s="7" t="s">
        <v>24</v>
      </c>
      <c r="K744" s="7" t="s">
        <v>3076</v>
      </c>
      <c r="L744" s="14">
        <v>2565803620</v>
      </c>
      <c r="M744" s="3">
        <v>861892128</v>
      </c>
      <c r="N744" s="14">
        <v>15000000</v>
      </c>
      <c r="O744" s="40"/>
      <c r="P744" s="40"/>
      <c r="Q744" s="3">
        <f t="shared" si="91"/>
        <v>3442695748</v>
      </c>
      <c r="R744" s="3">
        <v>2565803620</v>
      </c>
      <c r="S744" s="3">
        <v>861892128</v>
      </c>
      <c r="T744" s="30">
        <v>15000000</v>
      </c>
      <c r="U744" s="7"/>
      <c r="V744" s="7"/>
      <c r="W744" s="36"/>
      <c r="X744" s="36">
        <f t="shared" si="92"/>
        <v>0</v>
      </c>
      <c r="Y744" s="36">
        <f t="shared" si="93"/>
        <v>0</v>
      </c>
      <c r="Z744" s="36">
        <f t="shared" si="89"/>
        <v>0</v>
      </c>
      <c r="AA744" s="4"/>
      <c r="AB744" s="79"/>
    </row>
    <row r="745" spans="1:28" ht="62.4" x14ac:dyDescent="0.3">
      <c r="A745" s="7" t="s">
        <v>1601</v>
      </c>
      <c r="B745" s="6">
        <v>718</v>
      </c>
      <c r="C745" s="7" t="s">
        <v>2877</v>
      </c>
      <c r="D745" s="7" t="s">
        <v>3077</v>
      </c>
      <c r="E745" s="7" t="s">
        <v>3079</v>
      </c>
      <c r="F745" s="7" t="s">
        <v>3080</v>
      </c>
      <c r="G745" s="7" t="s">
        <v>3081</v>
      </c>
      <c r="H745" s="5"/>
      <c r="I745" s="21" t="s">
        <v>3082</v>
      </c>
      <c r="J745" s="7" t="s">
        <v>24</v>
      </c>
      <c r="K745" s="7" t="s">
        <v>3083</v>
      </c>
      <c r="L745" s="14">
        <v>1085076464</v>
      </c>
      <c r="M745" s="14">
        <v>254396436</v>
      </c>
      <c r="N745" s="14">
        <v>15000000</v>
      </c>
      <c r="O745" s="40" t="s">
        <v>3078</v>
      </c>
      <c r="P745" s="10">
        <v>72000000</v>
      </c>
      <c r="Q745" s="3">
        <f t="shared" si="91"/>
        <v>1426472900</v>
      </c>
      <c r="R745" s="36">
        <v>1085076464</v>
      </c>
      <c r="S745" s="3">
        <v>254396436</v>
      </c>
      <c r="T745" s="30">
        <v>15000000</v>
      </c>
      <c r="U745" s="3">
        <v>24000000</v>
      </c>
      <c r="V745" s="7"/>
      <c r="W745" s="36"/>
      <c r="X745" s="36">
        <f t="shared" si="92"/>
        <v>0</v>
      </c>
      <c r="Y745" s="36">
        <f t="shared" si="93"/>
        <v>0</v>
      </c>
      <c r="Z745" s="36">
        <f t="shared" si="89"/>
        <v>48000000</v>
      </c>
      <c r="AA745" s="4"/>
      <c r="AB745" s="80" t="s">
        <v>3822</v>
      </c>
    </row>
    <row r="746" spans="1:28" ht="42" x14ac:dyDescent="0.3">
      <c r="A746" s="7" t="s">
        <v>46</v>
      </c>
      <c r="B746" s="6">
        <v>719</v>
      </c>
      <c r="C746" s="7" t="s">
        <v>2877</v>
      </c>
      <c r="D746" s="7" t="s">
        <v>3084</v>
      </c>
      <c r="E746" s="5"/>
      <c r="F746" s="7" t="s">
        <v>3085</v>
      </c>
      <c r="G746" s="5"/>
      <c r="H746" s="5"/>
      <c r="I746" s="21" t="s">
        <v>3086</v>
      </c>
      <c r="J746" s="7" t="s">
        <v>24</v>
      </c>
      <c r="K746" s="7" t="s">
        <v>3087</v>
      </c>
      <c r="L746" s="14">
        <v>6447053210</v>
      </c>
      <c r="M746" s="5"/>
      <c r="N746" s="14">
        <v>7500000</v>
      </c>
      <c r="O746" s="40"/>
      <c r="P746" s="40"/>
      <c r="Q746" s="3">
        <f t="shared" si="91"/>
        <v>6454553210</v>
      </c>
      <c r="R746" s="3">
        <v>6447053210</v>
      </c>
      <c r="S746" s="7"/>
      <c r="T746" s="30">
        <v>7500000</v>
      </c>
      <c r="U746" s="7"/>
      <c r="V746" s="7"/>
      <c r="W746" s="36"/>
      <c r="X746" s="36">
        <f t="shared" si="92"/>
        <v>0</v>
      </c>
      <c r="Y746" s="36">
        <f t="shared" si="93"/>
        <v>0</v>
      </c>
      <c r="Z746" s="36">
        <f t="shared" si="89"/>
        <v>0</v>
      </c>
      <c r="AA746" s="4"/>
      <c r="AB746" s="79"/>
    </row>
    <row r="747" spans="1:28" ht="62.4" x14ac:dyDescent="0.3">
      <c r="A747" s="7" t="s">
        <v>18</v>
      </c>
      <c r="B747" s="6">
        <v>720</v>
      </c>
      <c r="C747" s="7" t="s">
        <v>2877</v>
      </c>
      <c r="D747" s="7" t="s">
        <v>3088</v>
      </c>
      <c r="E747" s="5"/>
      <c r="F747" s="7" t="s">
        <v>3090</v>
      </c>
      <c r="G747" s="5"/>
      <c r="H747" s="5"/>
      <c r="I747" s="21" t="s">
        <v>3091</v>
      </c>
      <c r="J747" s="7" t="s">
        <v>24</v>
      </c>
      <c r="K747" s="7" t="s">
        <v>3092</v>
      </c>
      <c r="L747" s="14">
        <v>268708240</v>
      </c>
      <c r="M747" s="5"/>
      <c r="N747" s="14">
        <v>15000000</v>
      </c>
      <c r="O747" s="40" t="s">
        <v>3089</v>
      </c>
      <c r="P747" s="10">
        <v>72000000</v>
      </c>
      <c r="Q747" s="3">
        <f t="shared" si="91"/>
        <v>355708240</v>
      </c>
      <c r="R747" s="3">
        <v>268708240</v>
      </c>
      <c r="S747" s="7"/>
      <c r="T747" s="30">
        <v>15000000</v>
      </c>
      <c r="U747" s="3">
        <v>24000000</v>
      </c>
      <c r="V747" s="7"/>
      <c r="W747" s="36"/>
      <c r="X747" s="36">
        <f t="shared" si="92"/>
        <v>0</v>
      </c>
      <c r="Y747" s="36">
        <f t="shared" si="93"/>
        <v>0</v>
      </c>
      <c r="Z747" s="36">
        <f t="shared" si="89"/>
        <v>48000000</v>
      </c>
      <c r="AA747" s="4"/>
      <c r="AB747" s="80" t="s">
        <v>3822</v>
      </c>
    </row>
    <row r="748" spans="1:28" ht="63" x14ac:dyDescent="0.4">
      <c r="A748" s="7" t="s">
        <v>62</v>
      </c>
      <c r="B748" s="6">
        <v>721</v>
      </c>
      <c r="C748" s="7" t="s">
        <v>2877</v>
      </c>
      <c r="D748" s="7" t="s">
        <v>3093</v>
      </c>
      <c r="E748" s="5"/>
      <c r="F748" s="7" t="s">
        <v>3094</v>
      </c>
      <c r="G748" s="5"/>
      <c r="H748" s="5"/>
      <c r="I748" s="21" t="s">
        <v>3095</v>
      </c>
      <c r="J748" s="7" t="s">
        <v>24</v>
      </c>
      <c r="K748" s="7" t="s">
        <v>3096</v>
      </c>
      <c r="L748" s="14">
        <v>1242447888</v>
      </c>
      <c r="M748" s="5"/>
      <c r="N748" s="14">
        <v>7500000</v>
      </c>
      <c r="O748" s="40"/>
      <c r="P748" s="40"/>
      <c r="Q748" s="3">
        <f t="shared" si="91"/>
        <v>1249947888</v>
      </c>
      <c r="R748" s="7"/>
      <c r="S748" s="7"/>
      <c r="T748" s="72"/>
      <c r="U748" s="7"/>
      <c r="V748" s="7"/>
      <c r="W748" s="36">
        <v>1242447888</v>
      </c>
      <c r="X748" s="36">
        <f t="shared" si="92"/>
        <v>0</v>
      </c>
      <c r="Y748" s="36">
        <f t="shared" si="93"/>
        <v>7500000</v>
      </c>
      <c r="Z748" s="36">
        <f t="shared" si="89"/>
        <v>0</v>
      </c>
      <c r="AA748" s="16">
        <v>1242447888</v>
      </c>
      <c r="AB748" s="79"/>
    </row>
    <row r="749" spans="1:28" ht="31.2" x14ac:dyDescent="0.3">
      <c r="A749" s="7" t="s">
        <v>46</v>
      </c>
      <c r="B749" s="6">
        <v>722</v>
      </c>
      <c r="C749" s="7" t="s">
        <v>2877</v>
      </c>
      <c r="D749" s="7" t="s">
        <v>3097</v>
      </c>
      <c r="E749" s="7" t="s">
        <v>3098</v>
      </c>
      <c r="F749" s="7" t="s">
        <v>3099</v>
      </c>
      <c r="G749" s="7" t="s">
        <v>3100</v>
      </c>
      <c r="H749" s="5"/>
      <c r="I749" s="21" t="s">
        <v>3101</v>
      </c>
      <c r="J749" s="7" t="s">
        <v>24</v>
      </c>
      <c r="K749" s="7" t="s">
        <v>2856</v>
      </c>
      <c r="L749" s="14">
        <v>505786413</v>
      </c>
      <c r="M749" s="14">
        <v>205440547</v>
      </c>
      <c r="N749" s="14">
        <v>15000000</v>
      </c>
      <c r="O749" s="40"/>
      <c r="P749" s="40"/>
      <c r="Q749" s="3">
        <f t="shared" si="91"/>
        <v>726226960</v>
      </c>
      <c r="R749" s="3">
        <v>505786413</v>
      </c>
      <c r="S749" s="3">
        <v>205440547</v>
      </c>
      <c r="T749" s="30">
        <v>15000000</v>
      </c>
      <c r="U749" s="7"/>
      <c r="V749" s="7"/>
      <c r="W749" s="36"/>
      <c r="X749" s="36">
        <f t="shared" si="92"/>
        <v>0</v>
      </c>
      <c r="Y749" s="36">
        <f t="shared" si="93"/>
        <v>0</v>
      </c>
      <c r="Z749" s="36">
        <f t="shared" si="89"/>
        <v>0</v>
      </c>
      <c r="AA749" s="4"/>
      <c r="AB749" s="79"/>
    </row>
    <row r="750" spans="1:28" ht="42" x14ac:dyDescent="0.3">
      <c r="A750" s="7" t="s">
        <v>62</v>
      </c>
      <c r="B750" s="6">
        <v>723</v>
      </c>
      <c r="C750" s="7" t="s">
        <v>2877</v>
      </c>
      <c r="D750" s="7" t="s">
        <v>3102</v>
      </c>
      <c r="E750" s="5"/>
      <c r="F750" s="7" t="s">
        <v>3103</v>
      </c>
      <c r="G750" s="5"/>
      <c r="H750" s="5"/>
      <c r="I750" s="21" t="s">
        <v>3104</v>
      </c>
      <c r="J750" s="7" t="s">
        <v>24</v>
      </c>
      <c r="K750" s="7" t="s">
        <v>3105</v>
      </c>
      <c r="L750" s="14">
        <v>5071257372</v>
      </c>
      <c r="M750" s="5"/>
      <c r="N750" s="14">
        <v>7500000</v>
      </c>
      <c r="O750" s="40"/>
      <c r="P750" s="40"/>
      <c r="Q750" s="3">
        <f t="shared" si="91"/>
        <v>5078757372</v>
      </c>
      <c r="R750" s="3">
        <v>5071257372</v>
      </c>
      <c r="S750" s="7"/>
      <c r="T750" s="30">
        <v>7500000</v>
      </c>
      <c r="U750" s="7"/>
      <c r="V750" s="7"/>
      <c r="W750" s="36"/>
      <c r="X750" s="36">
        <f t="shared" si="92"/>
        <v>0</v>
      </c>
      <c r="Y750" s="36">
        <f t="shared" si="93"/>
        <v>0</v>
      </c>
      <c r="Z750" s="36">
        <f t="shared" si="89"/>
        <v>0</v>
      </c>
      <c r="AA750" s="4"/>
      <c r="AB750" s="79"/>
    </row>
    <row r="751" spans="1:28" ht="42" x14ac:dyDescent="0.3">
      <c r="A751" s="7" t="s">
        <v>18</v>
      </c>
      <c r="B751" s="6">
        <v>724</v>
      </c>
      <c r="C751" s="7" t="s">
        <v>2877</v>
      </c>
      <c r="D751" s="7" t="s">
        <v>3106</v>
      </c>
      <c r="E751" s="5"/>
      <c r="F751" s="7" t="s">
        <v>3107</v>
      </c>
      <c r="G751" s="5"/>
      <c r="H751" s="5"/>
      <c r="I751" s="21" t="s">
        <v>3108</v>
      </c>
      <c r="J751" s="7" t="s">
        <v>24</v>
      </c>
      <c r="K751" s="7" t="s">
        <v>3109</v>
      </c>
      <c r="L751" s="14">
        <v>835979508</v>
      </c>
      <c r="M751" s="5"/>
      <c r="N751" s="14">
        <v>7500000</v>
      </c>
      <c r="O751" s="40"/>
      <c r="P751" s="40"/>
      <c r="Q751" s="3">
        <f t="shared" si="91"/>
        <v>843479508</v>
      </c>
      <c r="R751" s="3">
        <v>835979508</v>
      </c>
      <c r="S751" s="7"/>
      <c r="T751" s="30">
        <v>7500000</v>
      </c>
      <c r="U751" s="7"/>
      <c r="V751" s="7"/>
      <c r="W751" s="36"/>
      <c r="X751" s="36">
        <f t="shared" si="92"/>
        <v>0</v>
      </c>
      <c r="Y751" s="36">
        <f t="shared" si="93"/>
        <v>0</v>
      </c>
      <c r="Z751" s="36">
        <f t="shared" si="89"/>
        <v>0</v>
      </c>
      <c r="AA751" s="4"/>
      <c r="AB751" s="79"/>
    </row>
    <row r="752" spans="1:28" ht="42" x14ac:dyDescent="0.3">
      <c r="A752" s="7" t="s">
        <v>1601</v>
      </c>
      <c r="B752" s="6">
        <v>725</v>
      </c>
      <c r="C752" s="7" t="s">
        <v>2877</v>
      </c>
      <c r="D752" s="7" t="s">
        <v>3110</v>
      </c>
      <c r="E752" s="5"/>
      <c r="F752" s="7" t="s">
        <v>3111</v>
      </c>
      <c r="G752" s="5"/>
      <c r="H752" s="5"/>
      <c r="I752" s="21" t="s">
        <v>3112</v>
      </c>
      <c r="J752" s="7" t="s">
        <v>24</v>
      </c>
      <c r="K752" s="7" t="s">
        <v>3113</v>
      </c>
      <c r="L752" s="14">
        <v>1687785424</v>
      </c>
      <c r="M752" s="5"/>
      <c r="N752" s="14">
        <v>15000000</v>
      </c>
      <c r="O752" s="40"/>
      <c r="P752" s="40"/>
      <c r="Q752" s="3">
        <f t="shared" si="91"/>
        <v>1702785424</v>
      </c>
      <c r="R752" s="36">
        <v>1687785424</v>
      </c>
      <c r="S752" s="7"/>
      <c r="T752" s="30">
        <v>15000000</v>
      </c>
      <c r="U752" s="7"/>
      <c r="V752" s="7"/>
      <c r="W752" s="36"/>
      <c r="X752" s="36">
        <f t="shared" si="92"/>
        <v>0</v>
      </c>
      <c r="Y752" s="36">
        <f t="shared" si="93"/>
        <v>0</v>
      </c>
      <c r="Z752" s="36">
        <f t="shared" si="89"/>
        <v>0</v>
      </c>
      <c r="AA752" s="4"/>
      <c r="AB752" s="79"/>
    </row>
    <row r="753" spans="1:28" ht="31.2" x14ac:dyDescent="0.3">
      <c r="A753" s="7"/>
      <c r="B753" s="148">
        <v>726</v>
      </c>
      <c r="C753" s="148" t="s">
        <v>2877</v>
      </c>
      <c r="D753" s="7"/>
      <c r="E753" s="5"/>
      <c r="F753" s="148" t="s">
        <v>3116</v>
      </c>
      <c r="G753" s="5"/>
      <c r="H753" s="5"/>
      <c r="I753" s="150" t="s">
        <v>321</v>
      </c>
      <c r="J753" s="148" t="s">
        <v>24</v>
      </c>
      <c r="K753" s="148" t="s">
        <v>3117</v>
      </c>
      <c r="L753" s="14"/>
      <c r="M753" s="5"/>
      <c r="N753" s="14"/>
      <c r="O753" s="40" t="s">
        <v>3867</v>
      </c>
      <c r="P753" s="3">
        <v>36000000</v>
      </c>
      <c r="Q753" s="3"/>
      <c r="R753" s="36"/>
      <c r="S753" s="7"/>
      <c r="T753" s="30"/>
      <c r="U753" s="3">
        <v>36000000</v>
      </c>
      <c r="V753" s="7"/>
      <c r="W753" s="36"/>
      <c r="X753" s="36"/>
      <c r="Y753" s="36"/>
      <c r="Z753" s="36">
        <f t="shared" si="89"/>
        <v>0</v>
      </c>
      <c r="AA753" s="4"/>
      <c r="AB753" s="79"/>
    </row>
    <row r="754" spans="1:28" ht="31.2" x14ac:dyDescent="0.3">
      <c r="A754" s="7" t="s">
        <v>2290</v>
      </c>
      <c r="B754" s="149"/>
      <c r="C754" s="149"/>
      <c r="D754" s="7" t="s">
        <v>3114</v>
      </c>
      <c r="E754" s="5"/>
      <c r="F754" s="149"/>
      <c r="G754" s="5"/>
      <c r="H754" s="5"/>
      <c r="I754" s="151"/>
      <c r="J754" s="149"/>
      <c r="K754" s="149"/>
      <c r="L754" s="14">
        <v>33238029</v>
      </c>
      <c r="M754" s="5"/>
      <c r="N754" s="14">
        <v>15000000</v>
      </c>
      <c r="O754" s="40" t="s">
        <v>3824</v>
      </c>
      <c r="P754" s="10">
        <v>72000000</v>
      </c>
      <c r="Q754" s="3">
        <f t="shared" si="91"/>
        <v>120238029</v>
      </c>
      <c r="R754" s="3">
        <v>33238029</v>
      </c>
      <c r="S754" s="7"/>
      <c r="T754" s="30">
        <v>15000000</v>
      </c>
      <c r="U754" s="3"/>
      <c r="V754" s="7"/>
      <c r="W754" s="36"/>
      <c r="X754" s="36">
        <f t="shared" si="92"/>
        <v>0</v>
      </c>
      <c r="Y754" s="36">
        <f t="shared" si="93"/>
        <v>0</v>
      </c>
      <c r="Z754" s="36">
        <f t="shared" si="89"/>
        <v>72000000</v>
      </c>
      <c r="AA754" s="4"/>
      <c r="AB754" s="80" t="s">
        <v>3864</v>
      </c>
    </row>
    <row r="755" spans="1:28" ht="42" x14ac:dyDescent="0.3">
      <c r="A755" s="7" t="s">
        <v>2290</v>
      </c>
      <c r="B755" s="6">
        <v>727</v>
      </c>
      <c r="C755" s="7" t="s">
        <v>2877</v>
      </c>
      <c r="D755" s="7" t="s">
        <v>3118</v>
      </c>
      <c r="E755" s="5"/>
      <c r="F755" s="7" t="s">
        <v>3120</v>
      </c>
      <c r="G755" s="5"/>
      <c r="H755" s="5"/>
      <c r="I755" s="21" t="s">
        <v>3121</v>
      </c>
      <c r="J755" s="7" t="s">
        <v>24</v>
      </c>
      <c r="K755" s="7" t="s">
        <v>3122</v>
      </c>
      <c r="L755" s="14">
        <v>2218823050</v>
      </c>
      <c r="M755" s="5"/>
      <c r="N755" s="14">
        <v>15000000</v>
      </c>
      <c r="O755" s="40" t="s">
        <v>1315</v>
      </c>
      <c r="P755" s="10">
        <v>24000000</v>
      </c>
      <c r="Q755" s="3">
        <f t="shared" si="91"/>
        <v>2257823050</v>
      </c>
      <c r="R755" s="3">
        <v>2218823050</v>
      </c>
      <c r="S755" s="7"/>
      <c r="T755" s="30">
        <v>15000000</v>
      </c>
      <c r="U755" s="3">
        <v>24000000</v>
      </c>
      <c r="V755" s="7"/>
      <c r="W755" s="36"/>
      <c r="X755" s="36">
        <f t="shared" si="92"/>
        <v>0</v>
      </c>
      <c r="Y755" s="36">
        <f t="shared" si="93"/>
        <v>0</v>
      </c>
      <c r="Z755" s="36">
        <f t="shared" ref="Z755" si="94">P755-U755</f>
        <v>0</v>
      </c>
      <c r="AA755" s="4"/>
      <c r="AB755" s="80"/>
    </row>
    <row r="756" spans="1:28" s="98" customFormat="1" ht="42" x14ac:dyDescent="0.3">
      <c r="A756" s="89" t="s">
        <v>2290</v>
      </c>
      <c r="B756" s="99">
        <v>727</v>
      </c>
      <c r="C756" s="89" t="s">
        <v>2877</v>
      </c>
      <c r="D756" s="89" t="s">
        <v>3118</v>
      </c>
      <c r="E756" s="100"/>
      <c r="F756" s="89" t="s">
        <v>3120</v>
      </c>
      <c r="G756" s="100"/>
      <c r="H756" s="100"/>
      <c r="I756" s="101" t="s">
        <v>3121</v>
      </c>
      <c r="J756" s="89" t="s">
        <v>24</v>
      </c>
      <c r="K756" s="89" t="s">
        <v>3122</v>
      </c>
      <c r="L756" s="90">
        <v>2218823050</v>
      </c>
      <c r="M756" s="100"/>
      <c r="N756" s="90">
        <v>15000000</v>
      </c>
      <c r="O756" s="91" t="s">
        <v>3824</v>
      </c>
      <c r="P756" s="103">
        <v>48000000</v>
      </c>
      <c r="Q756" s="93">
        <f t="shared" si="91"/>
        <v>2281823050</v>
      </c>
      <c r="R756" s="93">
        <v>2218823050</v>
      </c>
      <c r="S756" s="89"/>
      <c r="T756" s="94">
        <v>15000000</v>
      </c>
      <c r="U756" s="93">
        <v>0</v>
      </c>
      <c r="V756" s="89"/>
      <c r="W756" s="95"/>
      <c r="X756" s="95">
        <f t="shared" si="92"/>
        <v>0</v>
      </c>
      <c r="Y756" s="95">
        <f t="shared" si="93"/>
        <v>0</v>
      </c>
      <c r="Z756" s="95">
        <f t="shared" si="89"/>
        <v>48000000</v>
      </c>
      <c r="AA756" s="96"/>
      <c r="AB756" s="97" t="s">
        <v>3853</v>
      </c>
    </row>
    <row r="757" spans="1:28" ht="62.4" x14ac:dyDescent="0.4">
      <c r="A757" s="7" t="s">
        <v>18</v>
      </c>
      <c r="B757" s="6">
        <v>728</v>
      </c>
      <c r="C757" s="7" t="s">
        <v>2877</v>
      </c>
      <c r="D757" s="7" t="s">
        <v>3123</v>
      </c>
      <c r="E757" s="7" t="s">
        <v>2940</v>
      </c>
      <c r="F757" s="5"/>
      <c r="G757" s="5"/>
      <c r="H757" s="7" t="s">
        <v>3124</v>
      </c>
      <c r="I757" s="21" t="s">
        <v>3125</v>
      </c>
      <c r="J757" s="7" t="s">
        <v>24</v>
      </c>
      <c r="K757" s="7" t="s">
        <v>2826</v>
      </c>
      <c r="L757" s="14">
        <v>10000000</v>
      </c>
      <c r="M757" s="5"/>
      <c r="N757" s="14">
        <v>15000000</v>
      </c>
      <c r="O757" s="40"/>
      <c r="P757" s="40"/>
      <c r="Q757" s="3">
        <f t="shared" si="91"/>
        <v>25000000</v>
      </c>
      <c r="R757" s="7"/>
      <c r="S757" s="7"/>
      <c r="T757" s="72"/>
      <c r="U757" s="7"/>
      <c r="V757" s="7"/>
      <c r="W757" s="36">
        <v>10000000</v>
      </c>
      <c r="X757" s="36">
        <f t="shared" si="92"/>
        <v>0</v>
      </c>
      <c r="Y757" s="36">
        <f t="shared" si="93"/>
        <v>15000000</v>
      </c>
      <c r="Z757" s="36">
        <f t="shared" si="89"/>
        <v>0</v>
      </c>
      <c r="AA757" s="16">
        <v>10000000</v>
      </c>
      <c r="AB757" s="79"/>
    </row>
    <row r="758" spans="1:28" ht="62.4" x14ac:dyDescent="0.3">
      <c r="A758" s="7" t="s">
        <v>2290</v>
      </c>
      <c r="B758" s="6">
        <v>729</v>
      </c>
      <c r="C758" s="7" t="s">
        <v>2877</v>
      </c>
      <c r="D758" s="7" t="s">
        <v>3126</v>
      </c>
      <c r="E758" s="5"/>
      <c r="F758" s="7" t="s">
        <v>3127</v>
      </c>
      <c r="G758" s="5"/>
      <c r="H758" s="5"/>
      <c r="I758" s="21" t="s">
        <v>3128</v>
      </c>
      <c r="J758" s="7" t="s">
        <v>24</v>
      </c>
      <c r="K758" s="7" t="s">
        <v>3129</v>
      </c>
      <c r="L758" s="14">
        <v>804477970</v>
      </c>
      <c r="M758" s="5"/>
      <c r="N758" s="14">
        <v>15000000</v>
      </c>
      <c r="O758" s="40" t="s">
        <v>3115</v>
      </c>
      <c r="P758" s="10">
        <v>72000000</v>
      </c>
      <c r="Q758" s="3">
        <f t="shared" si="91"/>
        <v>891477970</v>
      </c>
      <c r="R758" s="3">
        <v>804477970</v>
      </c>
      <c r="S758" s="7"/>
      <c r="T758" s="30">
        <v>15000000</v>
      </c>
      <c r="U758" s="3">
        <v>24000000</v>
      </c>
      <c r="V758" s="7"/>
      <c r="W758" s="36"/>
      <c r="X758" s="36">
        <f t="shared" si="92"/>
        <v>0</v>
      </c>
      <c r="Y758" s="36">
        <f t="shared" si="93"/>
        <v>0</v>
      </c>
      <c r="Z758" s="36">
        <f t="shared" si="89"/>
        <v>48000000</v>
      </c>
      <c r="AA758" s="4"/>
      <c r="AB758" s="80" t="s">
        <v>3822</v>
      </c>
    </row>
    <row r="759" spans="1:28" ht="46.8" x14ac:dyDescent="0.3">
      <c r="A759" s="7" t="s">
        <v>18</v>
      </c>
      <c r="B759" s="6">
        <v>730</v>
      </c>
      <c r="C759" s="7" t="s">
        <v>2877</v>
      </c>
      <c r="D759" s="7" t="s">
        <v>3130</v>
      </c>
      <c r="E759" s="5"/>
      <c r="F759" s="7" t="s">
        <v>3131</v>
      </c>
      <c r="G759" s="5"/>
      <c r="H759" s="5"/>
      <c r="I759" s="21" t="s">
        <v>3132</v>
      </c>
      <c r="J759" s="7" t="s">
        <v>24</v>
      </c>
      <c r="K759" s="7" t="s">
        <v>3133</v>
      </c>
      <c r="L759" s="14">
        <v>379903110</v>
      </c>
      <c r="M759" s="5"/>
      <c r="N759" s="14">
        <v>7500000</v>
      </c>
      <c r="O759" s="40"/>
      <c r="P759" s="40"/>
      <c r="Q759" s="3">
        <f t="shared" si="91"/>
        <v>387403110</v>
      </c>
      <c r="R759" s="3">
        <v>379903110</v>
      </c>
      <c r="S759" s="7"/>
      <c r="T759" s="30">
        <v>7500000</v>
      </c>
      <c r="U759" s="7"/>
      <c r="V759" s="7"/>
      <c r="W759" s="36"/>
      <c r="X759" s="36">
        <f t="shared" si="92"/>
        <v>0</v>
      </c>
      <c r="Y759" s="36">
        <f t="shared" si="93"/>
        <v>0</v>
      </c>
      <c r="Z759" s="36">
        <f t="shared" si="89"/>
        <v>0</v>
      </c>
      <c r="AA759" s="4"/>
      <c r="AB759" s="79"/>
    </row>
    <row r="760" spans="1:28" ht="62.4" x14ac:dyDescent="0.3">
      <c r="A760" s="7" t="s">
        <v>2290</v>
      </c>
      <c r="B760" s="6">
        <v>731</v>
      </c>
      <c r="C760" s="7" t="s">
        <v>2877</v>
      </c>
      <c r="D760" s="7" t="s">
        <v>3134</v>
      </c>
      <c r="E760" s="5"/>
      <c r="F760" s="7" t="s">
        <v>3135</v>
      </c>
      <c r="G760" s="5"/>
      <c r="H760" s="5"/>
      <c r="I760" s="21" t="s">
        <v>3136</v>
      </c>
      <c r="J760" s="7" t="s">
        <v>24</v>
      </c>
      <c r="K760" s="7" t="s">
        <v>3137</v>
      </c>
      <c r="L760" s="14">
        <v>401173485</v>
      </c>
      <c r="M760" s="5"/>
      <c r="N760" s="14">
        <v>15000000</v>
      </c>
      <c r="O760" s="40" t="s">
        <v>1203</v>
      </c>
      <c r="P760" s="10">
        <v>120000000</v>
      </c>
      <c r="Q760" s="3">
        <f t="shared" si="91"/>
        <v>536173485</v>
      </c>
      <c r="R760" s="3">
        <v>401173485</v>
      </c>
      <c r="S760" s="7"/>
      <c r="T760" s="30">
        <v>15000000</v>
      </c>
      <c r="U760" s="3">
        <v>60000000</v>
      </c>
      <c r="V760" s="7"/>
      <c r="W760" s="36"/>
      <c r="X760" s="36">
        <f t="shared" si="92"/>
        <v>0</v>
      </c>
      <c r="Y760" s="36">
        <f t="shared" si="93"/>
        <v>0</v>
      </c>
      <c r="Z760" s="36">
        <f t="shared" si="89"/>
        <v>60000000</v>
      </c>
      <c r="AA760" s="4"/>
      <c r="AB760" s="80" t="s">
        <v>3827</v>
      </c>
    </row>
    <row r="761" spans="1:28" ht="42" x14ac:dyDescent="0.3">
      <c r="A761" s="7" t="s">
        <v>62</v>
      </c>
      <c r="B761" s="6">
        <v>732</v>
      </c>
      <c r="C761" s="7" t="s">
        <v>2877</v>
      </c>
      <c r="D761" s="7" t="s">
        <v>3138</v>
      </c>
      <c r="E761" s="7" t="s">
        <v>3139</v>
      </c>
      <c r="F761" s="7" t="s">
        <v>3140</v>
      </c>
      <c r="G761" s="7" t="s">
        <v>3141</v>
      </c>
      <c r="H761" s="5"/>
      <c r="I761" s="21" t="s">
        <v>3142</v>
      </c>
      <c r="J761" s="7" t="s">
        <v>24</v>
      </c>
      <c r="K761" s="7" t="s">
        <v>3143</v>
      </c>
      <c r="L761" s="14">
        <v>4043584200</v>
      </c>
      <c r="M761" s="14">
        <v>161992320</v>
      </c>
      <c r="N761" s="14">
        <v>15000000</v>
      </c>
      <c r="O761" s="40"/>
      <c r="P761" s="40"/>
      <c r="Q761" s="3">
        <f t="shared" si="91"/>
        <v>4220576520</v>
      </c>
      <c r="R761" s="36">
        <v>4043584200</v>
      </c>
      <c r="S761" s="3">
        <v>161992320</v>
      </c>
      <c r="T761" s="30">
        <v>15000000</v>
      </c>
      <c r="U761" s="7"/>
      <c r="V761" s="7"/>
      <c r="W761" s="36"/>
      <c r="X761" s="36">
        <f t="shared" si="92"/>
        <v>0</v>
      </c>
      <c r="Y761" s="36">
        <f t="shared" si="93"/>
        <v>0</v>
      </c>
      <c r="Z761" s="36">
        <f t="shared" ref="Z761" si="95">P761-U761</f>
        <v>0</v>
      </c>
      <c r="AA761" s="4"/>
      <c r="AB761" s="79"/>
    </row>
    <row r="762" spans="1:28" ht="63" x14ac:dyDescent="0.3">
      <c r="A762" s="7" t="s">
        <v>1601</v>
      </c>
      <c r="B762" s="6">
        <v>733</v>
      </c>
      <c r="C762" s="7" t="s">
        <v>2877</v>
      </c>
      <c r="D762" s="7" t="s">
        <v>3144</v>
      </c>
      <c r="E762" s="5"/>
      <c r="F762" s="7" t="s">
        <v>3146</v>
      </c>
      <c r="G762" s="7" t="s">
        <v>3147</v>
      </c>
      <c r="H762" s="5"/>
      <c r="I762" s="21" t="s">
        <v>3148</v>
      </c>
      <c r="J762" s="7" t="s">
        <v>24</v>
      </c>
      <c r="K762" s="7" t="s">
        <v>3149</v>
      </c>
      <c r="L762" s="14">
        <v>13921454534</v>
      </c>
      <c r="M762" s="5"/>
      <c r="N762" s="14">
        <v>15000000</v>
      </c>
      <c r="O762" s="40" t="s">
        <v>3145</v>
      </c>
      <c r="P762" s="10">
        <v>96000000</v>
      </c>
      <c r="Q762" s="3">
        <f t="shared" si="91"/>
        <v>14032454534</v>
      </c>
      <c r="R762" s="3">
        <v>13921454534</v>
      </c>
      <c r="S762" s="7"/>
      <c r="T762" s="30">
        <v>15000000</v>
      </c>
      <c r="U762" s="3">
        <v>96000000</v>
      </c>
      <c r="V762" s="7"/>
      <c r="W762" s="36"/>
      <c r="X762" s="36">
        <f t="shared" si="92"/>
        <v>0</v>
      </c>
      <c r="Y762" s="36">
        <f t="shared" si="93"/>
        <v>0</v>
      </c>
      <c r="Z762" s="36">
        <f t="shared" ref="Z762:Z834" si="96">P762-U762</f>
        <v>0</v>
      </c>
      <c r="AA762" s="4"/>
      <c r="AB762" s="79"/>
    </row>
    <row r="763" spans="1:28" ht="46.8" x14ac:dyDescent="0.3">
      <c r="A763" s="7" t="s">
        <v>62</v>
      </c>
      <c r="B763" s="6">
        <v>734</v>
      </c>
      <c r="C763" s="7" t="s">
        <v>2877</v>
      </c>
      <c r="D763" s="7" t="s">
        <v>3150</v>
      </c>
      <c r="E763" s="7" t="s">
        <v>3152</v>
      </c>
      <c r="F763" s="7" t="s">
        <v>3153</v>
      </c>
      <c r="G763" s="7" t="s">
        <v>3154</v>
      </c>
      <c r="H763" s="5"/>
      <c r="I763" s="21" t="s">
        <v>3155</v>
      </c>
      <c r="J763" s="7" t="s">
        <v>24</v>
      </c>
      <c r="K763" s="7" t="s">
        <v>3156</v>
      </c>
      <c r="L763" s="14">
        <v>1706747626</v>
      </c>
      <c r="M763" s="14">
        <v>471972074</v>
      </c>
      <c r="N763" s="14">
        <v>15000000</v>
      </c>
      <c r="O763" s="40" t="s">
        <v>3151</v>
      </c>
      <c r="P763" s="10">
        <v>24000000</v>
      </c>
      <c r="Q763" s="3">
        <f t="shared" si="91"/>
        <v>2217719700</v>
      </c>
      <c r="R763" s="36">
        <v>1706747626</v>
      </c>
      <c r="S763" s="3">
        <v>471972074</v>
      </c>
      <c r="T763" s="30">
        <v>15000000</v>
      </c>
      <c r="U763" s="3">
        <v>24000000</v>
      </c>
      <c r="V763" s="7"/>
      <c r="W763" s="36"/>
      <c r="X763" s="36">
        <f t="shared" si="92"/>
        <v>0</v>
      </c>
      <c r="Y763" s="36">
        <f t="shared" si="93"/>
        <v>0</v>
      </c>
      <c r="Z763" s="36">
        <f t="shared" si="96"/>
        <v>0</v>
      </c>
      <c r="AA763" s="4"/>
      <c r="AB763" s="79"/>
    </row>
    <row r="764" spans="1:28" ht="63" x14ac:dyDescent="0.3">
      <c r="A764" s="7" t="s">
        <v>46</v>
      </c>
      <c r="B764" s="6">
        <v>735</v>
      </c>
      <c r="C764" s="7" t="s">
        <v>2877</v>
      </c>
      <c r="D764" s="7" t="s">
        <v>3157</v>
      </c>
      <c r="E764" s="5"/>
      <c r="F764" s="7" t="s">
        <v>3158</v>
      </c>
      <c r="G764" s="5"/>
      <c r="H764" s="5"/>
      <c r="I764" s="21" t="s">
        <v>3159</v>
      </c>
      <c r="J764" s="7" t="s">
        <v>24</v>
      </c>
      <c r="K764" s="7" t="s">
        <v>3160</v>
      </c>
      <c r="L764" s="14">
        <v>7225075720</v>
      </c>
      <c r="M764" s="5"/>
      <c r="N764" s="14">
        <v>15000000</v>
      </c>
      <c r="O764" s="40"/>
      <c r="P764" s="40"/>
      <c r="Q764" s="3">
        <f t="shared" si="91"/>
        <v>7240075720</v>
      </c>
      <c r="R764" s="3">
        <v>7225075720</v>
      </c>
      <c r="S764" s="7"/>
      <c r="T764" s="30">
        <v>15000000</v>
      </c>
      <c r="U764" s="7"/>
      <c r="V764" s="7"/>
      <c r="W764" s="36"/>
      <c r="X764" s="36">
        <f t="shared" si="92"/>
        <v>0</v>
      </c>
      <c r="Y764" s="36">
        <f t="shared" si="93"/>
        <v>0</v>
      </c>
      <c r="Z764" s="36">
        <f t="shared" si="96"/>
        <v>0</v>
      </c>
      <c r="AA764" s="4"/>
      <c r="AB764" s="79"/>
    </row>
    <row r="765" spans="1:28" ht="42" x14ac:dyDescent="0.3">
      <c r="A765" s="7" t="s">
        <v>62</v>
      </c>
      <c r="B765" s="6">
        <v>736</v>
      </c>
      <c r="C765" s="7" t="s">
        <v>2877</v>
      </c>
      <c r="D765" s="7" t="s">
        <v>3161</v>
      </c>
      <c r="E765" s="5"/>
      <c r="F765" s="7" t="s">
        <v>3162</v>
      </c>
      <c r="G765" s="5"/>
      <c r="H765" s="5"/>
      <c r="I765" s="21" t="s">
        <v>3163</v>
      </c>
      <c r="J765" s="7" t="s">
        <v>24</v>
      </c>
      <c r="K765" s="7" t="s">
        <v>3164</v>
      </c>
      <c r="L765" s="14">
        <v>853559360</v>
      </c>
      <c r="M765" s="5"/>
      <c r="N765" s="14">
        <v>15000000</v>
      </c>
      <c r="O765" s="40" t="s">
        <v>1315</v>
      </c>
      <c r="P765" s="10">
        <v>30000000</v>
      </c>
      <c r="Q765" s="3">
        <f t="shared" si="91"/>
        <v>898559360</v>
      </c>
      <c r="R765" s="36">
        <v>853559360</v>
      </c>
      <c r="S765" s="7"/>
      <c r="T765" s="30">
        <v>15000000</v>
      </c>
      <c r="U765" s="3">
        <v>30000000</v>
      </c>
      <c r="V765" s="7"/>
      <c r="W765" s="36"/>
      <c r="X765" s="36">
        <f t="shared" si="92"/>
        <v>0</v>
      </c>
      <c r="Y765" s="36">
        <f t="shared" si="93"/>
        <v>0</v>
      </c>
      <c r="Z765" s="36">
        <f t="shared" si="96"/>
        <v>0</v>
      </c>
      <c r="AA765" s="4"/>
      <c r="AB765" s="79"/>
    </row>
    <row r="766" spans="1:28" ht="31.2" x14ac:dyDescent="0.3">
      <c r="A766" s="7" t="s">
        <v>62</v>
      </c>
      <c r="B766" s="6">
        <v>737</v>
      </c>
      <c r="C766" s="7" t="s">
        <v>2877</v>
      </c>
      <c r="D766" s="7" t="s">
        <v>3165</v>
      </c>
      <c r="E766" s="5"/>
      <c r="F766" s="7" t="s">
        <v>3166</v>
      </c>
      <c r="G766" s="5"/>
      <c r="H766" s="5"/>
      <c r="I766" s="21" t="s">
        <v>3167</v>
      </c>
      <c r="J766" s="7" t="s">
        <v>24</v>
      </c>
      <c r="K766" s="7" t="s">
        <v>3168</v>
      </c>
      <c r="L766" s="14">
        <v>1376202443</v>
      </c>
      <c r="M766" s="5"/>
      <c r="N766" s="14">
        <v>15000000</v>
      </c>
      <c r="O766" s="40"/>
      <c r="P766" s="40"/>
      <c r="Q766" s="3">
        <f t="shared" si="91"/>
        <v>1391202443</v>
      </c>
      <c r="R766" s="36">
        <v>1376202443</v>
      </c>
      <c r="S766" s="7"/>
      <c r="T766" s="30">
        <v>15000000</v>
      </c>
      <c r="U766" s="7"/>
      <c r="V766" s="7"/>
      <c r="W766" s="36"/>
      <c r="X766" s="36">
        <f t="shared" si="92"/>
        <v>0</v>
      </c>
      <c r="Y766" s="36">
        <f t="shared" si="93"/>
        <v>0</v>
      </c>
      <c r="Z766" s="36">
        <f t="shared" si="96"/>
        <v>0</v>
      </c>
      <c r="AA766" s="4"/>
      <c r="AB766" s="79"/>
    </row>
    <row r="767" spans="1:28" ht="63" x14ac:dyDescent="0.3">
      <c r="A767" s="7" t="s">
        <v>62</v>
      </c>
      <c r="B767" s="6">
        <v>738</v>
      </c>
      <c r="C767" s="7" t="s">
        <v>2877</v>
      </c>
      <c r="D767" s="7" t="s">
        <v>3169</v>
      </c>
      <c r="E767" s="5"/>
      <c r="F767" s="7" t="s">
        <v>3170</v>
      </c>
      <c r="G767" s="5"/>
      <c r="H767" s="5"/>
      <c r="I767" s="21" t="s">
        <v>3171</v>
      </c>
      <c r="J767" s="7" t="s">
        <v>24</v>
      </c>
      <c r="K767" s="7" t="s">
        <v>3172</v>
      </c>
      <c r="L767" s="14">
        <v>299923956</v>
      </c>
      <c r="M767" s="5"/>
      <c r="N767" s="14">
        <v>15000000</v>
      </c>
      <c r="O767" s="40"/>
      <c r="P767" s="40"/>
      <c r="Q767" s="3">
        <f t="shared" si="91"/>
        <v>314923956</v>
      </c>
      <c r="R767" s="36">
        <v>299923956</v>
      </c>
      <c r="S767" s="7"/>
      <c r="T767" s="30">
        <v>15000000</v>
      </c>
      <c r="U767" s="7"/>
      <c r="V767" s="7"/>
      <c r="W767" s="36"/>
      <c r="X767" s="36">
        <f t="shared" si="92"/>
        <v>0</v>
      </c>
      <c r="Y767" s="36">
        <f t="shared" si="93"/>
        <v>0</v>
      </c>
      <c r="Z767" s="36">
        <f t="shared" si="96"/>
        <v>0</v>
      </c>
      <c r="AA767" s="4"/>
      <c r="AB767" s="79"/>
    </row>
    <row r="768" spans="1:28" ht="63" x14ac:dyDescent="0.3">
      <c r="A768" s="7" t="s">
        <v>62</v>
      </c>
      <c r="B768" s="6">
        <v>739</v>
      </c>
      <c r="C768" s="7" t="s">
        <v>2877</v>
      </c>
      <c r="D768" s="7" t="s">
        <v>3173</v>
      </c>
      <c r="E768" s="5"/>
      <c r="F768" s="7" t="s">
        <v>3174</v>
      </c>
      <c r="G768" s="5"/>
      <c r="H768" s="5"/>
      <c r="I768" s="21" t="s">
        <v>3175</v>
      </c>
      <c r="J768" s="7" t="s">
        <v>24</v>
      </c>
      <c r="K768" s="7" t="s">
        <v>3176</v>
      </c>
      <c r="L768" s="14">
        <v>5079928644</v>
      </c>
      <c r="M768" s="5"/>
      <c r="N768" s="14">
        <v>7500000</v>
      </c>
      <c r="O768" s="40"/>
      <c r="P768" s="40"/>
      <c r="Q768" s="3">
        <f t="shared" si="91"/>
        <v>5087428644</v>
      </c>
      <c r="R768" s="3">
        <v>5079928644</v>
      </c>
      <c r="S768" s="7"/>
      <c r="T768" s="30">
        <v>7500000</v>
      </c>
      <c r="U768" s="7"/>
      <c r="V768" s="7"/>
      <c r="W768" s="36"/>
      <c r="X768" s="36">
        <f t="shared" si="92"/>
        <v>0</v>
      </c>
      <c r="Y768" s="36">
        <f t="shared" si="93"/>
        <v>0</v>
      </c>
      <c r="Z768" s="36">
        <f t="shared" si="96"/>
        <v>0</v>
      </c>
      <c r="AA768" s="4"/>
      <c r="AB768" s="79"/>
    </row>
    <row r="769" spans="1:28" ht="42" x14ac:dyDescent="0.3">
      <c r="A769" s="7" t="s">
        <v>18</v>
      </c>
      <c r="B769" s="6">
        <v>740</v>
      </c>
      <c r="C769" s="7" t="s">
        <v>2877</v>
      </c>
      <c r="D769" s="7" t="s">
        <v>3177</v>
      </c>
      <c r="E769" s="5"/>
      <c r="F769" s="7" t="s">
        <v>3178</v>
      </c>
      <c r="G769" s="7" t="s">
        <v>1791</v>
      </c>
      <c r="H769" s="5"/>
      <c r="I769" s="21" t="s">
        <v>3179</v>
      </c>
      <c r="J769" s="7" t="s">
        <v>24</v>
      </c>
      <c r="K769" s="7" t="s">
        <v>3180</v>
      </c>
      <c r="L769" s="14">
        <v>2887146088</v>
      </c>
      <c r="M769" s="5"/>
      <c r="N769" s="14">
        <v>15000000</v>
      </c>
      <c r="O769" s="40"/>
      <c r="P769" s="40"/>
      <c r="Q769" s="3">
        <f t="shared" si="91"/>
        <v>2902146088</v>
      </c>
      <c r="R769" s="36">
        <v>2887146088</v>
      </c>
      <c r="S769" s="7"/>
      <c r="T769" s="30">
        <v>15000000</v>
      </c>
      <c r="U769" s="7"/>
      <c r="V769" s="7"/>
      <c r="W769" s="36"/>
      <c r="X769" s="36">
        <f t="shared" si="92"/>
        <v>0</v>
      </c>
      <c r="Y769" s="36">
        <f t="shared" si="93"/>
        <v>0</v>
      </c>
      <c r="Z769" s="36">
        <f t="shared" si="96"/>
        <v>0</v>
      </c>
      <c r="AA769" s="4"/>
      <c r="AB769" s="79"/>
    </row>
    <row r="770" spans="1:28" ht="63" x14ac:dyDescent="0.3">
      <c r="A770" s="7" t="s">
        <v>62</v>
      </c>
      <c r="B770" s="6">
        <v>741</v>
      </c>
      <c r="C770" s="7" t="s">
        <v>2877</v>
      </c>
      <c r="D770" s="7" t="s">
        <v>3181</v>
      </c>
      <c r="E770" s="5"/>
      <c r="F770" s="7" t="s">
        <v>3182</v>
      </c>
      <c r="G770" s="7" t="s">
        <v>3183</v>
      </c>
      <c r="H770" s="5"/>
      <c r="I770" s="21" t="s">
        <v>3184</v>
      </c>
      <c r="J770" s="7" t="s">
        <v>24</v>
      </c>
      <c r="K770" s="7" t="s">
        <v>3185</v>
      </c>
      <c r="L770" s="14">
        <v>1459373626</v>
      </c>
      <c r="M770" s="5"/>
      <c r="N770" s="14">
        <v>15000000</v>
      </c>
      <c r="O770" s="40"/>
      <c r="P770" s="40"/>
      <c r="Q770" s="3">
        <f t="shared" si="91"/>
        <v>1474373626</v>
      </c>
      <c r="R770" s="3">
        <v>1459373626</v>
      </c>
      <c r="S770" s="7"/>
      <c r="T770" s="30">
        <v>15000000</v>
      </c>
      <c r="U770" s="7"/>
      <c r="V770" s="7"/>
      <c r="W770" s="36"/>
      <c r="X770" s="36">
        <f t="shared" si="92"/>
        <v>0</v>
      </c>
      <c r="Y770" s="36">
        <f t="shared" si="93"/>
        <v>0</v>
      </c>
      <c r="Z770" s="36">
        <f t="shared" si="96"/>
        <v>0</v>
      </c>
      <c r="AA770" s="4"/>
      <c r="AB770" s="79"/>
    </row>
    <row r="771" spans="1:28" ht="31.2" x14ac:dyDescent="0.3">
      <c r="A771" s="7" t="s">
        <v>2290</v>
      </c>
      <c r="B771" s="6">
        <v>742</v>
      </c>
      <c r="C771" s="7" t="s">
        <v>2877</v>
      </c>
      <c r="D771" s="7" t="s">
        <v>3186</v>
      </c>
      <c r="E771" s="5"/>
      <c r="F771" s="7" t="s">
        <v>3187</v>
      </c>
      <c r="G771" s="5"/>
      <c r="H771" s="5"/>
      <c r="I771" s="21" t="s">
        <v>3188</v>
      </c>
      <c r="J771" s="7" t="s">
        <v>24</v>
      </c>
      <c r="K771" s="7" t="s">
        <v>3189</v>
      </c>
      <c r="L771" s="14">
        <v>82301352</v>
      </c>
      <c r="M771" s="5"/>
      <c r="N771" s="14">
        <v>7500000</v>
      </c>
      <c r="O771" s="40"/>
      <c r="P771" s="40"/>
      <c r="Q771" s="3">
        <f t="shared" si="91"/>
        <v>89801352</v>
      </c>
      <c r="R771" s="3">
        <v>82301352</v>
      </c>
      <c r="S771" s="7"/>
      <c r="T771" s="30">
        <v>7500000</v>
      </c>
      <c r="U771" s="7"/>
      <c r="V771" s="7"/>
      <c r="W771" s="36"/>
      <c r="X771" s="36">
        <f t="shared" si="92"/>
        <v>0</v>
      </c>
      <c r="Y771" s="36">
        <f t="shared" si="93"/>
        <v>0</v>
      </c>
      <c r="Z771" s="36">
        <f t="shared" si="96"/>
        <v>0</v>
      </c>
      <c r="AA771" s="4"/>
      <c r="AB771" s="79"/>
    </row>
    <row r="772" spans="1:28" ht="63" x14ac:dyDescent="0.3">
      <c r="A772" s="7" t="s">
        <v>62</v>
      </c>
      <c r="B772" s="6">
        <v>743</v>
      </c>
      <c r="C772" s="7" t="s">
        <v>2877</v>
      </c>
      <c r="D772" s="7" t="s">
        <v>3190</v>
      </c>
      <c r="E772" s="5"/>
      <c r="F772" s="7" t="s">
        <v>3191</v>
      </c>
      <c r="G772" s="5"/>
      <c r="H772" s="5"/>
      <c r="I772" s="21" t="s">
        <v>3192</v>
      </c>
      <c r="J772" s="7" t="s">
        <v>24</v>
      </c>
      <c r="K772" s="7" t="s">
        <v>3193</v>
      </c>
      <c r="L772" s="14">
        <v>1439532080</v>
      </c>
      <c r="M772" s="5"/>
      <c r="N772" s="14">
        <v>15000000</v>
      </c>
      <c r="O772" s="40"/>
      <c r="P772" s="40"/>
      <c r="Q772" s="3">
        <f t="shared" si="91"/>
        <v>1454532080</v>
      </c>
      <c r="R772" s="36">
        <v>1439532080</v>
      </c>
      <c r="S772" s="7"/>
      <c r="T772" s="30">
        <v>15000000</v>
      </c>
      <c r="U772" s="7"/>
      <c r="V772" s="7"/>
      <c r="W772" s="36"/>
      <c r="X772" s="36">
        <f t="shared" si="92"/>
        <v>0</v>
      </c>
      <c r="Y772" s="36">
        <f t="shared" si="93"/>
        <v>0</v>
      </c>
      <c r="Z772" s="36">
        <f t="shared" si="96"/>
        <v>0</v>
      </c>
      <c r="AA772" s="4"/>
      <c r="AB772" s="79"/>
    </row>
    <row r="773" spans="1:28" ht="62.4" x14ac:dyDescent="0.3">
      <c r="A773" s="7" t="s">
        <v>1601</v>
      </c>
      <c r="B773" s="6">
        <v>744</v>
      </c>
      <c r="C773" s="7" t="s">
        <v>2877</v>
      </c>
      <c r="D773" s="7" t="s">
        <v>3194</v>
      </c>
      <c r="E773" s="5"/>
      <c r="F773" s="7" t="s">
        <v>3196</v>
      </c>
      <c r="G773" s="5"/>
      <c r="H773" s="5"/>
      <c r="I773" s="21" t="s">
        <v>3197</v>
      </c>
      <c r="J773" s="7" t="s">
        <v>24</v>
      </c>
      <c r="K773" s="7" t="s">
        <v>3198</v>
      </c>
      <c r="L773" s="14">
        <v>749131120</v>
      </c>
      <c r="M773" s="5"/>
      <c r="N773" s="14">
        <v>15000000</v>
      </c>
      <c r="O773" s="40" t="s">
        <v>3195</v>
      </c>
      <c r="P773" s="10">
        <v>90000000</v>
      </c>
      <c r="Q773" s="3">
        <f t="shared" si="91"/>
        <v>854131120</v>
      </c>
      <c r="R773" s="3">
        <v>749131120</v>
      </c>
      <c r="S773" s="7"/>
      <c r="T773" s="30">
        <v>15000000</v>
      </c>
      <c r="U773" s="3">
        <v>30000000</v>
      </c>
      <c r="V773" s="7"/>
      <c r="W773" s="36"/>
      <c r="X773" s="36">
        <f t="shared" si="92"/>
        <v>0</v>
      </c>
      <c r="Y773" s="36">
        <f t="shared" si="93"/>
        <v>0</v>
      </c>
      <c r="Z773" s="36">
        <f t="shared" si="96"/>
        <v>60000000</v>
      </c>
      <c r="AA773" s="4"/>
      <c r="AB773" s="80" t="s">
        <v>3822</v>
      </c>
    </row>
    <row r="774" spans="1:28" ht="62.4" x14ac:dyDescent="0.3">
      <c r="A774" s="7" t="s">
        <v>1601</v>
      </c>
      <c r="B774" s="6">
        <v>745</v>
      </c>
      <c r="C774" s="7" t="s">
        <v>2877</v>
      </c>
      <c r="D774" s="7" t="s">
        <v>3199</v>
      </c>
      <c r="E774" s="5"/>
      <c r="F774" s="7" t="s">
        <v>3200</v>
      </c>
      <c r="G774" s="5"/>
      <c r="H774" s="5"/>
      <c r="I774" s="21" t="s">
        <v>605</v>
      </c>
      <c r="J774" s="7" t="s">
        <v>24</v>
      </c>
      <c r="K774" s="7" t="s">
        <v>3201</v>
      </c>
      <c r="L774" s="14">
        <v>416665504</v>
      </c>
      <c r="M774" s="5"/>
      <c r="N774" s="14">
        <v>15000000</v>
      </c>
      <c r="O774" s="40" t="s">
        <v>3047</v>
      </c>
      <c r="P774" s="10">
        <v>72000000</v>
      </c>
      <c r="Q774" s="3">
        <f t="shared" si="91"/>
        <v>503665504</v>
      </c>
      <c r="R774" s="3">
        <v>416665504</v>
      </c>
      <c r="S774" s="7"/>
      <c r="T774" s="30">
        <v>15000000</v>
      </c>
      <c r="U774" s="3">
        <v>24000000</v>
      </c>
      <c r="V774" s="7"/>
      <c r="W774" s="36"/>
      <c r="X774" s="36">
        <f t="shared" si="92"/>
        <v>0</v>
      </c>
      <c r="Y774" s="36">
        <f t="shared" si="93"/>
        <v>0</v>
      </c>
      <c r="Z774" s="36">
        <f t="shared" si="96"/>
        <v>48000000</v>
      </c>
      <c r="AA774" s="4"/>
      <c r="AB774" s="80" t="s">
        <v>3822</v>
      </c>
    </row>
    <row r="775" spans="1:28" ht="62.4" x14ac:dyDescent="0.3">
      <c r="A775" s="7" t="s">
        <v>2290</v>
      </c>
      <c r="B775" s="6">
        <v>746</v>
      </c>
      <c r="C775" s="7" t="s">
        <v>2877</v>
      </c>
      <c r="D775" s="7" t="s">
        <v>3202</v>
      </c>
      <c r="E775" s="7" t="s">
        <v>1145</v>
      </c>
      <c r="F775" s="7" t="s">
        <v>3203</v>
      </c>
      <c r="G775" s="7" t="s">
        <v>3204</v>
      </c>
      <c r="H775" s="5"/>
      <c r="I775" s="21" t="s">
        <v>3205</v>
      </c>
      <c r="J775" s="7" t="s">
        <v>24</v>
      </c>
      <c r="K775" s="7" t="s">
        <v>3206</v>
      </c>
      <c r="L775" s="14">
        <v>1596400307</v>
      </c>
      <c r="M775" s="14">
        <v>333382157</v>
      </c>
      <c r="N775" s="14">
        <v>15000000</v>
      </c>
      <c r="O775" s="40" t="s">
        <v>1203</v>
      </c>
      <c r="P775" s="10">
        <v>96000000</v>
      </c>
      <c r="Q775" s="3">
        <f t="shared" si="91"/>
        <v>2040782464</v>
      </c>
      <c r="R775" s="3">
        <v>1596400307</v>
      </c>
      <c r="S775" s="3">
        <v>333382157</v>
      </c>
      <c r="T775" s="30">
        <v>15000000</v>
      </c>
      <c r="U775" s="3">
        <v>48000000</v>
      </c>
      <c r="V775" s="7"/>
      <c r="W775" s="36"/>
      <c r="X775" s="36">
        <f t="shared" si="92"/>
        <v>0</v>
      </c>
      <c r="Y775" s="36">
        <f t="shared" si="93"/>
        <v>0</v>
      </c>
      <c r="Z775" s="36">
        <f t="shared" si="96"/>
        <v>48000000</v>
      </c>
      <c r="AA775" s="4"/>
      <c r="AB775" s="80" t="s">
        <v>3822</v>
      </c>
    </row>
    <row r="776" spans="1:28" ht="39" customHeight="1" x14ac:dyDescent="0.3">
      <c r="A776" s="7"/>
      <c r="B776" s="148">
        <v>747</v>
      </c>
      <c r="C776" s="148" t="s">
        <v>2877</v>
      </c>
      <c r="D776" s="7"/>
      <c r="E776" s="7"/>
      <c r="F776" s="148" t="s">
        <v>3209</v>
      </c>
      <c r="G776" s="7"/>
      <c r="H776" s="5"/>
      <c r="I776" s="150" t="s">
        <v>3211</v>
      </c>
      <c r="J776" s="148" t="s">
        <v>24</v>
      </c>
      <c r="K776" s="148" t="s">
        <v>3212</v>
      </c>
      <c r="L776" s="14"/>
      <c r="M776" s="14"/>
      <c r="N776" s="14"/>
      <c r="O776" s="40" t="s">
        <v>3835</v>
      </c>
      <c r="P776" s="10">
        <v>60000000</v>
      </c>
      <c r="Q776" s="3"/>
      <c r="R776" s="3"/>
      <c r="S776" s="3"/>
      <c r="T776" s="30"/>
      <c r="U776" s="3">
        <v>60000000</v>
      </c>
      <c r="V776" s="7"/>
      <c r="W776" s="36"/>
      <c r="X776" s="36"/>
      <c r="Y776" s="36"/>
      <c r="Z776" s="36">
        <f t="shared" si="96"/>
        <v>0</v>
      </c>
      <c r="AA776" s="4"/>
      <c r="AB776" s="80"/>
    </row>
    <row r="777" spans="1:28" ht="39" customHeight="1" x14ac:dyDescent="0.3">
      <c r="A777" s="7"/>
      <c r="B777" s="167"/>
      <c r="C777" s="167"/>
      <c r="D777" s="7"/>
      <c r="E777" s="7"/>
      <c r="F777" s="167"/>
      <c r="G777" s="7"/>
      <c r="H777" s="5"/>
      <c r="I777" s="168"/>
      <c r="J777" s="167"/>
      <c r="K777" s="167"/>
      <c r="L777" s="14"/>
      <c r="M777" s="14"/>
      <c r="N777" s="14"/>
      <c r="O777" s="40" t="s">
        <v>3836</v>
      </c>
      <c r="P777" s="10">
        <v>12000000</v>
      </c>
      <c r="Q777" s="3"/>
      <c r="R777" s="3"/>
      <c r="S777" s="3"/>
      <c r="T777" s="30"/>
      <c r="U777" s="3">
        <v>12000000</v>
      </c>
      <c r="V777" s="7"/>
      <c r="W777" s="36"/>
      <c r="X777" s="36"/>
      <c r="Y777" s="36"/>
      <c r="Z777" s="36">
        <f t="shared" si="96"/>
        <v>0</v>
      </c>
      <c r="AA777" s="4"/>
      <c r="AB777" s="80"/>
    </row>
    <row r="778" spans="1:28" ht="42.6" customHeight="1" x14ac:dyDescent="0.3">
      <c r="A778" s="7" t="s">
        <v>1601</v>
      </c>
      <c r="B778" s="149"/>
      <c r="C778" s="149"/>
      <c r="D778" s="7" t="s">
        <v>3207</v>
      </c>
      <c r="E778" s="5"/>
      <c r="F778" s="149"/>
      <c r="G778" s="7" t="s">
        <v>3210</v>
      </c>
      <c r="H778" s="5"/>
      <c r="I778" s="166"/>
      <c r="J778" s="149"/>
      <c r="K778" s="149"/>
      <c r="L778" s="14">
        <v>748291540</v>
      </c>
      <c r="M778" s="5"/>
      <c r="N778" s="14">
        <v>15000000</v>
      </c>
      <c r="O778" s="7" t="s">
        <v>3829</v>
      </c>
      <c r="P778" s="3">
        <v>72000000</v>
      </c>
      <c r="Q778" s="3">
        <f>L778+M778+N778+P778</f>
        <v>835291540</v>
      </c>
      <c r="R778" s="36">
        <v>748291540</v>
      </c>
      <c r="S778" s="7"/>
      <c r="T778" s="30">
        <v>15000000</v>
      </c>
      <c r="U778" s="3"/>
      <c r="V778" s="7"/>
      <c r="W778" s="36"/>
      <c r="X778" s="36">
        <f t="shared" ref="X778:Y780" si="97">M778-S778</f>
        <v>0</v>
      </c>
      <c r="Y778" s="36">
        <f t="shared" si="97"/>
        <v>0</v>
      </c>
      <c r="Z778" s="36">
        <f t="shared" si="96"/>
        <v>72000000</v>
      </c>
      <c r="AA778" s="4"/>
      <c r="AB778" s="83" t="s">
        <v>3864</v>
      </c>
    </row>
    <row r="779" spans="1:28" ht="62.4" x14ac:dyDescent="0.3">
      <c r="A779" s="7" t="s">
        <v>46</v>
      </c>
      <c r="B779" s="6">
        <v>748</v>
      </c>
      <c r="C779" s="7" t="s">
        <v>2877</v>
      </c>
      <c r="D779" s="7" t="s">
        <v>3213</v>
      </c>
      <c r="E779" s="5"/>
      <c r="F779" s="7" t="s">
        <v>3214</v>
      </c>
      <c r="G779" s="5"/>
      <c r="H779" s="5"/>
      <c r="I779" s="21" t="s">
        <v>3215</v>
      </c>
      <c r="J779" s="7" t="s">
        <v>24</v>
      </c>
      <c r="K779" s="7" t="s">
        <v>3216</v>
      </c>
      <c r="L779" s="14">
        <v>1886255920</v>
      </c>
      <c r="M779" s="5"/>
      <c r="N779" s="14">
        <v>15000000</v>
      </c>
      <c r="O779" s="40" t="s">
        <v>3195</v>
      </c>
      <c r="P779" s="10">
        <v>72000000</v>
      </c>
      <c r="Q779" s="3">
        <f>L779+M779+N779+P779</f>
        <v>1973255920</v>
      </c>
      <c r="R779" s="3">
        <v>1886255920</v>
      </c>
      <c r="S779" s="7"/>
      <c r="T779" s="30">
        <v>15000000</v>
      </c>
      <c r="U779" s="3">
        <v>24000000</v>
      </c>
      <c r="V779" s="7"/>
      <c r="W779" s="36"/>
      <c r="X779" s="36">
        <f t="shared" si="97"/>
        <v>0</v>
      </c>
      <c r="Y779" s="36">
        <f t="shared" si="97"/>
        <v>0</v>
      </c>
      <c r="Z779" s="36">
        <f t="shared" si="96"/>
        <v>48000000</v>
      </c>
      <c r="AA779" s="4"/>
      <c r="AB779" s="80" t="s">
        <v>3822</v>
      </c>
    </row>
    <row r="780" spans="1:28" ht="42" x14ac:dyDescent="0.3">
      <c r="A780" s="7" t="s">
        <v>1601</v>
      </c>
      <c r="B780" s="6">
        <v>749</v>
      </c>
      <c r="C780" s="7" t="s">
        <v>2877</v>
      </c>
      <c r="D780" s="7" t="s">
        <v>3217</v>
      </c>
      <c r="E780" s="5"/>
      <c r="F780" s="7" t="s">
        <v>3218</v>
      </c>
      <c r="G780" s="5"/>
      <c r="H780" s="5"/>
      <c r="I780" s="21" t="s">
        <v>3219</v>
      </c>
      <c r="J780" s="7" t="s">
        <v>24</v>
      </c>
      <c r="K780" s="7" t="s">
        <v>2632</v>
      </c>
      <c r="L780" s="14">
        <v>1272966611</v>
      </c>
      <c r="M780" s="5"/>
      <c r="N780" s="14">
        <v>15000000</v>
      </c>
      <c r="O780" s="40"/>
      <c r="P780" s="40"/>
      <c r="Q780" s="3">
        <f>L780+M780+N780+P780</f>
        <v>1287966611</v>
      </c>
      <c r="R780" s="36">
        <v>1272966611</v>
      </c>
      <c r="S780" s="7"/>
      <c r="T780" s="30">
        <v>15000000</v>
      </c>
      <c r="U780" s="7"/>
      <c r="V780" s="7"/>
      <c r="W780" s="36"/>
      <c r="X780" s="36">
        <f t="shared" si="97"/>
        <v>0</v>
      </c>
      <c r="Y780" s="36">
        <f t="shared" si="97"/>
        <v>0</v>
      </c>
      <c r="Z780" s="36">
        <f t="shared" si="96"/>
        <v>0</v>
      </c>
      <c r="AA780" s="4"/>
      <c r="AB780" s="79"/>
    </row>
    <row r="781" spans="1:28" ht="31.2" x14ac:dyDescent="0.3">
      <c r="A781" s="7"/>
      <c r="B781" s="148">
        <v>750</v>
      </c>
      <c r="C781" s="148" t="s">
        <v>2877</v>
      </c>
      <c r="D781" s="7"/>
      <c r="E781" s="5"/>
      <c r="F781" s="148" t="s">
        <v>3223</v>
      </c>
      <c r="G781" s="5"/>
      <c r="H781" s="5"/>
      <c r="I781" s="150" t="s">
        <v>3225</v>
      </c>
      <c r="J781" s="148" t="s">
        <v>24</v>
      </c>
      <c r="K781" s="148" t="s">
        <v>3226</v>
      </c>
      <c r="L781" s="14"/>
      <c r="M781" s="5"/>
      <c r="N781" s="14"/>
      <c r="O781" s="40" t="s">
        <v>1177</v>
      </c>
      <c r="P781" s="40">
        <v>24000000</v>
      </c>
      <c r="Q781" s="3"/>
      <c r="R781" s="36"/>
      <c r="S781" s="7"/>
      <c r="T781" s="30"/>
      <c r="U781" s="3">
        <v>24000000</v>
      </c>
      <c r="V781" s="7"/>
      <c r="W781" s="36"/>
      <c r="X781" s="36"/>
      <c r="Y781" s="36"/>
      <c r="Z781" s="36">
        <f t="shared" si="96"/>
        <v>0</v>
      </c>
      <c r="AA781" s="4"/>
      <c r="AB781" s="79"/>
    </row>
    <row r="782" spans="1:28" s="98" customFormat="1" ht="31.2" x14ac:dyDescent="0.3">
      <c r="A782" s="89" t="s">
        <v>2290</v>
      </c>
      <c r="B782" s="149"/>
      <c r="C782" s="149"/>
      <c r="D782" s="89" t="s">
        <v>3220</v>
      </c>
      <c r="E782" s="89" t="s">
        <v>3222</v>
      </c>
      <c r="F782" s="149"/>
      <c r="G782" s="89" t="s">
        <v>3224</v>
      </c>
      <c r="H782" s="100"/>
      <c r="I782" s="151"/>
      <c r="J782" s="149"/>
      <c r="K782" s="149"/>
      <c r="L782" s="90">
        <v>1467836032</v>
      </c>
      <c r="M782" s="102">
        <v>1187425264</v>
      </c>
      <c r="N782" s="90">
        <v>15000000</v>
      </c>
      <c r="O782" s="91" t="s">
        <v>3855</v>
      </c>
      <c r="P782" s="103">
        <v>48000000</v>
      </c>
      <c r="Q782" s="93">
        <f t="shared" ref="Q782:Q790" si="98">L782+M782+N782+P782</f>
        <v>2718261296</v>
      </c>
      <c r="R782" s="93">
        <v>1467836032</v>
      </c>
      <c r="S782" s="93">
        <v>1187425264</v>
      </c>
      <c r="T782" s="94">
        <v>15000000</v>
      </c>
      <c r="U782" s="93"/>
      <c r="V782" s="89"/>
      <c r="W782" s="95"/>
      <c r="X782" s="95">
        <f t="shared" ref="X782:X790" si="99">M782-S782</f>
        <v>0</v>
      </c>
      <c r="Y782" s="95">
        <f t="shared" ref="Y782:Y790" si="100">N782-T782</f>
        <v>0</v>
      </c>
      <c r="Z782" s="95">
        <f t="shared" si="96"/>
        <v>48000000</v>
      </c>
      <c r="AA782" s="96"/>
      <c r="AB782" s="97" t="s">
        <v>3852</v>
      </c>
    </row>
    <row r="783" spans="1:28" ht="31.2" x14ac:dyDescent="0.3">
      <c r="A783" s="7" t="s">
        <v>1601</v>
      </c>
      <c r="B783" s="6">
        <v>751</v>
      </c>
      <c r="C783" s="7" t="s">
        <v>2877</v>
      </c>
      <c r="D783" s="7" t="s">
        <v>3227</v>
      </c>
      <c r="E783" s="5"/>
      <c r="F783" s="7" t="s">
        <v>3228</v>
      </c>
      <c r="G783" s="5"/>
      <c r="H783" s="5"/>
      <c r="I783" s="21" t="s">
        <v>3229</v>
      </c>
      <c r="J783" s="7" t="s">
        <v>24</v>
      </c>
      <c r="K783" s="7" t="s">
        <v>3230</v>
      </c>
      <c r="L783" s="14">
        <v>923490256</v>
      </c>
      <c r="M783" s="5"/>
      <c r="N783" s="14">
        <v>15000000</v>
      </c>
      <c r="O783" s="40" t="s">
        <v>773</v>
      </c>
      <c r="P783" s="10">
        <v>48000000</v>
      </c>
      <c r="Q783" s="3">
        <f t="shared" si="98"/>
        <v>986490256</v>
      </c>
      <c r="R783" s="36">
        <v>923490256</v>
      </c>
      <c r="S783" s="7"/>
      <c r="T783" s="30">
        <v>15000000</v>
      </c>
      <c r="U783" s="3">
        <v>48000000</v>
      </c>
      <c r="V783" s="7"/>
      <c r="W783" s="36"/>
      <c r="X783" s="36">
        <f t="shared" si="99"/>
        <v>0</v>
      </c>
      <c r="Y783" s="36">
        <f t="shared" si="100"/>
        <v>0</v>
      </c>
      <c r="Z783" s="36">
        <f t="shared" ref="Z783" si="101">P783-U783</f>
        <v>0</v>
      </c>
      <c r="AA783" s="4"/>
      <c r="AB783" s="80"/>
    </row>
    <row r="784" spans="1:28" s="98" customFormat="1" ht="42" x14ac:dyDescent="0.3">
      <c r="A784" s="89" t="s">
        <v>1601</v>
      </c>
      <c r="B784" s="99">
        <v>751</v>
      </c>
      <c r="C784" s="89" t="s">
        <v>2877</v>
      </c>
      <c r="D784" s="89" t="s">
        <v>3227</v>
      </c>
      <c r="E784" s="100"/>
      <c r="F784" s="89" t="s">
        <v>3228</v>
      </c>
      <c r="G784" s="100"/>
      <c r="H784" s="100"/>
      <c r="I784" s="101" t="s">
        <v>3856</v>
      </c>
      <c r="J784" s="89" t="s">
        <v>24</v>
      </c>
      <c r="K784" s="89" t="s">
        <v>3230</v>
      </c>
      <c r="L784" s="90">
        <v>923490256</v>
      </c>
      <c r="M784" s="100"/>
      <c r="N784" s="90">
        <v>15000000</v>
      </c>
      <c r="O784" s="91" t="s">
        <v>1546</v>
      </c>
      <c r="P784" s="103">
        <v>48000000</v>
      </c>
      <c r="Q784" s="93">
        <f t="shared" si="98"/>
        <v>986490256</v>
      </c>
      <c r="R784" s="95">
        <v>923490256</v>
      </c>
      <c r="S784" s="89"/>
      <c r="T784" s="94">
        <v>15000000</v>
      </c>
      <c r="U784" s="93"/>
      <c r="V784" s="89"/>
      <c r="W784" s="95"/>
      <c r="X784" s="95">
        <f t="shared" si="99"/>
        <v>0</v>
      </c>
      <c r="Y784" s="95">
        <f t="shared" si="100"/>
        <v>0</v>
      </c>
      <c r="Z784" s="95">
        <f t="shared" si="96"/>
        <v>48000000</v>
      </c>
      <c r="AA784" s="96"/>
      <c r="AB784" s="97" t="s">
        <v>3853</v>
      </c>
    </row>
    <row r="785" spans="1:28" ht="84" x14ac:dyDescent="0.3">
      <c r="A785" s="7" t="s">
        <v>18</v>
      </c>
      <c r="B785" s="6">
        <v>752</v>
      </c>
      <c r="C785" s="7" t="s">
        <v>2877</v>
      </c>
      <c r="D785" s="7" t="s">
        <v>3231</v>
      </c>
      <c r="E785" s="5"/>
      <c r="F785" s="7" t="s">
        <v>3232</v>
      </c>
      <c r="G785" s="7" t="s">
        <v>3233</v>
      </c>
      <c r="H785" s="5"/>
      <c r="I785" s="21" t="s">
        <v>3234</v>
      </c>
      <c r="J785" s="7" t="s">
        <v>24</v>
      </c>
      <c r="K785" s="7" t="s">
        <v>3235</v>
      </c>
      <c r="L785" s="14">
        <v>10997534236</v>
      </c>
      <c r="M785" s="5"/>
      <c r="N785" s="14">
        <v>15000000</v>
      </c>
      <c r="O785" s="40"/>
      <c r="P785" s="40"/>
      <c r="Q785" s="3">
        <f t="shared" si="98"/>
        <v>11012534236</v>
      </c>
      <c r="R785" s="3">
        <v>10997534236</v>
      </c>
      <c r="S785" s="7"/>
      <c r="T785" s="72"/>
      <c r="U785" s="7"/>
      <c r="V785" s="7"/>
      <c r="W785" s="36"/>
      <c r="X785" s="36">
        <f t="shared" si="99"/>
        <v>0</v>
      </c>
      <c r="Y785" s="36">
        <f t="shared" si="100"/>
        <v>15000000</v>
      </c>
      <c r="Z785" s="36">
        <f t="shared" si="96"/>
        <v>0</v>
      </c>
      <c r="AA785" s="4"/>
      <c r="AB785" s="79"/>
    </row>
    <row r="786" spans="1:28" s="98" customFormat="1" ht="42" x14ac:dyDescent="0.3">
      <c r="A786" s="89" t="s">
        <v>1601</v>
      </c>
      <c r="B786" s="99">
        <v>753</v>
      </c>
      <c r="C786" s="89" t="s">
        <v>2877</v>
      </c>
      <c r="D786" s="89" t="s">
        <v>3236</v>
      </c>
      <c r="E786" s="89" t="s">
        <v>2343</v>
      </c>
      <c r="F786" s="89" t="s">
        <v>3237</v>
      </c>
      <c r="G786" s="100"/>
      <c r="H786" s="100"/>
      <c r="I786" s="101" t="s">
        <v>3238</v>
      </c>
      <c r="J786" s="89" t="s">
        <v>24</v>
      </c>
      <c r="K786" s="89" t="s">
        <v>3239</v>
      </c>
      <c r="L786" s="90">
        <v>10000000</v>
      </c>
      <c r="M786" s="102">
        <v>1047274020</v>
      </c>
      <c r="N786" s="90">
        <v>15000000</v>
      </c>
      <c r="O786" s="91" t="s">
        <v>1397</v>
      </c>
      <c r="P786" s="103">
        <v>60000000</v>
      </c>
      <c r="Q786" s="93">
        <f t="shared" si="98"/>
        <v>1132274020</v>
      </c>
      <c r="R786" s="93">
        <v>10000000</v>
      </c>
      <c r="S786" s="93">
        <v>1047274020</v>
      </c>
      <c r="T786" s="94">
        <v>15000000</v>
      </c>
      <c r="U786" s="89"/>
      <c r="V786" s="89"/>
      <c r="W786" s="95"/>
      <c r="X786" s="95">
        <f t="shared" si="99"/>
        <v>0</v>
      </c>
      <c r="Y786" s="95">
        <f t="shared" si="100"/>
        <v>0</v>
      </c>
      <c r="Z786" s="95">
        <f t="shared" si="96"/>
        <v>60000000</v>
      </c>
      <c r="AA786" s="96"/>
      <c r="AB786" s="97" t="s">
        <v>3851</v>
      </c>
    </row>
    <row r="787" spans="1:28" ht="42" x14ac:dyDescent="0.3">
      <c r="A787" s="7" t="s">
        <v>1601</v>
      </c>
      <c r="B787" s="6">
        <v>754</v>
      </c>
      <c r="C787" s="7" t="s">
        <v>2877</v>
      </c>
      <c r="D787" s="7" t="s">
        <v>3240</v>
      </c>
      <c r="E787" s="5"/>
      <c r="F787" s="7" t="s">
        <v>3241</v>
      </c>
      <c r="G787" s="7" t="s">
        <v>3242</v>
      </c>
      <c r="H787" s="5"/>
      <c r="I787" s="21" t="s">
        <v>3243</v>
      </c>
      <c r="J787" s="7" t="s">
        <v>24</v>
      </c>
      <c r="K787" s="7" t="s">
        <v>3244</v>
      </c>
      <c r="L787" s="14">
        <v>2463725120</v>
      </c>
      <c r="M787" s="5"/>
      <c r="N787" s="14">
        <v>15000000</v>
      </c>
      <c r="O787" s="40"/>
      <c r="P787" s="40"/>
      <c r="Q787" s="3">
        <f t="shared" si="98"/>
        <v>2478725120</v>
      </c>
      <c r="R787" s="3">
        <v>2463725120</v>
      </c>
      <c r="S787" s="7"/>
      <c r="T787" s="30">
        <v>15000000</v>
      </c>
      <c r="U787" s="7"/>
      <c r="V787" s="7"/>
      <c r="W787" s="36"/>
      <c r="X787" s="36">
        <f t="shared" si="99"/>
        <v>0</v>
      </c>
      <c r="Y787" s="36">
        <f t="shared" si="100"/>
        <v>0</v>
      </c>
      <c r="Z787" s="36">
        <f t="shared" si="96"/>
        <v>0</v>
      </c>
      <c r="AA787" s="4"/>
      <c r="AB787" s="79"/>
    </row>
    <row r="788" spans="1:28" ht="42" x14ac:dyDescent="0.3">
      <c r="A788" s="7" t="s">
        <v>46</v>
      </c>
      <c r="B788" s="6">
        <v>755</v>
      </c>
      <c r="C788" s="7" t="s">
        <v>2877</v>
      </c>
      <c r="D788" s="7" t="s">
        <v>3245</v>
      </c>
      <c r="E788" s="5"/>
      <c r="F788" s="7" t="s">
        <v>3246</v>
      </c>
      <c r="G788" s="5"/>
      <c r="H788" s="5"/>
      <c r="I788" s="21" t="s">
        <v>3247</v>
      </c>
      <c r="J788" s="7" t="s">
        <v>24</v>
      </c>
      <c r="K788" s="7" t="s">
        <v>2779</v>
      </c>
      <c r="L788" s="14">
        <v>1935531328</v>
      </c>
      <c r="M788" s="5"/>
      <c r="N788" s="14">
        <v>15000000</v>
      </c>
      <c r="O788" s="40"/>
      <c r="P788" s="40"/>
      <c r="Q788" s="3">
        <f t="shared" si="98"/>
        <v>1950531328</v>
      </c>
      <c r="R788" s="36">
        <v>1935531328</v>
      </c>
      <c r="S788" s="7"/>
      <c r="T788" s="30">
        <v>15000000</v>
      </c>
      <c r="U788" s="7"/>
      <c r="V788" s="7"/>
      <c r="W788" s="36"/>
      <c r="X788" s="36">
        <f t="shared" si="99"/>
        <v>0</v>
      </c>
      <c r="Y788" s="36">
        <f t="shared" si="100"/>
        <v>0</v>
      </c>
      <c r="Z788" s="36">
        <f t="shared" si="96"/>
        <v>0</v>
      </c>
      <c r="AA788" s="4"/>
      <c r="AB788" s="79"/>
    </row>
    <row r="789" spans="1:28" ht="31.2" x14ac:dyDescent="0.3">
      <c r="A789" s="7" t="s">
        <v>1601</v>
      </c>
      <c r="B789" s="148">
        <v>756</v>
      </c>
      <c r="C789" s="148" t="s">
        <v>2877</v>
      </c>
      <c r="D789" s="7" t="s">
        <v>3248</v>
      </c>
      <c r="E789" s="5"/>
      <c r="F789" s="148" t="s">
        <v>3250</v>
      </c>
      <c r="G789" s="5"/>
      <c r="H789" s="5"/>
      <c r="I789" s="150" t="s">
        <v>3251</v>
      </c>
      <c r="J789" s="148" t="s">
        <v>24</v>
      </c>
      <c r="K789" s="148" t="s">
        <v>3252</v>
      </c>
      <c r="L789" s="14">
        <v>10000000</v>
      </c>
      <c r="M789" s="5"/>
      <c r="N789" s="14">
        <v>15000000</v>
      </c>
      <c r="O789" s="40" t="s">
        <v>1412</v>
      </c>
      <c r="P789" s="10">
        <v>24000000</v>
      </c>
      <c r="Q789" s="3">
        <f t="shared" si="98"/>
        <v>49000000</v>
      </c>
      <c r="R789" s="3">
        <v>10000000</v>
      </c>
      <c r="S789" s="7"/>
      <c r="T789" s="30">
        <v>15000000</v>
      </c>
      <c r="U789" s="3">
        <v>24000000</v>
      </c>
      <c r="V789" s="7"/>
      <c r="W789" s="36"/>
      <c r="X789" s="36">
        <f t="shared" si="99"/>
        <v>0</v>
      </c>
      <c r="Y789" s="36">
        <f t="shared" si="100"/>
        <v>0</v>
      </c>
      <c r="Z789" s="36">
        <f t="shared" ref="Z789" si="102">P789-U789</f>
        <v>0</v>
      </c>
      <c r="AA789" s="4"/>
      <c r="AB789" s="80"/>
    </row>
    <row r="790" spans="1:28" s="98" customFormat="1" ht="31.2" x14ac:dyDescent="0.3">
      <c r="A790" s="89" t="s">
        <v>1601</v>
      </c>
      <c r="B790" s="149"/>
      <c r="C790" s="149"/>
      <c r="D790" s="89" t="s">
        <v>3248</v>
      </c>
      <c r="E790" s="100"/>
      <c r="F790" s="149"/>
      <c r="G790" s="100"/>
      <c r="H790" s="100"/>
      <c r="I790" s="151"/>
      <c r="J790" s="149"/>
      <c r="K790" s="149"/>
      <c r="L790" s="90">
        <v>10000000</v>
      </c>
      <c r="M790" s="100"/>
      <c r="N790" s="90">
        <v>15000000</v>
      </c>
      <c r="O790" s="91" t="s">
        <v>3857</v>
      </c>
      <c r="P790" s="103">
        <v>48000000</v>
      </c>
      <c r="Q790" s="93">
        <f t="shared" si="98"/>
        <v>73000000</v>
      </c>
      <c r="R790" s="93">
        <v>10000000</v>
      </c>
      <c r="S790" s="89"/>
      <c r="T790" s="94">
        <v>15000000</v>
      </c>
      <c r="U790" s="93"/>
      <c r="V790" s="89"/>
      <c r="W790" s="95"/>
      <c r="X790" s="95">
        <f t="shared" si="99"/>
        <v>0</v>
      </c>
      <c r="Y790" s="95">
        <f t="shared" si="100"/>
        <v>0</v>
      </c>
      <c r="Z790" s="95">
        <f t="shared" si="96"/>
        <v>48000000</v>
      </c>
      <c r="AA790" s="96"/>
      <c r="AB790" s="97" t="s">
        <v>3853</v>
      </c>
    </row>
    <row r="791" spans="1:28" ht="45" customHeight="1" x14ac:dyDescent="0.3">
      <c r="A791" s="7"/>
      <c r="B791" s="148">
        <v>757</v>
      </c>
      <c r="C791" s="148" t="s">
        <v>2877</v>
      </c>
      <c r="D791" s="7"/>
      <c r="E791" s="5"/>
      <c r="F791" s="148" t="s">
        <v>3256</v>
      </c>
      <c r="G791" s="5"/>
      <c r="H791" s="5"/>
      <c r="I791" s="150" t="s">
        <v>3842</v>
      </c>
      <c r="J791" s="148" t="s">
        <v>24</v>
      </c>
      <c r="K791" s="148" t="s">
        <v>3259</v>
      </c>
      <c r="L791" s="14"/>
      <c r="M791" s="5"/>
      <c r="N791" s="14"/>
      <c r="O791" s="40" t="s">
        <v>3837</v>
      </c>
      <c r="P791" s="10">
        <v>24000000</v>
      </c>
      <c r="Q791" s="3"/>
      <c r="R791" s="3"/>
      <c r="S791" s="7"/>
      <c r="T791" s="30"/>
      <c r="U791" s="3">
        <v>24000000</v>
      </c>
      <c r="V791" s="7"/>
      <c r="W791" s="36"/>
      <c r="X791" s="36"/>
      <c r="Y791" s="36"/>
      <c r="Z791" s="36">
        <f t="shared" si="96"/>
        <v>0</v>
      </c>
      <c r="AA791" s="4"/>
      <c r="AB791" s="80"/>
    </row>
    <row r="792" spans="1:28" ht="54.6" customHeight="1" x14ac:dyDescent="0.3">
      <c r="A792" s="7" t="s">
        <v>2290</v>
      </c>
      <c r="B792" s="149"/>
      <c r="C792" s="149"/>
      <c r="D792" s="7" t="s">
        <v>3253</v>
      </c>
      <c r="E792" s="7" t="s">
        <v>3255</v>
      </c>
      <c r="F792" s="149"/>
      <c r="G792" s="7" t="s">
        <v>3257</v>
      </c>
      <c r="H792" s="5"/>
      <c r="I792" s="166"/>
      <c r="J792" s="149"/>
      <c r="K792" s="149"/>
      <c r="L792" s="14">
        <v>1842294840</v>
      </c>
      <c r="M792" s="14">
        <v>866576480</v>
      </c>
      <c r="N792" s="14">
        <v>15000000</v>
      </c>
      <c r="O792" s="7" t="s">
        <v>3829</v>
      </c>
      <c r="P792" s="3">
        <v>48000000</v>
      </c>
      <c r="Q792" s="3">
        <f>L792+M792+N792+P792</f>
        <v>2771871320</v>
      </c>
      <c r="R792" s="3">
        <v>1842294840</v>
      </c>
      <c r="S792" s="3">
        <v>866576480</v>
      </c>
      <c r="T792" s="30">
        <v>15000000</v>
      </c>
      <c r="U792" s="3"/>
      <c r="V792" s="7"/>
      <c r="W792" s="36"/>
      <c r="X792" s="36">
        <f t="shared" ref="X792:Y795" si="103">M792-S792</f>
        <v>0</v>
      </c>
      <c r="Y792" s="36">
        <f t="shared" si="103"/>
        <v>0</v>
      </c>
      <c r="Z792" s="36">
        <f t="shared" si="96"/>
        <v>48000000</v>
      </c>
      <c r="AA792" s="4"/>
      <c r="AB792" s="83"/>
    </row>
    <row r="793" spans="1:28" ht="63" x14ac:dyDescent="0.3">
      <c r="A793" s="7" t="s">
        <v>18</v>
      </c>
      <c r="B793" s="6">
        <v>758</v>
      </c>
      <c r="C793" s="7" t="s">
        <v>2877</v>
      </c>
      <c r="D793" s="7" t="s">
        <v>3260</v>
      </c>
      <c r="E793" s="5"/>
      <c r="F793" s="7" t="s">
        <v>3261</v>
      </c>
      <c r="G793" s="7" t="s">
        <v>877</v>
      </c>
      <c r="H793" s="5"/>
      <c r="I793" s="21" t="s">
        <v>3262</v>
      </c>
      <c r="J793" s="7" t="s">
        <v>24</v>
      </c>
      <c r="K793" s="7" t="s">
        <v>3263</v>
      </c>
      <c r="L793" s="14">
        <v>5689097581</v>
      </c>
      <c r="M793" s="5"/>
      <c r="N793" s="14">
        <v>15000000</v>
      </c>
      <c r="O793" s="40"/>
      <c r="P793" s="40"/>
      <c r="Q793" s="3">
        <f>L793+M793+N793+P793</f>
        <v>5704097581</v>
      </c>
      <c r="R793" s="3">
        <v>5689097581</v>
      </c>
      <c r="S793" s="7"/>
      <c r="T793" s="30">
        <v>15000000</v>
      </c>
      <c r="U793" s="7"/>
      <c r="V793" s="7"/>
      <c r="W793" s="36"/>
      <c r="X793" s="36">
        <f t="shared" si="103"/>
        <v>0</v>
      </c>
      <c r="Y793" s="36">
        <f t="shared" si="103"/>
        <v>0</v>
      </c>
      <c r="Z793" s="36">
        <f t="shared" si="96"/>
        <v>0</v>
      </c>
      <c r="AA793" s="4"/>
      <c r="AB793" s="79"/>
    </row>
    <row r="794" spans="1:28" ht="63" x14ac:dyDescent="0.3">
      <c r="A794" s="7" t="s">
        <v>62</v>
      </c>
      <c r="B794" s="6">
        <v>759</v>
      </c>
      <c r="C794" s="7" t="s">
        <v>2877</v>
      </c>
      <c r="D794" s="7" t="s">
        <v>3264</v>
      </c>
      <c r="E794" s="5"/>
      <c r="F794" s="7" t="s">
        <v>3265</v>
      </c>
      <c r="G794" s="5"/>
      <c r="H794" s="5"/>
      <c r="I794" s="21" t="s">
        <v>3266</v>
      </c>
      <c r="J794" s="7" t="s">
        <v>24</v>
      </c>
      <c r="K794" s="7" t="s">
        <v>3267</v>
      </c>
      <c r="L794" s="14">
        <v>2504835588</v>
      </c>
      <c r="M794" s="5"/>
      <c r="N794" s="14">
        <v>15000000</v>
      </c>
      <c r="O794" s="40"/>
      <c r="P794" s="40"/>
      <c r="Q794" s="3">
        <f>L794+M794+N794+P794</f>
        <v>2519835588</v>
      </c>
      <c r="R794" s="3">
        <v>2504835588</v>
      </c>
      <c r="S794" s="7"/>
      <c r="T794" s="30">
        <v>15000000</v>
      </c>
      <c r="U794" s="7"/>
      <c r="V794" s="7"/>
      <c r="W794" s="36"/>
      <c r="X794" s="36">
        <f t="shared" si="103"/>
        <v>0</v>
      </c>
      <c r="Y794" s="36">
        <f t="shared" si="103"/>
        <v>0</v>
      </c>
      <c r="Z794" s="36">
        <f t="shared" si="96"/>
        <v>0</v>
      </c>
      <c r="AA794" s="4"/>
      <c r="AB794" s="79"/>
    </row>
    <row r="795" spans="1:28" ht="42" x14ac:dyDescent="0.3">
      <c r="A795" s="7" t="s">
        <v>46</v>
      </c>
      <c r="B795" s="6">
        <v>760</v>
      </c>
      <c r="C795" s="7" t="s">
        <v>2877</v>
      </c>
      <c r="D795" s="7" t="s">
        <v>3268</v>
      </c>
      <c r="E795" s="5"/>
      <c r="F795" s="7" t="s">
        <v>3269</v>
      </c>
      <c r="G795" s="5"/>
      <c r="H795" s="5"/>
      <c r="I795" s="21" t="s">
        <v>197</v>
      </c>
      <c r="J795" s="7" t="s">
        <v>24</v>
      </c>
      <c r="K795" s="7" t="s">
        <v>2856</v>
      </c>
      <c r="L795" s="14">
        <v>851472352</v>
      </c>
      <c r="M795" s="5"/>
      <c r="N795" s="14">
        <v>15000000</v>
      </c>
      <c r="O795" s="40"/>
      <c r="P795" s="40"/>
      <c r="Q795" s="3">
        <f>L795+M795+N795+P795</f>
        <v>866472352</v>
      </c>
      <c r="R795" s="3">
        <v>851472352</v>
      </c>
      <c r="S795" s="7"/>
      <c r="T795" s="30">
        <v>15000000</v>
      </c>
      <c r="U795" s="7"/>
      <c r="V795" s="7"/>
      <c r="W795" s="36"/>
      <c r="X795" s="36">
        <f t="shared" si="103"/>
        <v>0</v>
      </c>
      <c r="Y795" s="36">
        <f t="shared" si="103"/>
        <v>0</v>
      </c>
      <c r="Z795" s="36">
        <f t="shared" si="96"/>
        <v>0</v>
      </c>
      <c r="AA795" s="4"/>
      <c r="AB795" s="79"/>
    </row>
    <row r="796" spans="1:28" ht="37.200000000000003" customHeight="1" x14ac:dyDescent="0.3">
      <c r="A796" s="7"/>
      <c r="B796" s="148">
        <v>761</v>
      </c>
      <c r="C796" s="148" t="s">
        <v>2877</v>
      </c>
      <c r="D796" s="7"/>
      <c r="E796" s="5"/>
      <c r="F796" s="164" t="s">
        <v>3272</v>
      </c>
      <c r="G796" s="5"/>
      <c r="H796" s="5"/>
      <c r="I796" s="150" t="s">
        <v>3273</v>
      </c>
      <c r="J796" s="164" t="s">
        <v>24</v>
      </c>
      <c r="K796" s="148" t="s">
        <v>2856</v>
      </c>
      <c r="L796" s="14"/>
      <c r="M796" s="5"/>
      <c r="N796" s="14"/>
      <c r="O796" s="40" t="s">
        <v>3839</v>
      </c>
      <c r="P796" s="10">
        <v>24000000</v>
      </c>
      <c r="Q796" s="10"/>
      <c r="R796" s="10"/>
      <c r="S796" s="10"/>
      <c r="T796" s="10"/>
      <c r="U796" s="10">
        <v>24000000</v>
      </c>
      <c r="V796" s="10"/>
      <c r="W796" s="10"/>
      <c r="X796" s="10"/>
      <c r="Y796" s="10"/>
      <c r="Z796" s="10">
        <f t="shared" si="96"/>
        <v>0</v>
      </c>
      <c r="AA796" s="4"/>
      <c r="AB796" s="79"/>
    </row>
    <row r="797" spans="1:28" ht="42.6" customHeight="1" x14ac:dyDescent="0.4">
      <c r="A797" s="40" t="s">
        <v>46</v>
      </c>
      <c r="B797" s="149"/>
      <c r="C797" s="149"/>
      <c r="D797" s="7" t="s">
        <v>3270</v>
      </c>
      <c r="E797" s="4"/>
      <c r="F797" s="149"/>
      <c r="G797" s="4"/>
      <c r="H797" s="4"/>
      <c r="I797" s="166"/>
      <c r="J797" s="149"/>
      <c r="K797" s="149"/>
      <c r="L797" s="16">
        <v>1230286468</v>
      </c>
      <c r="M797" s="5"/>
      <c r="N797" s="14">
        <v>15000000</v>
      </c>
      <c r="O797" s="7" t="s">
        <v>3838</v>
      </c>
      <c r="P797" s="3">
        <v>48000000</v>
      </c>
      <c r="Q797" s="3">
        <f t="shared" ref="Q797:Q814" si="104">L797+M797+N797+P797</f>
        <v>1293286468</v>
      </c>
      <c r="R797" s="3">
        <v>1230286468</v>
      </c>
      <c r="S797" s="7"/>
      <c r="T797" s="30">
        <v>15000000</v>
      </c>
      <c r="U797" s="3">
        <v>0</v>
      </c>
      <c r="V797" s="7"/>
      <c r="W797" s="36"/>
      <c r="X797" s="36">
        <f t="shared" ref="X797:X814" si="105">M797-S797</f>
        <v>0</v>
      </c>
      <c r="Y797" s="36">
        <f t="shared" ref="Y797:Y814" si="106">N797-T797</f>
        <v>0</v>
      </c>
      <c r="Z797" s="36">
        <f t="shared" si="96"/>
        <v>48000000</v>
      </c>
      <c r="AA797" s="4"/>
      <c r="AB797" s="83" t="s">
        <v>3863</v>
      </c>
    </row>
    <row r="798" spans="1:28" ht="63" x14ac:dyDescent="0.3">
      <c r="A798" s="7" t="s">
        <v>62</v>
      </c>
      <c r="B798" s="6">
        <v>762</v>
      </c>
      <c r="C798" s="7" t="s">
        <v>2877</v>
      </c>
      <c r="D798" s="7" t="s">
        <v>3274</v>
      </c>
      <c r="E798" s="7" t="s">
        <v>3275</v>
      </c>
      <c r="F798" s="7" t="s">
        <v>3276</v>
      </c>
      <c r="G798" s="5"/>
      <c r="H798" s="5"/>
      <c r="I798" s="21" t="s">
        <v>3277</v>
      </c>
      <c r="J798" s="7" t="s">
        <v>24</v>
      </c>
      <c r="K798" s="7" t="s">
        <v>2856</v>
      </c>
      <c r="L798" s="14">
        <v>10000000</v>
      </c>
      <c r="M798" s="14">
        <v>570457608</v>
      </c>
      <c r="N798" s="14">
        <v>15000000</v>
      </c>
      <c r="O798" s="40"/>
      <c r="P798" s="40"/>
      <c r="Q798" s="3">
        <f t="shared" si="104"/>
        <v>595457608</v>
      </c>
      <c r="R798" s="3">
        <v>10000000</v>
      </c>
      <c r="S798" s="3">
        <v>570457608</v>
      </c>
      <c r="T798" s="30">
        <v>15000000</v>
      </c>
      <c r="U798" s="7"/>
      <c r="V798" s="7"/>
      <c r="W798" s="36"/>
      <c r="X798" s="36">
        <f t="shared" si="105"/>
        <v>0</v>
      </c>
      <c r="Y798" s="36">
        <f t="shared" si="106"/>
        <v>0</v>
      </c>
      <c r="Z798" s="36">
        <f t="shared" si="96"/>
        <v>0</v>
      </c>
      <c r="AA798" s="4"/>
      <c r="AB798" s="79"/>
    </row>
    <row r="799" spans="1:28" ht="63" x14ac:dyDescent="0.3">
      <c r="A799" s="7" t="s">
        <v>1601</v>
      </c>
      <c r="B799" s="6">
        <v>763</v>
      </c>
      <c r="C799" s="7" t="s">
        <v>2877</v>
      </c>
      <c r="D799" s="7" t="s">
        <v>3278</v>
      </c>
      <c r="E799" s="5"/>
      <c r="F799" s="7" t="s">
        <v>3279</v>
      </c>
      <c r="G799" s="5"/>
      <c r="H799" s="5"/>
      <c r="I799" s="21" t="s">
        <v>3280</v>
      </c>
      <c r="J799" s="7" t="s">
        <v>24</v>
      </c>
      <c r="K799" s="7" t="s">
        <v>3281</v>
      </c>
      <c r="L799" s="14">
        <v>2676184080</v>
      </c>
      <c r="M799" s="5"/>
      <c r="N799" s="14">
        <v>15000000</v>
      </c>
      <c r="O799" s="40" t="s">
        <v>1208</v>
      </c>
      <c r="P799" s="10">
        <v>48000000</v>
      </c>
      <c r="Q799" s="3">
        <f t="shared" si="104"/>
        <v>2739184080</v>
      </c>
      <c r="R799" s="36">
        <v>2676184080</v>
      </c>
      <c r="S799" s="7"/>
      <c r="T799" s="72"/>
      <c r="U799" s="3">
        <v>48000000</v>
      </c>
      <c r="V799" s="7"/>
      <c r="W799" s="36"/>
      <c r="X799" s="36">
        <f t="shared" si="105"/>
        <v>0</v>
      </c>
      <c r="Y799" s="36">
        <f t="shared" si="106"/>
        <v>15000000</v>
      </c>
      <c r="Z799" s="36">
        <f t="shared" si="96"/>
        <v>0</v>
      </c>
      <c r="AA799" s="4"/>
      <c r="AB799" s="79"/>
    </row>
    <row r="800" spans="1:28" ht="42" x14ac:dyDescent="0.3">
      <c r="A800" s="7" t="s">
        <v>18</v>
      </c>
      <c r="B800" s="6">
        <v>764</v>
      </c>
      <c r="C800" s="7" t="s">
        <v>2877</v>
      </c>
      <c r="D800" s="7" t="s">
        <v>3282</v>
      </c>
      <c r="E800" s="5"/>
      <c r="F800" s="7" t="s">
        <v>3283</v>
      </c>
      <c r="G800" s="5"/>
      <c r="H800" s="5"/>
      <c r="I800" s="21" t="s">
        <v>3284</v>
      </c>
      <c r="J800" s="7" t="s">
        <v>24</v>
      </c>
      <c r="K800" s="7" t="s">
        <v>3285</v>
      </c>
      <c r="L800" s="14">
        <v>907403290</v>
      </c>
      <c r="M800" s="5"/>
      <c r="N800" s="14">
        <v>15000000</v>
      </c>
      <c r="O800" s="40" t="s">
        <v>1208</v>
      </c>
      <c r="P800" s="10">
        <v>96000000</v>
      </c>
      <c r="Q800" s="3">
        <f t="shared" si="104"/>
        <v>1018403290</v>
      </c>
      <c r="R800" s="3">
        <v>907403290</v>
      </c>
      <c r="S800" s="7"/>
      <c r="T800" s="30">
        <v>15000000</v>
      </c>
      <c r="U800" s="3">
        <v>96000000</v>
      </c>
      <c r="V800" s="7"/>
      <c r="W800" s="36"/>
      <c r="X800" s="36">
        <f t="shared" si="105"/>
        <v>0</v>
      </c>
      <c r="Y800" s="36">
        <f t="shared" si="106"/>
        <v>0</v>
      </c>
      <c r="Z800" s="36">
        <f t="shared" si="96"/>
        <v>0</v>
      </c>
      <c r="AA800" s="4"/>
      <c r="AB800" s="79"/>
    </row>
    <row r="801" spans="1:28" ht="63" x14ac:dyDescent="0.3">
      <c r="A801" s="7" t="s">
        <v>18</v>
      </c>
      <c r="B801" s="6">
        <v>765</v>
      </c>
      <c r="C801" s="7" t="s">
        <v>2877</v>
      </c>
      <c r="D801" s="7" t="s">
        <v>3286</v>
      </c>
      <c r="E801" s="5"/>
      <c r="F801" s="7" t="s">
        <v>3287</v>
      </c>
      <c r="G801" s="5"/>
      <c r="H801" s="5"/>
      <c r="I801" s="21" t="s">
        <v>3843</v>
      </c>
      <c r="J801" s="7" t="s">
        <v>24</v>
      </c>
      <c r="K801" s="7" t="s">
        <v>3289</v>
      </c>
      <c r="L801" s="14">
        <v>5514125770</v>
      </c>
      <c r="M801" s="5"/>
      <c r="N801" s="14">
        <v>15000000</v>
      </c>
      <c r="O801" s="7" t="s">
        <v>529</v>
      </c>
      <c r="P801" s="3">
        <v>24000000</v>
      </c>
      <c r="Q801" s="3">
        <f t="shared" si="104"/>
        <v>5553125770</v>
      </c>
      <c r="R801" s="7"/>
      <c r="S801" s="7"/>
      <c r="T801" s="72"/>
      <c r="U801" s="7"/>
      <c r="V801" s="7"/>
      <c r="W801" s="36">
        <v>5514125770</v>
      </c>
      <c r="X801" s="36">
        <f t="shared" si="105"/>
        <v>0</v>
      </c>
      <c r="Y801" s="36">
        <f t="shared" si="106"/>
        <v>15000000</v>
      </c>
      <c r="Z801" s="36">
        <f t="shared" si="96"/>
        <v>24000000</v>
      </c>
      <c r="AA801" s="8">
        <v>5514125770</v>
      </c>
      <c r="AB801" s="83"/>
    </row>
    <row r="802" spans="1:28" ht="46.8" x14ac:dyDescent="0.3">
      <c r="A802" s="7" t="s">
        <v>18</v>
      </c>
      <c r="B802" s="6">
        <v>766</v>
      </c>
      <c r="C802" s="7" t="s">
        <v>2877</v>
      </c>
      <c r="D802" s="7" t="s">
        <v>3290</v>
      </c>
      <c r="E802" s="5"/>
      <c r="F802" s="7" t="s">
        <v>3291</v>
      </c>
      <c r="G802" s="5"/>
      <c r="H802" s="5"/>
      <c r="I802" s="21" t="s">
        <v>3292</v>
      </c>
      <c r="J802" s="7" t="s">
        <v>24</v>
      </c>
      <c r="K802" s="7" t="s">
        <v>2826</v>
      </c>
      <c r="L802" s="14">
        <v>10000000</v>
      </c>
      <c r="M802" s="5"/>
      <c r="N802" s="14">
        <v>15000000</v>
      </c>
      <c r="O802" s="40"/>
      <c r="P802" s="40"/>
      <c r="Q802" s="3">
        <f t="shared" si="104"/>
        <v>25000000</v>
      </c>
      <c r="R802" s="3">
        <v>10000000</v>
      </c>
      <c r="S802" s="7"/>
      <c r="T802" s="30">
        <v>15000000</v>
      </c>
      <c r="U802" s="7"/>
      <c r="V802" s="7"/>
      <c r="W802" s="36"/>
      <c r="X802" s="36">
        <f t="shared" si="105"/>
        <v>0</v>
      </c>
      <c r="Y802" s="36">
        <f t="shared" si="106"/>
        <v>0</v>
      </c>
      <c r="Z802" s="36">
        <f t="shared" si="96"/>
        <v>0</v>
      </c>
      <c r="AA802" s="4"/>
      <c r="AB802" s="79"/>
    </row>
    <row r="803" spans="1:28" ht="63" x14ac:dyDescent="0.3">
      <c r="A803" s="7" t="s">
        <v>18</v>
      </c>
      <c r="B803" s="6">
        <v>767</v>
      </c>
      <c r="C803" s="7" t="s">
        <v>2877</v>
      </c>
      <c r="D803" s="7" t="s">
        <v>3293</v>
      </c>
      <c r="E803" s="5"/>
      <c r="F803" s="7" t="s">
        <v>3294</v>
      </c>
      <c r="G803" s="5"/>
      <c r="H803" s="5"/>
      <c r="I803" s="21" t="s">
        <v>3295</v>
      </c>
      <c r="J803" s="7" t="s">
        <v>24</v>
      </c>
      <c r="K803" s="7" t="s">
        <v>3296</v>
      </c>
      <c r="L803" s="14">
        <v>14658797865</v>
      </c>
      <c r="M803" s="5"/>
      <c r="N803" s="14">
        <v>15000000</v>
      </c>
      <c r="O803" s="40"/>
      <c r="P803" s="40"/>
      <c r="Q803" s="3">
        <f t="shared" si="104"/>
        <v>14673797865</v>
      </c>
      <c r="R803" s="7"/>
      <c r="S803" s="7"/>
      <c r="T803" s="72"/>
      <c r="U803" s="7"/>
      <c r="V803" s="7"/>
      <c r="W803" s="36">
        <v>14658797865</v>
      </c>
      <c r="X803" s="36">
        <f t="shared" si="105"/>
        <v>0</v>
      </c>
      <c r="Y803" s="36">
        <f t="shared" si="106"/>
        <v>15000000</v>
      </c>
      <c r="Z803" s="36">
        <f t="shared" si="96"/>
        <v>0</v>
      </c>
      <c r="AA803" s="10">
        <v>14658797865</v>
      </c>
      <c r="AB803" s="79"/>
    </row>
    <row r="804" spans="1:28" s="98" customFormat="1" ht="31.2" x14ac:dyDescent="0.3">
      <c r="A804" s="89" t="s">
        <v>1601</v>
      </c>
      <c r="B804" s="99">
        <v>768</v>
      </c>
      <c r="C804" s="89" t="s">
        <v>2877</v>
      </c>
      <c r="D804" s="89" t="s">
        <v>3297</v>
      </c>
      <c r="E804" s="89" t="s">
        <v>2343</v>
      </c>
      <c r="F804" s="89" t="s">
        <v>3298</v>
      </c>
      <c r="G804" s="100"/>
      <c r="H804" s="100"/>
      <c r="I804" s="101" t="s">
        <v>3299</v>
      </c>
      <c r="J804" s="89" t="s">
        <v>24</v>
      </c>
      <c r="K804" s="89" t="s">
        <v>3300</v>
      </c>
      <c r="L804" s="90">
        <v>10000000</v>
      </c>
      <c r="M804" s="102">
        <v>3051023772</v>
      </c>
      <c r="N804" s="90">
        <v>15000000</v>
      </c>
      <c r="O804" s="91" t="s">
        <v>1397</v>
      </c>
      <c r="P804" s="103">
        <v>48000000</v>
      </c>
      <c r="Q804" s="93">
        <f t="shared" si="104"/>
        <v>3124023772</v>
      </c>
      <c r="R804" s="95">
        <v>10000000</v>
      </c>
      <c r="S804" s="93">
        <v>3051023772</v>
      </c>
      <c r="T804" s="94">
        <v>15000000</v>
      </c>
      <c r="U804" s="89"/>
      <c r="V804" s="89"/>
      <c r="W804" s="95"/>
      <c r="X804" s="95">
        <f t="shared" si="105"/>
        <v>0</v>
      </c>
      <c r="Y804" s="95">
        <f t="shared" si="106"/>
        <v>0</v>
      </c>
      <c r="Z804" s="95">
        <f t="shared" si="96"/>
        <v>48000000</v>
      </c>
      <c r="AA804" s="96"/>
      <c r="AB804" s="97" t="s">
        <v>3852</v>
      </c>
    </row>
    <row r="805" spans="1:28" s="98" customFormat="1" ht="62.4" x14ac:dyDescent="0.3">
      <c r="A805" s="89" t="s">
        <v>2290</v>
      </c>
      <c r="B805" s="99">
        <v>769</v>
      </c>
      <c r="C805" s="89" t="s">
        <v>2877</v>
      </c>
      <c r="D805" s="89" t="s">
        <v>3301</v>
      </c>
      <c r="E805" s="89" t="s">
        <v>3302</v>
      </c>
      <c r="F805" s="89" t="s">
        <v>3303</v>
      </c>
      <c r="G805" s="89" t="s">
        <v>3304</v>
      </c>
      <c r="H805" s="100"/>
      <c r="I805" s="101" t="s">
        <v>3305</v>
      </c>
      <c r="J805" s="89" t="s">
        <v>24</v>
      </c>
      <c r="K805" s="89" t="s">
        <v>3306</v>
      </c>
      <c r="L805" s="90">
        <v>10000000</v>
      </c>
      <c r="M805" s="102">
        <v>446131840</v>
      </c>
      <c r="N805" s="90">
        <v>15000000</v>
      </c>
      <c r="O805" s="91" t="s">
        <v>3119</v>
      </c>
      <c r="P805" s="103">
        <v>72000000</v>
      </c>
      <c r="Q805" s="93">
        <f t="shared" si="104"/>
        <v>543131840</v>
      </c>
      <c r="R805" s="93">
        <v>10000000</v>
      </c>
      <c r="S805" s="93">
        <v>446131840</v>
      </c>
      <c r="T805" s="94">
        <v>15000000</v>
      </c>
      <c r="U805" s="93">
        <v>24000000</v>
      </c>
      <c r="V805" s="89"/>
      <c r="W805" s="95"/>
      <c r="X805" s="95">
        <f t="shared" si="105"/>
        <v>0</v>
      </c>
      <c r="Y805" s="95">
        <f t="shared" si="106"/>
        <v>0</v>
      </c>
      <c r="Z805" s="95">
        <f t="shared" si="96"/>
        <v>48000000</v>
      </c>
      <c r="AA805" s="96"/>
      <c r="AB805" s="97" t="s">
        <v>3853</v>
      </c>
    </row>
    <row r="806" spans="1:28" ht="31.2" x14ac:dyDescent="0.3">
      <c r="A806" s="7" t="s">
        <v>1601</v>
      </c>
      <c r="B806" s="6">
        <v>770</v>
      </c>
      <c r="C806" s="7" t="s">
        <v>2877</v>
      </c>
      <c r="D806" s="7" t="s">
        <v>3307</v>
      </c>
      <c r="E806" s="7" t="s">
        <v>3308</v>
      </c>
      <c r="F806" s="7" t="s">
        <v>3309</v>
      </c>
      <c r="G806" s="7" t="s">
        <v>3310</v>
      </c>
      <c r="H806" s="5"/>
      <c r="I806" s="21" t="s">
        <v>3311</v>
      </c>
      <c r="J806" s="7" t="s">
        <v>24</v>
      </c>
      <c r="K806" s="7" t="s">
        <v>3312</v>
      </c>
      <c r="L806" s="14">
        <v>3490863064</v>
      </c>
      <c r="M806" s="3">
        <v>10000000</v>
      </c>
      <c r="N806" s="14">
        <v>15000000</v>
      </c>
      <c r="O806" s="40"/>
      <c r="P806" s="40"/>
      <c r="Q806" s="3">
        <f t="shared" si="104"/>
        <v>3515863064</v>
      </c>
      <c r="R806" s="36">
        <v>3490863064</v>
      </c>
      <c r="S806" s="7"/>
      <c r="T806" s="72"/>
      <c r="U806" s="7"/>
      <c r="V806" s="7"/>
      <c r="W806" s="36"/>
      <c r="X806" s="36">
        <f t="shared" si="105"/>
        <v>10000000</v>
      </c>
      <c r="Y806" s="36">
        <f t="shared" si="106"/>
        <v>15000000</v>
      </c>
      <c r="Z806" s="36">
        <f t="shared" si="96"/>
        <v>0</v>
      </c>
      <c r="AA806" s="4"/>
      <c r="AB806" s="79"/>
    </row>
    <row r="807" spans="1:28" ht="63" x14ac:dyDescent="0.3">
      <c r="A807" s="7" t="s">
        <v>62</v>
      </c>
      <c r="B807" s="6">
        <v>771</v>
      </c>
      <c r="C807" s="7" t="s">
        <v>3313</v>
      </c>
      <c r="D807" s="7" t="s">
        <v>3314</v>
      </c>
      <c r="E807" s="5"/>
      <c r="F807" s="7" t="s">
        <v>3315</v>
      </c>
      <c r="G807" s="5"/>
      <c r="H807" s="5"/>
      <c r="I807" s="21" t="s">
        <v>3316</v>
      </c>
      <c r="J807" s="7" t="s">
        <v>24</v>
      </c>
      <c r="K807" s="7" t="s">
        <v>3317</v>
      </c>
      <c r="L807" s="14">
        <v>2618310690</v>
      </c>
      <c r="M807" s="5"/>
      <c r="N807" s="14">
        <v>15000000</v>
      </c>
      <c r="O807" s="40"/>
      <c r="P807" s="40"/>
      <c r="Q807" s="3">
        <f t="shared" si="104"/>
        <v>2633310690</v>
      </c>
      <c r="R807" s="3">
        <v>2618310690</v>
      </c>
      <c r="S807" s="7"/>
      <c r="T807" s="30">
        <v>15000000</v>
      </c>
      <c r="U807" s="7"/>
      <c r="V807" s="7"/>
      <c r="W807" s="36"/>
      <c r="X807" s="36">
        <f t="shared" si="105"/>
        <v>0</v>
      </c>
      <c r="Y807" s="36">
        <f t="shared" si="106"/>
        <v>0</v>
      </c>
      <c r="Z807" s="36">
        <f t="shared" si="96"/>
        <v>0</v>
      </c>
      <c r="AA807" s="4"/>
      <c r="AB807" s="79"/>
    </row>
    <row r="808" spans="1:28" ht="42" x14ac:dyDescent="0.3">
      <c r="A808" s="7" t="s">
        <v>46</v>
      </c>
      <c r="B808" s="6">
        <v>772</v>
      </c>
      <c r="C808" s="7" t="s">
        <v>3313</v>
      </c>
      <c r="D808" s="7" t="s">
        <v>3318</v>
      </c>
      <c r="E808" s="7" t="s">
        <v>3319</v>
      </c>
      <c r="F808" s="7" t="s">
        <v>491</v>
      </c>
      <c r="G808" s="7" t="s">
        <v>3320</v>
      </c>
      <c r="H808" s="5"/>
      <c r="I808" s="21" t="s">
        <v>197</v>
      </c>
      <c r="J808" s="7" t="s">
        <v>24</v>
      </c>
      <c r="K808" s="7" t="s">
        <v>3321</v>
      </c>
      <c r="L808" s="14">
        <v>1712844388</v>
      </c>
      <c r="M808" s="14">
        <v>448994826</v>
      </c>
      <c r="N808" s="14">
        <v>15000000</v>
      </c>
      <c r="O808" s="40"/>
      <c r="P808" s="40"/>
      <c r="Q808" s="3">
        <f t="shared" si="104"/>
        <v>2176839214</v>
      </c>
      <c r="R808" s="3">
        <v>1712844388</v>
      </c>
      <c r="S808" s="3">
        <v>448994826</v>
      </c>
      <c r="T808" s="30">
        <v>15000000</v>
      </c>
      <c r="U808" s="7"/>
      <c r="V808" s="7"/>
      <c r="W808" s="36"/>
      <c r="X808" s="36">
        <f t="shared" si="105"/>
        <v>0</v>
      </c>
      <c r="Y808" s="36">
        <f t="shared" si="106"/>
        <v>0</v>
      </c>
      <c r="Z808" s="36">
        <f t="shared" si="96"/>
        <v>0</v>
      </c>
      <c r="AA808" s="4"/>
      <c r="AB808" s="79"/>
    </row>
    <row r="809" spans="1:28" ht="31.2" x14ac:dyDescent="0.3">
      <c r="A809" s="7" t="s">
        <v>62</v>
      </c>
      <c r="B809" s="6">
        <v>773</v>
      </c>
      <c r="C809" s="7" t="s">
        <v>3313</v>
      </c>
      <c r="D809" s="7" t="s">
        <v>3322</v>
      </c>
      <c r="E809" s="5"/>
      <c r="F809" s="7" t="s">
        <v>3323</v>
      </c>
      <c r="G809" s="5"/>
      <c r="H809" s="7" t="s">
        <v>3324</v>
      </c>
      <c r="I809" s="21" t="s">
        <v>3325</v>
      </c>
      <c r="J809" s="7" t="s">
        <v>24</v>
      </c>
      <c r="K809" s="7" t="s">
        <v>3239</v>
      </c>
      <c r="L809" s="14">
        <v>621204580</v>
      </c>
      <c r="M809" s="5"/>
      <c r="N809" s="14">
        <v>15000000</v>
      </c>
      <c r="O809" s="40"/>
      <c r="P809" s="40"/>
      <c r="Q809" s="3">
        <f t="shared" si="104"/>
        <v>636204580</v>
      </c>
      <c r="R809" s="3">
        <v>621204580</v>
      </c>
      <c r="S809" s="7"/>
      <c r="T809" s="30">
        <v>15000000</v>
      </c>
      <c r="U809" s="7"/>
      <c r="V809" s="7"/>
      <c r="W809" s="36"/>
      <c r="X809" s="36">
        <f t="shared" si="105"/>
        <v>0</v>
      </c>
      <c r="Y809" s="36">
        <f t="shared" si="106"/>
        <v>0</v>
      </c>
      <c r="Z809" s="36">
        <f t="shared" si="96"/>
        <v>0</v>
      </c>
      <c r="AA809" s="4"/>
      <c r="AB809" s="79"/>
    </row>
    <row r="810" spans="1:28" ht="31.2" x14ac:dyDescent="0.3">
      <c r="A810" s="7" t="s">
        <v>62</v>
      </c>
      <c r="B810" s="6">
        <v>774</v>
      </c>
      <c r="C810" s="7" t="s">
        <v>3313</v>
      </c>
      <c r="D810" s="7" t="s">
        <v>3326</v>
      </c>
      <c r="E810" s="7" t="s">
        <v>3327</v>
      </c>
      <c r="F810" s="7" t="s">
        <v>3328</v>
      </c>
      <c r="G810" s="7" t="s">
        <v>3329</v>
      </c>
      <c r="H810" s="5"/>
      <c r="I810" s="21" t="s">
        <v>3330</v>
      </c>
      <c r="J810" s="7" t="s">
        <v>24</v>
      </c>
      <c r="K810" s="7" t="s">
        <v>2856</v>
      </c>
      <c r="L810" s="14">
        <v>628099720</v>
      </c>
      <c r="M810" s="14">
        <v>86421485</v>
      </c>
      <c r="N810" s="14">
        <v>15000000</v>
      </c>
      <c r="O810" s="40"/>
      <c r="P810" s="40"/>
      <c r="Q810" s="3">
        <f t="shared" si="104"/>
        <v>729521205</v>
      </c>
      <c r="R810" s="3">
        <v>628099720</v>
      </c>
      <c r="S810" s="3">
        <v>86421485</v>
      </c>
      <c r="T810" s="30">
        <v>15000000</v>
      </c>
      <c r="U810" s="7"/>
      <c r="V810" s="7"/>
      <c r="W810" s="36"/>
      <c r="X810" s="36">
        <f t="shared" si="105"/>
        <v>0</v>
      </c>
      <c r="Y810" s="36">
        <f t="shared" si="106"/>
        <v>0</v>
      </c>
      <c r="Z810" s="36">
        <f t="shared" si="96"/>
        <v>0</v>
      </c>
      <c r="AA810" s="4"/>
      <c r="AB810" s="79"/>
    </row>
    <row r="811" spans="1:28" ht="42" x14ac:dyDescent="0.3">
      <c r="A811" s="7" t="s">
        <v>62</v>
      </c>
      <c r="B811" s="6">
        <v>775</v>
      </c>
      <c r="C811" s="7" t="s">
        <v>3313</v>
      </c>
      <c r="D811" s="7" t="s">
        <v>3331</v>
      </c>
      <c r="E811" s="5"/>
      <c r="F811" s="7" t="s">
        <v>3332</v>
      </c>
      <c r="G811" s="5"/>
      <c r="H811" s="7" t="s">
        <v>3324</v>
      </c>
      <c r="I811" s="21" t="s">
        <v>3333</v>
      </c>
      <c r="J811" s="7" t="s">
        <v>24</v>
      </c>
      <c r="K811" s="7" t="s">
        <v>3334</v>
      </c>
      <c r="L811" s="14">
        <v>8111488</v>
      </c>
      <c r="M811" s="5"/>
      <c r="N811" s="14">
        <v>7500000</v>
      </c>
      <c r="O811" s="40"/>
      <c r="P811" s="40"/>
      <c r="Q811" s="3">
        <f t="shared" si="104"/>
        <v>15611488</v>
      </c>
      <c r="R811" s="3">
        <v>8111488</v>
      </c>
      <c r="S811" s="7"/>
      <c r="T811" s="30">
        <v>7500000</v>
      </c>
      <c r="U811" s="7"/>
      <c r="V811" s="7"/>
      <c r="W811" s="36"/>
      <c r="X811" s="36">
        <f t="shared" si="105"/>
        <v>0</v>
      </c>
      <c r="Y811" s="36">
        <f t="shared" si="106"/>
        <v>0</v>
      </c>
      <c r="Z811" s="36">
        <f t="shared" si="96"/>
        <v>0</v>
      </c>
      <c r="AA811" s="4"/>
      <c r="AB811" s="79"/>
    </row>
    <row r="812" spans="1:28" ht="31.2" x14ac:dyDescent="0.3">
      <c r="A812" s="7" t="s">
        <v>62</v>
      </c>
      <c r="B812" s="6">
        <v>776</v>
      </c>
      <c r="C812" s="7" t="s">
        <v>3313</v>
      </c>
      <c r="D812" s="7" t="s">
        <v>3335</v>
      </c>
      <c r="E812" s="7" t="s">
        <v>3336</v>
      </c>
      <c r="F812" s="7" t="s">
        <v>3337</v>
      </c>
      <c r="G812" s="7" t="s">
        <v>3338</v>
      </c>
      <c r="H812" s="7" t="s">
        <v>3324</v>
      </c>
      <c r="I812" s="21" t="s">
        <v>3339</v>
      </c>
      <c r="J812" s="7" t="s">
        <v>24</v>
      </c>
      <c r="K812" s="7" t="s">
        <v>2856</v>
      </c>
      <c r="L812" s="14">
        <v>563400736</v>
      </c>
      <c r="M812" s="14">
        <v>138350184</v>
      </c>
      <c r="N812" s="14">
        <v>15000000</v>
      </c>
      <c r="O812" s="40" t="s">
        <v>1559</v>
      </c>
      <c r="P812" s="10">
        <v>24000000</v>
      </c>
      <c r="Q812" s="3">
        <f t="shared" si="104"/>
        <v>740750920</v>
      </c>
      <c r="R812" s="3">
        <v>563400736</v>
      </c>
      <c r="S812" s="3">
        <v>138350184</v>
      </c>
      <c r="T812" s="30">
        <v>15000000</v>
      </c>
      <c r="U812" s="3">
        <v>24000000</v>
      </c>
      <c r="V812" s="7"/>
      <c r="W812" s="36"/>
      <c r="X812" s="36">
        <f t="shared" si="105"/>
        <v>0</v>
      </c>
      <c r="Y812" s="36">
        <f t="shared" si="106"/>
        <v>0</v>
      </c>
      <c r="Z812" s="36">
        <f t="shared" si="96"/>
        <v>0</v>
      </c>
      <c r="AA812" s="4"/>
      <c r="AB812" s="79"/>
    </row>
    <row r="813" spans="1:28" ht="31.2" x14ac:dyDescent="0.3">
      <c r="A813" s="7" t="s">
        <v>18</v>
      </c>
      <c r="B813" s="6">
        <v>777</v>
      </c>
      <c r="C813" s="7" t="s">
        <v>3313</v>
      </c>
      <c r="D813" s="7" t="s">
        <v>3340</v>
      </c>
      <c r="E813" s="7" t="s">
        <v>3341</v>
      </c>
      <c r="F813" s="7" t="s">
        <v>3342</v>
      </c>
      <c r="G813" s="7" t="s">
        <v>3343</v>
      </c>
      <c r="H813" s="7" t="s">
        <v>3324</v>
      </c>
      <c r="I813" s="21" t="s">
        <v>3344</v>
      </c>
      <c r="J813" s="7" t="s">
        <v>24</v>
      </c>
      <c r="K813" s="7" t="s">
        <v>2856</v>
      </c>
      <c r="L813" s="14">
        <v>449682880</v>
      </c>
      <c r="M813" s="14">
        <v>66332280</v>
      </c>
      <c r="N813" s="14">
        <v>15000000</v>
      </c>
      <c r="O813" s="40"/>
      <c r="P813" s="40"/>
      <c r="Q813" s="3">
        <f t="shared" si="104"/>
        <v>531015160</v>
      </c>
      <c r="R813" s="3">
        <v>449682880</v>
      </c>
      <c r="S813" s="7"/>
      <c r="T813" s="72"/>
      <c r="U813" s="7"/>
      <c r="V813" s="7"/>
      <c r="W813" s="36"/>
      <c r="X813" s="36">
        <f t="shared" si="105"/>
        <v>66332280</v>
      </c>
      <c r="Y813" s="36">
        <f t="shared" si="106"/>
        <v>15000000</v>
      </c>
      <c r="Z813" s="36">
        <f t="shared" si="96"/>
        <v>0</v>
      </c>
      <c r="AA813" s="4"/>
      <c r="AB813" s="79"/>
    </row>
    <row r="814" spans="1:28" s="98" customFormat="1" ht="31.2" x14ac:dyDescent="0.3">
      <c r="A814" s="89" t="s">
        <v>62</v>
      </c>
      <c r="B814" s="99">
        <v>778</v>
      </c>
      <c r="C814" s="89" t="s">
        <v>3313</v>
      </c>
      <c r="D814" s="89" t="s">
        <v>3345</v>
      </c>
      <c r="E814" s="100"/>
      <c r="F814" s="89" t="s">
        <v>3347</v>
      </c>
      <c r="G814" s="100"/>
      <c r="H814" s="100"/>
      <c r="I814" s="101" t="s">
        <v>3348</v>
      </c>
      <c r="J814" s="89" t="s">
        <v>24</v>
      </c>
      <c r="K814" s="89" t="s">
        <v>2856</v>
      </c>
      <c r="L814" s="90">
        <v>885586096</v>
      </c>
      <c r="M814" s="100"/>
      <c r="N814" s="90">
        <v>15000000</v>
      </c>
      <c r="O814" s="91" t="s">
        <v>3346</v>
      </c>
      <c r="P814" s="103">
        <v>40000000</v>
      </c>
      <c r="Q814" s="93">
        <f t="shared" si="104"/>
        <v>940586096</v>
      </c>
      <c r="R814" s="93">
        <v>885586096</v>
      </c>
      <c r="S814" s="89"/>
      <c r="T814" s="94">
        <v>15000000</v>
      </c>
      <c r="U814" s="89"/>
      <c r="V814" s="89"/>
      <c r="W814" s="95"/>
      <c r="X814" s="95">
        <f t="shared" si="105"/>
        <v>0</v>
      </c>
      <c r="Y814" s="95">
        <f t="shared" si="106"/>
        <v>0</v>
      </c>
      <c r="Z814" s="95">
        <f t="shared" si="96"/>
        <v>40000000</v>
      </c>
      <c r="AA814" s="96"/>
      <c r="AB814" s="97" t="s">
        <v>3852</v>
      </c>
    </row>
    <row r="815" spans="1:28" ht="35.4" customHeight="1" x14ac:dyDescent="0.3">
      <c r="A815" s="7"/>
      <c r="B815" s="148">
        <v>779</v>
      </c>
      <c r="C815" s="148" t="s">
        <v>3313</v>
      </c>
      <c r="D815" s="7"/>
      <c r="E815" s="5"/>
      <c r="F815" s="148" t="s">
        <v>3350</v>
      </c>
      <c r="G815" s="5"/>
      <c r="H815" s="5"/>
      <c r="I815" s="150" t="s">
        <v>3844</v>
      </c>
      <c r="J815" s="148" t="s">
        <v>24</v>
      </c>
      <c r="K815" s="148" t="s">
        <v>3352</v>
      </c>
      <c r="L815" s="14"/>
      <c r="M815" s="5"/>
      <c r="N815" s="14"/>
      <c r="O815" s="40" t="s">
        <v>3833</v>
      </c>
      <c r="P815" s="10">
        <v>24000000</v>
      </c>
      <c r="Q815" s="3"/>
      <c r="R815" s="3"/>
      <c r="S815" s="7"/>
      <c r="T815" s="30"/>
      <c r="U815" s="10">
        <v>24000000</v>
      </c>
      <c r="V815" s="7"/>
      <c r="W815" s="36"/>
      <c r="X815" s="36"/>
      <c r="Y815" s="36"/>
      <c r="Z815" s="36">
        <f t="shared" si="96"/>
        <v>0</v>
      </c>
      <c r="AA815" s="4"/>
      <c r="AB815" s="80"/>
    </row>
    <row r="816" spans="1:28" ht="31.2" x14ac:dyDescent="0.3">
      <c r="A816" s="7" t="s">
        <v>62</v>
      </c>
      <c r="B816" s="149"/>
      <c r="C816" s="149"/>
      <c r="D816" s="7" t="s">
        <v>3349</v>
      </c>
      <c r="E816" s="5"/>
      <c r="F816" s="149"/>
      <c r="G816" s="5"/>
      <c r="H816" s="7" t="s">
        <v>3324</v>
      </c>
      <c r="I816" s="166"/>
      <c r="J816" s="149"/>
      <c r="K816" s="149"/>
      <c r="L816" s="14">
        <v>805645312</v>
      </c>
      <c r="M816" s="5"/>
      <c r="N816" s="14">
        <v>15000000</v>
      </c>
      <c r="O816" s="7" t="s">
        <v>3829</v>
      </c>
      <c r="P816" s="3">
        <v>48000000</v>
      </c>
      <c r="Q816" s="3">
        <f t="shared" ref="Q816:Q833" si="107">L816+M816+N816+P816</f>
        <v>868645312</v>
      </c>
      <c r="R816" s="3">
        <v>805645312</v>
      </c>
      <c r="S816" s="7"/>
      <c r="T816" s="30">
        <v>15000000</v>
      </c>
      <c r="U816" s="3"/>
      <c r="V816" s="7"/>
      <c r="W816" s="36"/>
      <c r="X816" s="36">
        <f t="shared" ref="X816:X833" si="108">M816-S816</f>
        <v>0</v>
      </c>
      <c r="Y816" s="36">
        <f t="shared" ref="Y816:Y833" si="109">N816-T816</f>
        <v>0</v>
      </c>
      <c r="Z816" s="36">
        <f t="shared" si="96"/>
        <v>48000000</v>
      </c>
      <c r="AA816" s="4"/>
      <c r="AB816" s="83" t="s">
        <v>3864</v>
      </c>
    </row>
    <row r="817" spans="1:28" ht="46.8" x14ac:dyDescent="0.3">
      <c r="A817" s="7" t="s">
        <v>62</v>
      </c>
      <c r="B817" s="6">
        <v>780</v>
      </c>
      <c r="C817" s="7" t="s">
        <v>3313</v>
      </c>
      <c r="D817" s="7" t="s">
        <v>3353</v>
      </c>
      <c r="E817" s="5"/>
      <c r="F817" s="7" t="s">
        <v>3354</v>
      </c>
      <c r="G817" s="5"/>
      <c r="H817" s="7" t="s">
        <v>3324</v>
      </c>
      <c r="I817" s="21" t="s">
        <v>3355</v>
      </c>
      <c r="J817" s="7" t="s">
        <v>24</v>
      </c>
      <c r="K817" s="7" t="s">
        <v>3356</v>
      </c>
      <c r="L817" s="14">
        <v>10000000</v>
      </c>
      <c r="M817" s="5"/>
      <c r="N817" s="14">
        <v>15000000</v>
      </c>
      <c r="O817" s="40"/>
      <c r="P817" s="40"/>
      <c r="Q817" s="3">
        <f t="shared" si="107"/>
        <v>25000000</v>
      </c>
      <c r="R817" s="3">
        <v>10000000</v>
      </c>
      <c r="S817" s="7"/>
      <c r="T817" s="30">
        <v>15000000</v>
      </c>
      <c r="U817" s="7"/>
      <c r="V817" s="7"/>
      <c r="W817" s="36"/>
      <c r="X817" s="36">
        <f t="shared" si="108"/>
        <v>0</v>
      </c>
      <c r="Y817" s="36">
        <f t="shared" si="109"/>
        <v>0</v>
      </c>
      <c r="Z817" s="36">
        <f t="shared" si="96"/>
        <v>0</v>
      </c>
      <c r="AA817" s="4"/>
      <c r="AB817" s="79"/>
    </row>
    <row r="818" spans="1:28" s="98" customFormat="1" ht="46.8" x14ac:dyDescent="0.3">
      <c r="A818" s="89" t="s">
        <v>62</v>
      </c>
      <c r="B818" s="99">
        <v>781</v>
      </c>
      <c r="C818" s="89" t="s">
        <v>3313</v>
      </c>
      <c r="D818" s="89" t="s">
        <v>3357</v>
      </c>
      <c r="E818" s="89" t="s">
        <v>2442</v>
      </c>
      <c r="F818" s="89" t="s">
        <v>3358</v>
      </c>
      <c r="G818" s="89" t="s">
        <v>3359</v>
      </c>
      <c r="H818" s="89" t="s">
        <v>3324</v>
      </c>
      <c r="I818" s="101" t="s">
        <v>3360</v>
      </c>
      <c r="J818" s="89" t="s">
        <v>24</v>
      </c>
      <c r="K818" s="89" t="s">
        <v>3361</v>
      </c>
      <c r="L818" s="90">
        <v>10000000</v>
      </c>
      <c r="M818" s="90">
        <v>619479840</v>
      </c>
      <c r="N818" s="90">
        <v>15000000</v>
      </c>
      <c r="O818" s="91" t="s">
        <v>1162</v>
      </c>
      <c r="P818" s="103">
        <v>48000000</v>
      </c>
      <c r="Q818" s="93">
        <f t="shared" si="107"/>
        <v>692479840</v>
      </c>
      <c r="R818" s="93">
        <v>10000000</v>
      </c>
      <c r="S818" s="93">
        <v>619479840</v>
      </c>
      <c r="T818" s="94">
        <v>15000000</v>
      </c>
      <c r="U818" s="89"/>
      <c r="V818" s="89"/>
      <c r="W818" s="95"/>
      <c r="X818" s="95">
        <f t="shared" si="108"/>
        <v>0</v>
      </c>
      <c r="Y818" s="95">
        <f t="shared" si="109"/>
        <v>0</v>
      </c>
      <c r="Z818" s="95">
        <f t="shared" si="96"/>
        <v>48000000</v>
      </c>
      <c r="AA818" s="96"/>
      <c r="AB818" s="97" t="s">
        <v>3852</v>
      </c>
    </row>
    <row r="819" spans="1:28" ht="31.2" x14ac:dyDescent="0.3">
      <c r="A819" s="7" t="s">
        <v>62</v>
      </c>
      <c r="B819" s="6">
        <v>782</v>
      </c>
      <c r="C819" s="7" t="s">
        <v>3313</v>
      </c>
      <c r="D819" s="7" t="s">
        <v>3362</v>
      </c>
      <c r="E819" s="7" t="s">
        <v>3363</v>
      </c>
      <c r="F819" s="7" t="s">
        <v>3364</v>
      </c>
      <c r="G819" s="7" t="s">
        <v>3365</v>
      </c>
      <c r="H819" s="7" t="s">
        <v>3324</v>
      </c>
      <c r="I819" s="21" t="s">
        <v>3366</v>
      </c>
      <c r="J819" s="7" t="s">
        <v>24</v>
      </c>
      <c r="K819" s="7" t="s">
        <v>3367</v>
      </c>
      <c r="L819" s="14">
        <v>1064740652</v>
      </c>
      <c r="M819" s="14">
        <v>253106154</v>
      </c>
      <c r="N819" s="14">
        <v>15000000</v>
      </c>
      <c r="O819" s="40" t="s">
        <v>691</v>
      </c>
      <c r="P819" s="10">
        <v>12533339</v>
      </c>
      <c r="Q819" s="3">
        <f t="shared" si="107"/>
        <v>1345380145</v>
      </c>
      <c r="R819" s="3">
        <v>1064740652</v>
      </c>
      <c r="S819" s="3">
        <v>253106154</v>
      </c>
      <c r="T819" s="30">
        <v>15000000</v>
      </c>
      <c r="U819" s="3">
        <v>12533339</v>
      </c>
      <c r="V819" s="7"/>
      <c r="W819" s="36"/>
      <c r="X819" s="36">
        <f t="shared" si="108"/>
        <v>0</v>
      </c>
      <c r="Y819" s="36">
        <f t="shared" si="109"/>
        <v>0</v>
      </c>
      <c r="Z819" s="36">
        <f t="shared" si="96"/>
        <v>0</v>
      </c>
      <c r="AA819" s="4"/>
      <c r="AB819" s="79"/>
    </row>
    <row r="820" spans="1:28" ht="42" x14ac:dyDescent="0.3">
      <c r="A820" s="7" t="s">
        <v>62</v>
      </c>
      <c r="B820" s="6">
        <v>783</v>
      </c>
      <c r="C820" s="7" t="s">
        <v>3313</v>
      </c>
      <c r="D820" s="7" t="s">
        <v>3368</v>
      </c>
      <c r="E820" s="5"/>
      <c r="F820" s="7" t="s">
        <v>3369</v>
      </c>
      <c r="G820" s="5"/>
      <c r="H820" s="5"/>
      <c r="I820" s="21" t="s">
        <v>3370</v>
      </c>
      <c r="J820" s="7" t="s">
        <v>24</v>
      </c>
      <c r="K820" s="7" t="s">
        <v>3371</v>
      </c>
      <c r="L820" s="14">
        <v>1564043176</v>
      </c>
      <c r="M820" s="5"/>
      <c r="N820" s="14">
        <v>15000000</v>
      </c>
      <c r="O820" s="40"/>
      <c r="P820" s="40"/>
      <c r="Q820" s="3">
        <f t="shared" si="107"/>
        <v>1579043176</v>
      </c>
      <c r="R820" s="3">
        <v>1564043176</v>
      </c>
      <c r="S820" s="7"/>
      <c r="T820" s="30">
        <v>15000000</v>
      </c>
      <c r="U820" s="7"/>
      <c r="V820" s="7"/>
      <c r="W820" s="36"/>
      <c r="X820" s="36">
        <f t="shared" si="108"/>
        <v>0</v>
      </c>
      <c r="Y820" s="36">
        <f t="shared" si="109"/>
        <v>0</v>
      </c>
      <c r="Z820" s="36">
        <f t="shared" si="96"/>
        <v>0</v>
      </c>
      <c r="AA820" s="4"/>
      <c r="AB820" s="79"/>
    </row>
    <row r="821" spans="1:28" ht="93.6" x14ac:dyDescent="0.3">
      <c r="A821" s="7" t="s">
        <v>62</v>
      </c>
      <c r="B821" s="6">
        <v>784</v>
      </c>
      <c r="C821" s="7" t="s">
        <v>3313</v>
      </c>
      <c r="D821" s="7" t="s">
        <v>3372</v>
      </c>
      <c r="E821" s="5"/>
      <c r="F821" s="7" t="s">
        <v>3374</v>
      </c>
      <c r="G821" s="5"/>
      <c r="H821" s="5"/>
      <c r="I821" s="21" t="s">
        <v>3375</v>
      </c>
      <c r="J821" s="7" t="s">
        <v>24</v>
      </c>
      <c r="K821" s="7" t="s">
        <v>3376</v>
      </c>
      <c r="L821" s="14">
        <v>1162218928</v>
      </c>
      <c r="M821" s="5"/>
      <c r="N821" s="14">
        <v>15000000</v>
      </c>
      <c r="O821" s="40" t="s">
        <v>3373</v>
      </c>
      <c r="P821" s="10">
        <v>120000000</v>
      </c>
      <c r="Q821" s="3">
        <f t="shared" si="107"/>
        <v>1297218928</v>
      </c>
      <c r="R821" s="3">
        <v>1162218928</v>
      </c>
      <c r="S821" s="7"/>
      <c r="T821" s="30">
        <v>15000000</v>
      </c>
      <c r="U821" s="3">
        <v>48000000</v>
      </c>
      <c r="V821" s="7"/>
      <c r="W821" s="36"/>
      <c r="X821" s="36">
        <f t="shared" si="108"/>
        <v>0</v>
      </c>
      <c r="Y821" s="36">
        <f t="shared" si="109"/>
        <v>0</v>
      </c>
      <c r="Z821" s="36">
        <f t="shared" si="96"/>
        <v>72000000</v>
      </c>
      <c r="AA821" s="4"/>
      <c r="AB821" s="80" t="s">
        <v>3863</v>
      </c>
    </row>
    <row r="822" spans="1:28" ht="46.8" x14ac:dyDescent="0.3">
      <c r="A822" s="7" t="s">
        <v>62</v>
      </c>
      <c r="B822" s="6">
        <v>785</v>
      </c>
      <c r="C822" s="7" t="s">
        <v>3313</v>
      </c>
      <c r="D822" s="7" t="s">
        <v>3377</v>
      </c>
      <c r="E822" s="5"/>
      <c r="F822" s="7" t="s">
        <v>3378</v>
      </c>
      <c r="G822" s="5"/>
      <c r="H822" s="5"/>
      <c r="I822" s="21" t="s">
        <v>3379</v>
      </c>
      <c r="J822" s="7" t="s">
        <v>24</v>
      </c>
      <c r="K822" s="7" t="s">
        <v>3380</v>
      </c>
      <c r="L822" s="14">
        <v>253344640</v>
      </c>
      <c r="M822" s="5"/>
      <c r="N822" s="14">
        <v>15000000</v>
      </c>
      <c r="O822" s="40"/>
      <c r="P822" s="40"/>
      <c r="Q822" s="3">
        <f t="shared" si="107"/>
        <v>268344640</v>
      </c>
      <c r="R822" s="3">
        <v>253344640</v>
      </c>
      <c r="S822" s="7"/>
      <c r="T822" s="30">
        <v>15000000</v>
      </c>
      <c r="U822" s="7"/>
      <c r="V822" s="7"/>
      <c r="W822" s="36"/>
      <c r="X822" s="36">
        <f t="shared" si="108"/>
        <v>0</v>
      </c>
      <c r="Y822" s="36">
        <f t="shared" si="109"/>
        <v>0</v>
      </c>
      <c r="Z822" s="36">
        <f t="shared" si="96"/>
        <v>0</v>
      </c>
      <c r="AA822" s="4"/>
      <c r="AB822" s="79"/>
    </row>
    <row r="823" spans="1:28" ht="42" x14ac:dyDescent="0.3">
      <c r="A823" s="7" t="s">
        <v>62</v>
      </c>
      <c r="B823" s="6">
        <v>786</v>
      </c>
      <c r="C823" s="7" t="s">
        <v>3313</v>
      </c>
      <c r="D823" s="7" t="s">
        <v>3381</v>
      </c>
      <c r="E823" s="7" t="s">
        <v>3382</v>
      </c>
      <c r="F823" s="7" t="s">
        <v>3383</v>
      </c>
      <c r="G823" s="7" t="s">
        <v>3384</v>
      </c>
      <c r="H823" s="5"/>
      <c r="I823" s="21" t="s">
        <v>1536</v>
      </c>
      <c r="J823" s="7" t="s">
        <v>24</v>
      </c>
      <c r="K823" s="7" t="s">
        <v>2856</v>
      </c>
      <c r="L823" s="14">
        <v>1955817254</v>
      </c>
      <c r="M823" s="14">
        <v>42737240</v>
      </c>
      <c r="N823" s="14">
        <v>15000000</v>
      </c>
      <c r="O823" s="40"/>
      <c r="P823" s="40"/>
      <c r="Q823" s="3">
        <f t="shared" si="107"/>
        <v>2013554494</v>
      </c>
      <c r="R823" s="3">
        <v>1955817254</v>
      </c>
      <c r="S823" s="3">
        <v>42737240</v>
      </c>
      <c r="T823" s="30">
        <v>15000000</v>
      </c>
      <c r="U823" s="7"/>
      <c r="V823" s="7"/>
      <c r="W823" s="36"/>
      <c r="X823" s="36">
        <f t="shared" si="108"/>
        <v>0</v>
      </c>
      <c r="Y823" s="36">
        <f t="shared" si="109"/>
        <v>0</v>
      </c>
      <c r="Z823" s="36">
        <f t="shared" si="96"/>
        <v>0</v>
      </c>
      <c r="AA823" s="4"/>
      <c r="AB823" s="79"/>
    </row>
    <row r="824" spans="1:28" ht="63" x14ac:dyDescent="0.3">
      <c r="A824" s="7" t="s">
        <v>62</v>
      </c>
      <c r="B824" s="6">
        <v>787</v>
      </c>
      <c r="C824" s="7" t="s">
        <v>3313</v>
      </c>
      <c r="D824" s="7" t="s">
        <v>3385</v>
      </c>
      <c r="E824" s="7" t="s">
        <v>3387</v>
      </c>
      <c r="F824" s="7" t="s">
        <v>3388</v>
      </c>
      <c r="G824" s="7" t="s">
        <v>3389</v>
      </c>
      <c r="H824" s="5"/>
      <c r="I824" s="21" t="s">
        <v>3390</v>
      </c>
      <c r="J824" s="7" t="s">
        <v>24</v>
      </c>
      <c r="K824" s="7" t="s">
        <v>3391</v>
      </c>
      <c r="L824" s="14">
        <v>10000000</v>
      </c>
      <c r="M824" s="14">
        <v>1809369992</v>
      </c>
      <c r="N824" s="14">
        <v>15000000</v>
      </c>
      <c r="O824" s="40" t="s">
        <v>3386</v>
      </c>
      <c r="P824" s="10">
        <v>24000000</v>
      </c>
      <c r="Q824" s="3">
        <f t="shared" si="107"/>
        <v>1858369992</v>
      </c>
      <c r="R824" s="3">
        <v>10000000</v>
      </c>
      <c r="S824" s="3">
        <v>1809369992</v>
      </c>
      <c r="T824" s="72"/>
      <c r="U824" s="3">
        <v>24000000</v>
      </c>
      <c r="V824" s="7"/>
      <c r="W824" s="36"/>
      <c r="X824" s="36">
        <f t="shared" si="108"/>
        <v>0</v>
      </c>
      <c r="Y824" s="36">
        <f t="shared" si="109"/>
        <v>15000000</v>
      </c>
      <c r="Z824" s="36">
        <f t="shared" si="96"/>
        <v>0</v>
      </c>
      <c r="AA824" s="4"/>
      <c r="AB824" s="79"/>
    </row>
    <row r="825" spans="1:28" ht="62.4" x14ac:dyDescent="0.3">
      <c r="A825" s="7" t="s">
        <v>62</v>
      </c>
      <c r="B825" s="6">
        <v>788</v>
      </c>
      <c r="C825" s="7" t="s">
        <v>3313</v>
      </c>
      <c r="D825" s="7" t="s">
        <v>3392</v>
      </c>
      <c r="E825" s="5"/>
      <c r="F825" s="7" t="s">
        <v>3394</v>
      </c>
      <c r="G825" s="5"/>
      <c r="H825" s="7" t="s">
        <v>3324</v>
      </c>
      <c r="I825" s="21" t="s">
        <v>3395</v>
      </c>
      <c r="J825" s="7" t="s">
        <v>24</v>
      </c>
      <c r="K825" s="7" t="s">
        <v>3396</v>
      </c>
      <c r="L825" s="14">
        <v>444381674</v>
      </c>
      <c r="M825" s="5"/>
      <c r="N825" s="14">
        <v>15000000</v>
      </c>
      <c r="O825" s="40" t="s">
        <v>3393</v>
      </c>
      <c r="P825" s="10">
        <v>72000000</v>
      </c>
      <c r="Q825" s="3">
        <f t="shared" si="107"/>
        <v>531381674</v>
      </c>
      <c r="R825" s="3">
        <v>444381674</v>
      </c>
      <c r="S825" s="7"/>
      <c r="T825" s="30">
        <v>15000000</v>
      </c>
      <c r="U825" s="3">
        <v>24000000</v>
      </c>
      <c r="V825" s="7"/>
      <c r="W825" s="36"/>
      <c r="X825" s="36">
        <f t="shared" si="108"/>
        <v>0</v>
      </c>
      <c r="Y825" s="36">
        <f t="shared" si="109"/>
        <v>0</v>
      </c>
      <c r="Z825" s="36">
        <f t="shared" si="96"/>
        <v>48000000</v>
      </c>
      <c r="AA825" s="4"/>
      <c r="AB825" s="80" t="s">
        <v>3853</v>
      </c>
    </row>
    <row r="826" spans="1:28" ht="42" x14ac:dyDescent="0.3">
      <c r="A826" s="7" t="s">
        <v>62</v>
      </c>
      <c r="B826" s="6">
        <v>789</v>
      </c>
      <c r="C826" s="7" t="s">
        <v>3313</v>
      </c>
      <c r="D826" s="7" t="s">
        <v>3397</v>
      </c>
      <c r="E826" s="5"/>
      <c r="F826" s="7" t="s">
        <v>3398</v>
      </c>
      <c r="G826" s="7" t="s">
        <v>3399</v>
      </c>
      <c r="H826" s="5"/>
      <c r="I826" s="21" t="s">
        <v>3400</v>
      </c>
      <c r="J826" s="7" t="s">
        <v>24</v>
      </c>
      <c r="K826" s="7" t="s">
        <v>3401</v>
      </c>
      <c r="L826" s="14">
        <v>1471524200</v>
      </c>
      <c r="M826" s="5"/>
      <c r="N826" s="14">
        <v>15000000</v>
      </c>
      <c r="O826" s="40"/>
      <c r="P826" s="40"/>
      <c r="Q826" s="3">
        <f t="shared" si="107"/>
        <v>1486524200</v>
      </c>
      <c r="R826" s="3">
        <v>1471524200</v>
      </c>
      <c r="S826" s="7"/>
      <c r="T826" s="30">
        <v>15000000</v>
      </c>
      <c r="U826" s="7"/>
      <c r="V826" s="7"/>
      <c r="W826" s="36"/>
      <c r="X826" s="36">
        <f t="shared" si="108"/>
        <v>0</v>
      </c>
      <c r="Y826" s="36">
        <f t="shared" si="109"/>
        <v>0</v>
      </c>
      <c r="Z826" s="36">
        <f t="shared" si="96"/>
        <v>0</v>
      </c>
      <c r="AA826" s="4"/>
      <c r="AB826" s="79"/>
    </row>
    <row r="827" spans="1:28" ht="42" x14ac:dyDescent="0.3">
      <c r="A827" s="7" t="s">
        <v>62</v>
      </c>
      <c r="B827" s="6">
        <v>790</v>
      </c>
      <c r="C827" s="7" t="s">
        <v>3313</v>
      </c>
      <c r="D827" s="7" t="s">
        <v>3402</v>
      </c>
      <c r="E827" s="7" t="s">
        <v>3403</v>
      </c>
      <c r="F827" s="7" t="s">
        <v>3404</v>
      </c>
      <c r="G827" s="7" t="s">
        <v>3405</v>
      </c>
      <c r="H827" s="5"/>
      <c r="I827" s="21" t="s">
        <v>1536</v>
      </c>
      <c r="J827" s="7" t="s">
        <v>24</v>
      </c>
      <c r="K827" s="7" t="s">
        <v>3067</v>
      </c>
      <c r="L827" s="14">
        <v>10000000</v>
      </c>
      <c r="M827" s="14">
        <v>210398720</v>
      </c>
      <c r="N827" s="14">
        <v>15000000</v>
      </c>
      <c r="O827" s="40"/>
      <c r="P827" s="40"/>
      <c r="Q827" s="3">
        <f t="shared" si="107"/>
        <v>235398720</v>
      </c>
      <c r="R827" s="3">
        <v>10000000</v>
      </c>
      <c r="S827" s="3">
        <v>210398720</v>
      </c>
      <c r="T827" s="30">
        <v>15000000</v>
      </c>
      <c r="U827" s="7"/>
      <c r="V827" s="7"/>
      <c r="W827" s="36"/>
      <c r="X827" s="36">
        <f t="shared" si="108"/>
        <v>0</v>
      </c>
      <c r="Y827" s="36">
        <f t="shared" si="109"/>
        <v>0</v>
      </c>
      <c r="Z827" s="36">
        <f t="shared" si="96"/>
        <v>0</v>
      </c>
      <c r="AA827" s="4"/>
      <c r="AB827" s="79"/>
    </row>
    <row r="828" spans="1:28" ht="63" x14ac:dyDescent="0.3">
      <c r="A828" s="7" t="s">
        <v>62</v>
      </c>
      <c r="B828" s="6">
        <v>791</v>
      </c>
      <c r="C828" s="7" t="s">
        <v>3313</v>
      </c>
      <c r="D828" s="7" t="s">
        <v>3406</v>
      </c>
      <c r="E828" s="7" t="s">
        <v>2442</v>
      </c>
      <c r="F828" s="7" t="s">
        <v>3407</v>
      </c>
      <c r="G828" s="7" t="s">
        <v>3408</v>
      </c>
      <c r="H828" s="7" t="s">
        <v>3324</v>
      </c>
      <c r="I828" s="21" t="s">
        <v>3409</v>
      </c>
      <c r="J828" s="7" t="s">
        <v>24</v>
      </c>
      <c r="K828" s="7" t="s">
        <v>3361</v>
      </c>
      <c r="L828" s="14">
        <v>10000000</v>
      </c>
      <c r="M828" s="14">
        <v>1756584270</v>
      </c>
      <c r="N828" s="14">
        <v>15000000</v>
      </c>
      <c r="O828" s="40" t="s">
        <v>1208</v>
      </c>
      <c r="P828" s="10">
        <v>24000000</v>
      </c>
      <c r="Q828" s="3">
        <f t="shared" si="107"/>
        <v>1805584270</v>
      </c>
      <c r="R828" s="3">
        <v>10000000</v>
      </c>
      <c r="S828" s="3">
        <v>1756584270</v>
      </c>
      <c r="T828" s="30">
        <v>15000000</v>
      </c>
      <c r="U828" s="3">
        <v>24000000</v>
      </c>
      <c r="V828" s="7"/>
      <c r="W828" s="36"/>
      <c r="X828" s="36">
        <f t="shared" si="108"/>
        <v>0</v>
      </c>
      <c r="Y828" s="36">
        <f t="shared" si="109"/>
        <v>0</v>
      </c>
      <c r="Z828" s="36">
        <f t="shared" si="96"/>
        <v>0</v>
      </c>
      <c r="AA828" s="4"/>
      <c r="AB828" s="79"/>
    </row>
    <row r="829" spans="1:28" ht="63" x14ac:dyDescent="0.3">
      <c r="A829" s="7" t="s">
        <v>1601</v>
      </c>
      <c r="B829" s="6">
        <v>792</v>
      </c>
      <c r="C829" s="7" t="s">
        <v>3313</v>
      </c>
      <c r="D829" s="7" t="s">
        <v>3410</v>
      </c>
      <c r="E829" s="5"/>
      <c r="F829" s="7" t="s">
        <v>3411</v>
      </c>
      <c r="G829" s="5"/>
      <c r="H829" s="5"/>
      <c r="I829" s="21" t="s">
        <v>3412</v>
      </c>
      <c r="J829" s="7" t="s">
        <v>24</v>
      </c>
      <c r="K829" s="7" t="s">
        <v>3413</v>
      </c>
      <c r="L829" s="14">
        <v>590950720</v>
      </c>
      <c r="M829" s="5"/>
      <c r="N829" s="14">
        <v>15000000</v>
      </c>
      <c r="O829" s="40"/>
      <c r="P829" s="40"/>
      <c r="Q829" s="3">
        <f t="shared" si="107"/>
        <v>605950720</v>
      </c>
      <c r="R829" s="3">
        <v>590950720</v>
      </c>
      <c r="S829" s="7"/>
      <c r="T829" s="30">
        <v>15000000</v>
      </c>
      <c r="U829" s="7"/>
      <c r="V829" s="7"/>
      <c r="W829" s="36"/>
      <c r="X829" s="36">
        <f t="shared" si="108"/>
        <v>0</v>
      </c>
      <c r="Y829" s="36">
        <f t="shared" si="109"/>
        <v>0</v>
      </c>
      <c r="Z829" s="36">
        <f t="shared" si="96"/>
        <v>0</v>
      </c>
      <c r="AA829" s="4"/>
      <c r="AB829" s="79"/>
    </row>
    <row r="830" spans="1:28" ht="63" x14ac:dyDescent="0.3">
      <c r="A830" s="7" t="s">
        <v>62</v>
      </c>
      <c r="B830" s="6">
        <v>793</v>
      </c>
      <c r="C830" s="7" t="s">
        <v>3313</v>
      </c>
      <c r="D830" s="7" t="s">
        <v>3414</v>
      </c>
      <c r="E830" s="5"/>
      <c r="F830" s="7" t="s">
        <v>3415</v>
      </c>
      <c r="G830" s="5"/>
      <c r="H830" s="5"/>
      <c r="I830" s="21" t="s">
        <v>3416</v>
      </c>
      <c r="J830" s="7" t="s">
        <v>24</v>
      </c>
      <c r="K830" s="7" t="s">
        <v>3396</v>
      </c>
      <c r="L830" s="14">
        <v>692152100</v>
      </c>
      <c r="M830" s="5"/>
      <c r="N830" s="14">
        <v>15000000</v>
      </c>
      <c r="O830" s="40"/>
      <c r="P830" s="40"/>
      <c r="Q830" s="3">
        <f t="shared" si="107"/>
        <v>707152100</v>
      </c>
      <c r="R830" s="3">
        <v>692152100</v>
      </c>
      <c r="S830" s="7"/>
      <c r="T830" s="30">
        <v>15000000</v>
      </c>
      <c r="U830" s="7"/>
      <c r="V830" s="7"/>
      <c r="W830" s="36"/>
      <c r="X830" s="36">
        <f t="shared" si="108"/>
        <v>0</v>
      </c>
      <c r="Y830" s="36">
        <f t="shared" si="109"/>
        <v>0</v>
      </c>
      <c r="Z830" s="36">
        <f t="shared" si="96"/>
        <v>0</v>
      </c>
      <c r="AA830" s="4"/>
      <c r="AB830" s="79"/>
    </row>
    <row r="831" spans="1:28" ht="42" x14ac:dyDescent="0.3">
      <c r="A831" s="7" t="s">
        <v>62</v>
      </c>
      <c r="B831" s="6">
        <v>794</v>
      </c>
      <c r="C831" s="7" t="s">
        <v>3313</v>
      </c>
      <c r="D831" s="7" t="s">
        <v>3417</v>
      </c>
      <c r="E831" s="5"/>
      <c r="F831" s="7" t="s">
        <v>3418</v>
      </c>
      <c r="G831" s="5"/>
      <c r="H831" s="5"/>
      <c r="I831" s="21" t="s">
        <v>3419</v>
      </c>
      <c r="J831" s="7" t="s">
        <v>24</v>
      </c>
      <c r="K831" s="7" t="s">
        <v>2779</v>
      </c>
      <c r="L831" s="14">
        <v>1833190096</v>
      </c>
      <c r="M831" s="5"/>
      <c r="N831" s="14">
        <v>15000000</v>
      </c>
      <c r="O831" s="40"/>
      <c r="P831" s="40"/>
      <c r="Q831" s="3">
        <f t="shared" si="107"/>
        <v>1848190096</v>
      </c>
      <c r="R831" s="3">
        <v>1833190096</v>
      </c>
      <c r="S831" s="7"/>
      <c r="T831" s="30">
        <v>15000000</v>
      </c>
      <c r="U831" s="7"/>
      <c r="V831" s="7"/>
      <c r="W831" s="36"/>
      <c r="X831" s="36">
        <f t="shared" si="108"/>
        <v>0</v>
      </c>
      <c r="Y831" s="36">
        <f t="shared" si="109"/>
        <v>0</v>
      </c>
      <c r="Z831" s="36">
        <f t="shared" si="96"/>
        <v>0</v>
      </c>
      <c r="AA831" s="4"/>
      <c r="AB831" s="79"/>
    </row>
    <row r="832" spans="1:28" ht="31.2" x14ac:dyDescent="0.3">
      <c r="A832" s="7" t="s">
        <v>62</v>
      </c>
      <c r="B832" s="6">
        <v>795</v>
      </c>
      <c r="C832" s="7" t="s">
        <v>3313</v>
      </c>
      <c r="D832" s="7" t="s">
        <v>3420</v>
      </c>
      <c r="E832" s="7" t="s">
        <v>3421</v>
      </c>
      <c r="F832" s="7" t="s">
        <v>3422</v>
      </c>
      <c r="G832" s="7" t="s">
        <v>3423</v>
      </c>
      <c r="H832" s="7" t="s">
        <v>3324</v>
      </c>
      <c r="I832" s="21" t="s">
        <v>3424</v>
      </c>
      <c r="J832" s="7" t="s">
        <v>24</v>
      </c>
      <c r="K832" s="7" t="s">
        <v>3425</v>
      </c>
      <c r="L832" s="14">
        <v>339766192</v>
      </c>
      <c r="M832" s="14">
        <v>82441548</v>
      </c>
      <c r="N832" s="14">
        <v>15000000</v>
      </c>
      <c r="O832" s="40"/>
      <c r="P832" s="40"/>
      <c r="Q832" s="3">
        <f t="shared" si="107"/>
        <v>437207740</v>
      </c>
      <c r="R832" s="3">
        <v>339766192</v>
      </c>
      <c r="S832" s="3">
        <v>82441548</v>
      </c>
      <c r="T832" s="30">
        <v>15000000</v>
      </c>
      <c r="U832" s="7"/>
      <c r="V832" s="7"/>
      <c r="W832" s="36"/>
      <c r="X832" s="36">
        <f t="shared" si="108"/>
        <v>0</v>
      </c>
      <c r="Y832" s="36">
        <f t="shared" si="109"/>
        <v>0</v>
      </c>
      <c r="Z832" s="36">
        <f t="shared" si="96"/>
        <v>0</v>
      </c>
      <c r="AA832" s="4"/>
      <c r="AB832" s="79"/>
    </row>
    <row r="833" spans="1:28" ht="42" x14ac:dyDescent="0.3">
      <c r="A833" s="7" t="s">
        <v>62</v>
      </c>
      <c r="B833" s="6">
        <v>796</v>
      </c>
      <c r="C833" s="7" t="s">
        <v>3313</v>
      </c>
      <c r="D833" s="7" t="s">
        <v>3426</v>
      </c>
      <c r="E833" s="7" t="s">
        <v>2343</v>
      </c>
      <c r="F833" s="7" t="s">
        <v>3427</v>
      </c>
      <c r="G833" s="7" t="s">
        <v>3428</v>
      </c>
      <c r="H833" s="5"/>
      <c r="I833" s="21" t="s">
        <v>3429</v>
      </c>
      <c r="J833" s="7" t="s">
        <v>24</v>
      </c>
      <c r="K833" s="7" t="s">
        <v>3430</v>
      </c>
      <c r="L833" s="14">
        <v>10000000</v>
      </c>
      <c r="M833" s="15">
        <v>2527001190</v>
      </c>
      <c r="N833" s="14">
        <v>15000000</v>
      </c>
      <c r="O833" s="7" t="s">
        <v>2094</v>
      </c>
      <c r="P833" s="10">
        <v>30000000</v>
      </c>
      <c r="Q833" s="3">
        <f t="shared" si="107"/>
        <v>2582001190</v>
      </c>
      <c r="R833" s="3">
        <v>10000000</v>
      </c>
      <c r="S833" s="3">
        <v>2527001190</v>
      </c>
      <c r="T833" s="30">
        <v>15000000</v>
      </c>
      <c r="U833" s="3">
        <v>30000000</v>
      </c>
      <c r="V833" s="7"/>
      <c r="W833" s="36"/>
      <c r="X833" s="36">
        <f t="shared" si="108"/>
        <v>0</v>
      </c>
      <c r="Y833" s="36">
        <f t="shared" si="109"/>
        <v>0</v>
      </c>
      <c r="Z833" s="36">
        <f t="shared" si="96"/>
        <v>0</v>
      </c>
      <c r="AA833" s="4"/>
      <c r="AB833" s="79"/>
    </row>
    <row r="834" spans="1:28" ht="38.4" customHeight="1" x14ac:dyDescent="0.3">
      <c r="A834" s="7"/>
      <c r="B834" s="148">
        <v>797</v>
      </c>
      <c r="C834" s="148" t="s">
        <v>3313</v>
      </c>
      <c r="D834" s="7"/>
      <c r="E834" s="7"/>
      <c r="F834" s="148" t="s">
        <v>3433</v>
      </c>
      <c r="G834" s="7"/>
      <c r="H834" s="5"/>
      <c r="I834" s="150" t="s">
        <v>3434</v>
      </c>
      <c r="J834" s="148" t="s">
        <v>24</v>
      </c>
      <c r="K834" s="148" t="s">
        <v>3435</v>
      </c>
      <c r="L834" s="14"/>
      <c r="M834" s="15"/>
      <c r="N834" s="14"/>
      <c r="O834" s="7" t="s">
        <v>3835</v>
      </c>
      <c r="P834" s="10">
        <v>48000000</v>
      </c>
      <c r="Q834" s="3"/>
      <c r="R834" s="3"/>
      <c r="S834" s="3"/>
      <c r="T834" s="30"/>
      <c r="U834" s="3">
        <v>48000000</v>
      </c>
      <c r="V834" s="7"/>
      <c r="W834" s="36"/>
      <c r="X834" s="36"/>
      <c r="Y834" s="36"/>
      <c r="Z834" s="36">
        <f t="shared" si="96"/>
        <v>0</v>
      </c>
      <c r="AA834" s="4"/>
      <c r="AB834" s="79"/>
    </row>
    <row r="835" spans="1:28" ht="31.2" x14ac:dyDescent="0.3">
      <c r="A835" s="7" t="s">
        <v>18</v>
      </c>
      <c r="B835" s="149"/>
      <c r="C835" s="149"/>
      <c r="D835" s="7" t="s">
        <v>3431</v>
      </c>
      <c r="E835" s="5"/>
      <c r="F835" s="149"/>
      <c r="G835" s="5"/>
      <c r="H835" s="5"/>
      <c r="I835" s="166"/>
      <c r="J835" s="149"/>
      <c r="K835" s="149"/>
      <c r="L835" s="14">
        <v>1479042664</v>
      </c>
      <c r="M835" s="5"/>
      <c r="N835" s="14">
        <v>15000000</v>
      </c>
      <c r="O835" s="7" t="s">
        <v>3829</v>
      </c>
      <c r="P835" s="3">
        <v>48000000</v>
      </c>
      <c r="Q835" s="3">
        <f t="shared" ref="Q835:Q846" si="110">L835+M835+N835+P835</f>
        <v>1542042664</v>
      </c>
      <c r="R835" s="3">
        <v>1479042664</v>
      </c>
      <c r="S835" s="7"/>
      <c r="T835" s="30">
        <v>15000000</v>
      </c>
      <c r="U835" s="3"/>
      <c r="V835" s="7"/>
      <c r="W835" s="36"/>
      <c r="X835" s="36">
        <f t="shared" ref="X835:X846" si="111">M835-S835</f>
        <v>0</v>
      </c>
      <c r="Y835" s="36">
        <f t="shared" ref="Y835:Y846" si="112">N835-T835</f>
        <v>0</v>
      </c>
      <c r="Z835" s="36">
        <f t="shared" ref="Z835:Z901" si="113">P835-U835</f>
        <v>48000000</v>
      </c>
      <c r="AA835" s="4"/>
      <c r="AB835" s="83" t="s">
        <v>3863</v>
      </c>
    </row>
    <row r="836" spans="1:28" ht="46.8" x14ac:dyDescent="0.3">
      <c r="A836" s="7" t="s">
        <v>18</v>
      </c>
      <c r="B836" s="6">
        <v>798</v>
      </c>
      <c r="C836" s="7" t="s">
        <v>3313</v>
      </c>
      <c r="D836" s="7" t="s">
        <v>3436</v>
      </c>
      <c r="E836" s="5"/>
      <c r="F836" s="7" t="s">
        <v>3437</v>
      </c>
      <c r="G836" s="5"/>
      <c r="H836" s="5"/>
      <c r="I836" s="21" t="s">
        <v>3438</v>
      </c>
      <c r="J836" s="7" t="s">
        <v>24</v>
      </c>
      <c r="K836" s="7" t="s">
        <v>3439</v>
      </c>
      <c r="L836" s="14">
        <v>869322940</v>
      </c>
      <c r="M836" s="5"/>
      <c r="N836" s="14">
        <v>15000000</v>
      </c>
      <c r="O836" s="40"/>
      <c r="P836" s="40"/>
      <c r="Q836" s="3">
        <f t="shared" si="110"/>
        <v>884322940</v>
      </c>
      <c r="R836" s="36">
        <v>869322940</v>
      </c>
      <c r="S836" s="7"/>
      <c r="T836" s="30">
        <v>15000000</v>
      </c>
      <c r="U836" s="7"/>
      <c r="V836" s="7"/>
      <c r="W836" s="36"/>
      <c r="X836" s="36">
        <f t="shared" si="111"/>
        <v>0</v>
      </c>
      <c r="Y836" s="36">
        <f t="shared" si="112"/>
        <v>0</v>
      </c>
      <c r="Z836" s="36">
        <f t="shared" si="113"/>
        <v>0</v>
      </c>
      <c r="AA836" s="4"/>
      <c r="AB836" s="79"/>
    </row>
    <row r="837" spans="1:28" ht="46.8" x14ac:dyDescent="0.3">
      <c r="A837" s="7" t="s">
        <v>18</v>
      </c>
      <c r="B837" s="6">
        <v>799</v>
      </c>
      <c r="C837" s="7" t="s">
        <v>3313</v>
      </c>
      <c r="D837" s="7" t="s">
        <v>3440</v>
      </c>
      <c r="E837" s="5"/>
      <c r="F837" s="7" t="s">
        <v>3441</v>
      </c>
      <c r="G837" s="5"/>
      <c r="H837" s="5"/>
      <c r="I837" s="21" t="s">
        <v>1536</v>
      </c>
      <c r="J837" s="7" t="s">
        <v>24</v>
      </c>
      <c r="K837" s="7" t="s">
        <v>3442</v>
      </c>
      <c r="L837" s="14">
        <v>323702710</v>
      </c>
      <c r="M837" s="5"/>
      <c r="N837" s="14">
        <v>15000000</v>
      </c>
      <c r="O837" s="40"/>
      <c r="P837" s="40"/>
      <c r="Q837" s="3">
        <f t="shared" si="110"/>
        <v>338702710</v>
      </c>
      <c r="R837" s="36">
        <v>323702710</v>
      </c>
      <c r="S837" s="7"/>
      <c r="T837" s="30">
        <v>15000000</v>
      </c>
      <c r="U837" s="7"/>
      <c r="V837" s="7"/>
      <c r="W837" s="36"/>
      <c r="X837" s="36">
        <f t="shared" si="111"/>
        <v>0</v>
      </c>
      <c r="Y837" s="36">
        <f t="shared" si="112"/>
        <v>0</v>
      </c>
      <c r="Z837" s="36">
        <f t="shared" si="113"/>
        <v>0</v>
      </c>
      <c r="AA837" s="4"/>
      <c r="AB837" s="79"/>
    </row>
    <row r="838" spans="1:28" ht="31.2" x14ac:dyDescent="0.3">
      <c r="A838" s="7" t="s">
        <v>18</v>
      </c>
      <c r="B838" s="6">
        <v>800</v>
      </c>
      <c r="C838" s="7" t="s">
        <v>3313</v>
      </c>
      <c r="D838" s="7" t="s">
        <v>3443</v>
      </c>
      <c r="E838" s="5"/>
      <c r="F838" s="7" t="s">
        <v>3444</v>
      </c>
      <c r="G838" s="5"/>
      <c r="H838" s="5"/>
      <c r="I838" s="21" t="s">
        <v>3445</v>
      </c>
      <c r="J838" s="7" t="s">
        <v>24</v>
      </c>
      <c r="K838" s="7" t="s">
        <v>3446</v>
      </c>
      <c r="L838" s="14">
        <v>1566913848</v>
      </c>
      <c r="M838" s="5"/>
      <c r="N838" s="14">
        <v>15000000</v>
      </c>
      <c r="O838" s="40"/>
      <c r="P838" s="40"/>
      <c r="Q838" s="3">
        <f t="shared" si="110"/>
        <v>1581913848</v>
      </c>
      <c r="R838" s="3">
        <v>1566913848</v>
      </c>
      <c r="S838" s="7"/>
      <c r="T838" s="30">
        <v>15000000</v>
      </c>
      <c r="U838" s="7"/>
      <c r="V838" s="7"/>
      <c r="W838" s="36"/>
      <c r="X838" s="36">
        <f t="shared" si="111"/>
        <v>0</v>
      </c>
      <c r="Y838" s="36">
        <f t="shared" si="112"/>
        <v>0</v>
      </c>
      <c r="Z838" s="36">
        <f t="shared" si="113"/>
        <v>0</v>
      </c>
      <c r="AA838" s="4"/>
      <c r="AB838" s="79"/>
    </row>
    <row r="839" spans="1:28" ht="46.8" x14ac:dyDescent="0.3">
      <c r="A839" s="7" t="s">
        <v>18</v>
      </c>
      <c r="B839" s="6">
        <v>801</v>
      </c>
      <c r="C839" s="7" t="s">
        <v>3313</v>
      </c>
      <c r="D839" s="7" t="s">
        <v>3447</v>
      </c>
      <c r="E839" s="5"/>
      <c r="F839" s="7" t="s">
        <v>3449</v>
      </c>
      <c r="G839" s="7" t="s">
        <v>3450</v>
      </c>
      <c r="H839" s="5"/>
      <c r="I839" s="21" t="s">
        <v>3451</v>
      </c>
      <c r="J839" s="7" t="s">
        <v>24</v>
      </c>
      <c r="K839" s="7" t="s">
        <v>3452</v>
      </c>
      <c r="L839" s="14">
        <v>1848889516</v>
      </c>
      <c r="M839" s="5"/>
      <c r="N839" s="14">
        <v>15000000</v>
      </c>
      <c r="O839" s="40" t="s">
        <v>3448</v>
      </c>
      <c r="P839" s="10">
        <v>16000000</v>
      </c>
      <c r="Q839" s="3">
        <f t="shared" si="110"/>
        <v>1879889516</v>
      </c>
      <c r="R839" s="3">
        <v>1848889516</v>
      </c>
      <c r="S839" s="7"/>
      <c r="T839" s="30">
        <v>15000000</v>
      </c>
      <c r="U839" s="3">
        <v>16000000</v>
      </c>
      <c r="V839" s="7"/>
      <c r="W839" s="36"/>
      <c r="X839" s="36">
        <f t="shared" si="111"/>
        <v>0</v>
      </c>
      <c r="Y839" s="36">
        <f t="shared" si="112"/>
        <v>0</v>
      </c>
      <c r="Z839" s="36">
        <f t="shared" si="113"/>
        <v>0</v>
      </c>
      <c r="AA839" s="4"/>
      <c r="AB839" s="79"/>
    </row>
    <row r="840" spans="1:28" ht="46.8" x14ac:dyDescent="0.3">
      <c r="A840" s="7" t="s">
        <v>18</v>
      </c>
      <c r="B840" s="6">
        <v>802</v>
      </c>
      <c r="C840" s="7" t="s">
        <v>3313</v>
      </c>
      <c r="D840" s="7" t="s">
        <v>3453</v>
      </c>
      <c r="E840" s="7" t="s">
        <v>3454</v>
      </c>
      <c r="F840" s="7" t="s">
        <v>3455</v>
      </c>
      <c r="G840" s="5"/>
      <c r="H840" s="5"/>
      <c r="I840" s="21" t="s">
        <v>3456</v>
      </c>
      <c r="J840" s="7" t="s">
        <v>24</v>
      </c>
      <c r="K840" s="7" t="s">
        <v>3452</v>
      </c>
      <c r="L840" s="14">
        <v>10000000</v>
      </c>
      <c r="M840" s="14">
        <v>2092077756</v>
      </c>
      <c r="N840" s="14">
        <v>15000000</v>
      </c>
      <c r="O840" s="40"/>
      <c r="P840" s="40"/>
      <c r="Q840" s="3">
        <f t="shared" si="110"/>
        <v>2117077756</v>
      </c>
      <c r="R840" s="36">
        <v>10000000</v>
      </c>
      <c r="S840" s="3">
        <v>2092077756</v>
      </c>
      <c r="T840" s="72"/>
      <c r="U840" s="7"/>
      <c r="V840" s="7"/>
      <c r="W840" s="36"/>
      <c r="X840" s="36">
        <f t="shared" si="111"/>
        <v>0</v>
      </c>
      <c r="Y840" s="36">
        <f t="shared" si="112"/>
        <v>15000000</v>
      </c>
      <c r="Z840" s="36">
        <f t="shared" si="113"/>
        <v>0</v>
      </c>
      <c r="AA840" s="4"/>
      <c r="AB840" s="79"/>
    </row>
    <row r="841" spans="1:28" ht="62.4" x14ac:dyDescent="0.3">
      <c r="A841" s="7" t="s">
        <v>18</v>
      </c>
      <c r="B841" s="6">
        <v>803</v>
      </c>
      <c r="C841" s="7" t="s">
        <v>3313</v>
      </c>
      <c r="D841" s="7" t="s">
        <v>3457</v>
      </c>
      <c r="E841" s="5"/>
      <c r="F841" s="7" t="s">
        <v>3459</v>
      </c>
      <c r="G841" s="5"/>
      <c r="H841" s="5"/>
      <c r="I841" s="21" t="s">
        <v>3460</v>
      </c>
      <c r="J841" s="7" t="s">
        <v>24</v>
      </c>
      <c r="K841" s="7" t="s">
        <v>2632</v>
      </c>
      <c r="L841" s="14">
        <v>10000000</v>
      </c>
      <c r="M841" s="5"/>
      <c r="N841" s="14">
        <v>15000000</v>
      </c>
      <c r="O841" s="40" t="s">
        <v>3458</v>
      </c>
      <c r="P841" s="10">
        <v>72000000</v>
      </c>
      <c r="Q841" s="3">
        <f t="shared" si="110"/>
        <v>97000000</v>
      </c>
      <c r="R841" s="36">
        <v>10000000</v>
      </c>
      <c r="S841" s="7"/>
      <c r="T841" s="30">
        <v>15000000</v>
      </c>
      <c r="U841" s="3">
        <v>24000000</v>
      </c>
      <c r="V841" s="7"/>
      <c r="W841" s="36"/>
      <c r="X841" s="36">
        <f t="shared" si="111"/>
        <v>0</v>
      </c>
      <c r="Y841" s="36">
        <f t="shared" si="112"/>
        <v>0</v>
      </c>
      <c r="Z841" s="36">
        <f t="shared" si="113"/>
        <v>48000000</v>
      </c>
      <c r="AA841" s="4"/>
      <c r="AB841" s="80" t="s">
        <v>3822</v>
      </c>
    </row>
    <row r="842" spans="1:28" ht="46.8" x14ac:dyDescent="0.3">
      <c r="A842" s="7" t="s">
        <v>18</v>
      </c>
      <c r="B842" s="6">
        <v>804</v>
      </c>
      <c r="C842" s="7" t="s">
        <v>3313</v>
      </c>
      <c r="D842" s="7" t="s">
        <v>3461</v>
      </c>
      <c r="E842" s="5"/>
      <c r="F842" s="7" t="s">
        <v>3462</v>
      </c>
      <c r="G842" s="7" t="s">
        <v>3463</v>
      </c>
      <c r="H842" s="5"/>
      <c r="I842" s="21" t="s">
        <v>3464</v>
      </c>
      <c r="J842" s="7" t="s">
        <v>24</v>
      </c>
      <c r="K842" s="7" t="s">
        <v>3465</v>
      </c>
      <c r="L842" s="14">
        <v>5236394180</v>
      </c>
      <c r="M842" s="5"/>
      <c r="N842" s="14">
        <v>15000000</v>
      </c>
      <c r="O842" s="40"/>
      <c r="P842" s="40"/>
      <c r="Q842" s="3">
        <f t="shared" si="110"/>
        <v>5251394180</v>
      </c>
      <c r="R842" s="3">
        <v>5236394180</v>
      </c>
      <c r="S842" s="7"/>
      <c r="T842" s="72"/>
      <c r="U842" s="7"/>
      <c r="V842" s="7"/>
      <c r="W842" s="36"/>
      <c r="X842" s="36">
        <f t="shared" si="111"/>
        <v>0</v>
      </c>
      <c r="Y842" s="36">
        <f t="shared" si="112"/>
        <v>15000000</v>
      </c>
      <c r="Z842" s="36">
        <f t="shared" si="113"/>
        <v>0</v>
      </c>
      <c r="AA842" s="4"/>
      <c r="AB842" s="79"/>
    </row>
    <row r="843" spans="1:28" s="98" customFormat="1" ht="93.6" x14ac:dyDescent="0.3">
      <c r="A843" s="89" t="s">
        <v>18</v>
      </c>
      <c r="B843" s="99">
        <v>805</v>
      </c>
      <c r="C843" s="89" t="s">
        <v>3313</v>
      </c>
      <c r="D843" s="89" t="s">
        <v>3466</v>
      </c>
      <c r="E843" s="89" t="s">
        <v>3467</v>
      </c>
      <c r="F843" s="89" t="s">
        <v>3468</v>
      </c>
      <c r="G843" s="89" t="s">
        <v>3469</v>
      </c>
      <c r="H843" s="100"/>
      <c r="I843" s="101" t="s">
        <v>3470</v>
      </c>
      <c r="J843" s="89" t="s">
        <v>24</v>
      </c>
      <c r="K843" s="89" t="s">
        <v>3471</v>
      </c>
      <c r="L843" s="90">
        <v>5239490644</v>
      </c>
      <c r="M843" s="93">
        <v>630718116</v>
      </c>
      <c r="N843" s="90">
        <v>15000000</v>
      </c>
      <c r="O843" s="91" t="s">
        <v>3078</v>
      </c>
      <c r="P843" s="103">
        <v>72000000</v>
      </c>
      <c r="Q843" s="93">
        <f t="shared" si="110"/>
        <v>5957208760</v>
      </c>
      <c r="R843" s="95">
        <v>5239490644</v>
      </c>
      <c r="S843" s="93">
        <v>630718116</v>
      </c>
      <c r="T843" s="94">
        <v>15000000</v>
      </c>
      <c r="U843" s="93">
        <v>24000000</v>
      </c>
      <c r="V843" s="89"/>
      <c r="W843" s="95"/>
      <c r="X843" s="95">
        <f t="shared" si="111"/>
        <v>0</v>
      </c>
      <c r="Y843" s="95">
        <f t="shared" si="112"/>
        <v>0</v>
      </c>
      <c r="Z843" s="95">
        <f t="shared" si="113"/>
        <v>48000000</v>
      </c>
      <c r="AA843" s="96"/>
      <c r="AB843" s="97" t="s">
        <v>3853</v>
      </c>
    </row>
    <row r="844" spans="1:28" ht="63" x14ac:dyDescent="0.3">
      <c r="A844" s="7" t="s">
        <v>46</v>
      </c>
      <c r="B844" s="6">
        <v>806</v>
      </c>
      <c r="C844" s="7" t="s">
        <v>3313</v>
      </c>
      <c r="D844" s="7" t="s">
        <v>3472</v>
      </c>
      <c r="E844" s="7" t="s">
        <v>3473</v>
      </c>
      <c r="F844" s="7" t="s">
        <v>3474</v>
      </c>
      <c r="G844" s="5"/>
      <c r="H844" s="5"/>
      <c r="I844" s="21" t="s">
        <v>3475</v>
      </c>
      <c r="J844" s="7" t="s">
        <v>24</v>
      </c>
      <c r="K844" s="7" t="s">
        <v>3396</v>
      </c>
      <c r="L844" s="14">
        <v>10000000</v>
      </c>
      <c r="M844" s="14">
        <v>5132223264</v>
      </c>
      <c r="N844" s="14">
        <v>15000000</v>
      </c>
      <c r="O844" s="40"/>
      <c r="P844" s="40"/>
      <c r="Q844" s="3">
        <f t="shared" si="110"/>
        <v>5157223264</v>
      </c>
      <c r="R844" s="3">
        <v>10000000</v>
      </c>
      <c r="S844" s="3">
        <v>5132223264</v>
      </c>
      <c r="T844" s="30">
        <v>15000000</v>
      </c>
      <c r="U844" s="7"/>
      <c r="V844" s="7"/>
      <c r="W844" s="36"/>
      <c r="X844" s="36">
        <f t="shared" si="111"/>
        <v>0</v>
      </c>
      <c r="Y844" s="36">
        <f t="shared" si="112"/>
        <v>0</v>
      </c>
      <c r="Z844" s="36">
        <f t="shared" si="113"/>
        <v>0</v>
      </c>
      <c r="AA844" s="4"/>
      <c r="AB844" s="79"/>
    </row>
    <row r="845" spans="1:28" ht="42" x14ac:dyDescent="0.3">
      <c r="A845" s="7" t="s">
        <v>18</v>
      </c>
      <c r="B845" s="6">
        <v>807</v>
      </c>
      <c r="C845" s="7" t="s">
        <v>3313</v>
      </c>
      <c r="D845" s="7" t="s">
        <v>3476</v>
      </c>
      <c r="E845" s="5"/>
      <c r="F845" s="7" t="s">
        <v>3478</v>
      </c>
      <c r="G845" s="5"/>
      <c r="H845" s="5"/>
      <c r="I845" s="21" t="s">
        <v>3479</v>
      </c>
      <c r="J845" s="7" t="s">
        <v>24</v>
      </c>
      <c r="K845" s="7" t="s">
        <v>3480</v>
      </c>
      <c r="L845" s="14">
        <v>1611681135</v>
      </c>
      <c r="M845" s="5"/>
      <c r="N845" s="14">
        <v>15000000</v>
      </c>
      <c r="O845" s="40" t="s">
        <v>3477</v>
      </c>
      <c r="P845" s="10">
        <v>48000000</v>
      </c>
      <c r="Q845" s="3">
        <f t="shared" si="110"/>
        <v>1674681135</v>
      </c>
      <c r="R845" s="36">
        <v>1611681135</v>
      </c>
      <c r="S845" s="7"/>
      <c r="T845" s="30">
        <v>15000000</v>
      </c>
      <c r="U845" s="3">
        <v>48000000</v>
      </c>
      <c r="V845" s="7"/>
      <c r="W845" s="36"/>
      <c r="X845" s="36">
        <f t="shared" si="111"/>
        <v>0</v>
      </c>
      <c r="Y845" s="36">
        <f t="shared" si="112"/>
        <v>0</v>
      </c>
      <c r="Z845" s="36">
        <f t="shared" si="113"/>
        <v>0</v>
      </c>
      <c r="AA845" s="4"/>
      <c r="AB845" s="79"/>
    </row>
    <row r="846" spans="1:28" ht="31.2" x14ac:dyDescent="0.3">
      <c r="A846" s="7" t="s">
        <v>18</v>
      </c>
      <c r="B846" s="6">
        <v>808</v>
      </c>
      <c r="C846" s="7" t="s">
        <v>3313</v>
      </c>
      <c r="D846" s="7" t="s">
        <v>3481</v>
      </c>
      <c r="E846" s="7" t="s">
        <v>3482</v>
      </c>
      <c r="F846" s="7" t="s">
        <v>3483</v>
      </c>
      <c r="G846" s="5"/>
      <c r="H846" s="5"/>
      <c r="I846" s="21" t="s">
        <v>3484</v>
      </c>
      <c r="J846" s="7" t="s">
        <v>24</v>
      </c>
      <c r="K846" s="7" t="s">
        <v>3485</v>
      </c>
      <c r="L846" s="14">
        <v>1246747708</v>
      </c>
      <c r="M846" s="14">
        <v>193650240</v>
      </c>
      <c r="N846" s="14">
        <v>15000000</v>
      </c>
      <c r="O846" s="40" t="s">
        <v>3477</v>
      </c>
      <c r="P846" s="10">
        <v>48000000</v>
      </c>
      <c r="Q846" s="3">
        <f t="shared" si="110"/>
        <v>1503397948</v>
      </c>
      <c r="R846" s="36">
        <v>1246747708</v>
      </c>
      <c r="S846" s="3">
        <v>193650240</v>
      </c>
      <c r="T846" s="30">
        <v>15000000</v>
      </c>
      <c r="U846" s="3">
        <v>48000000</v>
      </c>
      <c r="V846" s="7"/>
      <c r="W846" s="36"/>
      <c r="X846" s="36">
        <f t="shared" si="111"/>
        <v>0</v>
      </c>
      <c r="Y846" s="36">
        <f t="shared" si="112"/>
        <v>0</v>
      </c>
      <c r="Z846" s="36">
        <f t="shared" si="113"/>
        <v>0</v>
      </c>
      <c r="AA846" s="4"/>
      <c r="AB846" s="79"/>
    </row>
    <row r="847" spans="1:28" ht="31.2" x14ac:dyDescent="0.3">
      <c r="A847" s="7"/>
      <c r="B847" s="148">
        <v>809</v>
      </c>
      <c r="C847" s="148" t="s">
        <v>3313</v>
      </c>
      <c r="D847" s="7"/>
      <c r="E847" s="7"/>
      <c r="F847" s="148" t="s">
        <v>3488</v>
      </c>
      <c r="G847" s="5"/>
      <c r="H847" s="5"/>
      <c r="I847" s="150" t="s">
        <v>3491</v>
      </c>
      <c r="J847" s="148" t="s">
        <v>24</v>
      </c>
      <c r="K847" s="148" t="s">
        <v>3352</v>
      </c>
      <c r="L847" s="14"/>
      <c r="M847" s="14"/>
      <c r="N847" s="14"/>
      <c r="O847" s="40" t="s">
        <v>3833</v>
      </c>
      <c r="P847" s="10">
        <v>36000000</v>
      </c>
      <c r="Q847" s="3"/>
      <c r="R847" s="36"/>
      <c r="S847" s="3"/>
      <c r="T847" s="30"/>
      <c r="U847" s="3">
        <v>36000000</v>
      </c>
      <c r="V847" s="7"/>
      <c r="W847" s="36"/>
      <c r="X847" s="36"/>
      <c r="Y847" s="36"/>
      <c r="Z847" s="36">
        <f t="shared" si="113"/>
        <v>0</v>
      </c>
      <c r="AA847" s="4"/>
      <c r="AB847" s="79"/>
    </row>
    <row r="848" spans="1:28" s="98" customFormat="1" ht="31.8" customHeight="1" x14ac:dyDescent="0.3">
      <c r="A848" s="89" t="s">
        <v>18</v>
      </c>
      <c r="B848" s="149"/>
      <c r="C848" s="149"/>
      <c r="D848" s="89" t="s">
        <v>3486</v>
      </c>
      <c r="E848" s="89" t="s">
        <v>3487</v>
      </c>
      <c r="F848" s="149"/>
      <c r="G848" s="89" t="s">
        <v>3489</v>
      </c>
      <c r="H848" s="99" t="s">
        <v>3490</v>
      </c>
      <c r="I848" s="151"/>
      <c r="J848" s="149"/>
      <c r="K848" s="149"/>
      <c r="L848" s="90">
        <v>1042844736</v>
      </c>
      <c r="M848" s="90">
        <v>353989728</v>
      </c>
      <c r="N848" s="90">
        <v>15000000</v>
      </c>
      <c r="O848" s="91" t="s">
        <v>3829</v>
      </c>
      <c r="P848" s="103">
        <v>72000000</v>
      </c>
      <c r="Q848" s="93">
        <f t="shared" ref="Q848:Q893" si="114">L848+M848+N848+P848</f>
        <v>1483834464</v>
      </c>
      <c r="R848" s="93">
        <v>1042844736</v>
      </c>
      <c r="S848" s="93">
        <v>353989728</v>
      </c>
      <c r="T848" s="94">
        <v>15000000</v>
      </c>
      <c r="U848" s="93"/>
      <c r="V848" s="89"/>
      <c r="W848" s="95"/>
      <c r="X848" s="95">
        <f t="shared" ref="X848:X893" si="115">M848-S848</f>
        <v>0</v>
      </c>
      <c r="Y848" s="95">
        <f t="shared" ref="Y848:Y893" si="116">N848-T848</f>
        <v>0</v>
      </c>
      <c r="Z848" s="95">
        <f t="shared" si="113"/>
        <v>72000000</v>
      </c>
      <c r="AA848" s="96"/>
      <c r="AB848" s="97" t="s">
        <v>3853</v>
      </c>
    </row>
    <row r="849" spans="1:28" ht="46.8" x14ac:dyDescent="0.3">
      <c r="A849" s="7" t="s">
        <v>18</v>
      </c>
      <c r="B849" s="6">
        <v>810</v>
      </c>
      <c r="C849" s="7" t="s">
        <v>3313</v>
      </c>
      <c r="D849" s="7" t="s">
        <v>3492</v>
      </c>
      <c r="E849" s="5"/>
      <c r="F849" s="7" t="s">
        <v>3493</v>
      </c>
      <c r="G849" s="5"/>
      <c r="H849" s="5"/>
      <c r="I849" s="21" t="s">
        <v>3494</v>
      </c>
      <c r="J849" s="7" t="s">
        <v>24</v>
      </c>
      <c r="K849" s="7" t="s">
        <v>3495</v>
      </c>
      <c r="L849" s="14">
        <v>3051594287</v>
      </c>
      <c r="M849" s="5"/>
      <c r="N849" s="14">
        <v>15000000</v>
      </c>
      <c r="O849" s="40"/>
      <c r="P849" s="40"/>
      <c r="Q849" s="3">
        <f t="shared" si="114"/>
        <v>3066594287</v>
      </c>
      <c r="R849" s="36">
        <v>3051594287</v>
      </c>
      <c r="S849" s="7"/>
      <c r="T849" s="30">
        <v>15000000</v>
      </c>
      <c r="U849" s="7"/>
      <c r="V849" s="7"/>
      <c r="W849" s="36"/>
      <c r="X849" s="36">
        <f t="shared" si="115"/>
        <v>0</v>
      </c>
      <c r="Y849" s="36">
        <f t="shared" si="116"/>
        <v>0</v>
      </c>
      <c r="Z849" s="36">
        <f t="shared" si="113"/>
        <v>0</v>
      </c>
      <c r="AA849" s="4"/>
      <c r="AB849" s="79"/>
    </row>
    <row r="850" spans="1:28" ht="42" x14ac:dyDescent="0.3">
      <c r="A850" s="7" t="s">
        <v>18</v>
      </c>
      <c r="B850" s="6">
        <v>811</v>
      </c>
      <c r="C850" s="7" t="s">
        <v>3313</v>
      </c>
      <c r="D850" s="7" t="s">
        <v>3496</v>
      </c>
      <c r="E850" s="5"/>
      <c r="F850" s="7" t="s">
        <v>3497</v>
      </c>
      <c r="G850" s="7" t="s">
        <v>3498</v>
      </c>
      <c r="H850" s="5"/>
      <c r="I850" s="21" t="s">
        <v>3499</v>
      </c>
      <c r="J850" s="7" t="s">
        <v>24</v>
      </c>
      <c r="K850" s="7" t="s">
        <v>3500</v>
      </c>
      <c r="L850" s="14">
        <v>22476062320</v>
      </c>
      <c r="M850" s="5"/>
      <c r="N850" s="14">
        <v>15000000</v>
      </c>
      <c r="O850" s="40"/>
      <c r="P850" s="40"/>
      <c r="Q850" s="3">
        <f t="shared" si="114"/>
        <v>22491062320</v>
      </c>
      <c r="R850" s="3">
        <v>22476062320</v>
      </c>
      <c r="S850" s="7"/>
      <c r="T850" s="30">
        <v>15000000</v>
      </c>
      <c r="U850" s="7"/>
      <c r="V850" s="7"/>
      <c r="W850" s="36"/>
      <c r="X850" s="36">
        <f t="shared" si="115"/>
        <v>0</v>
      </c>
      <c r="Y850" s="36">
        <f t="shared" si="116"/>
        <v>0</v>
      </c>
      <c r="Z850" s="36">
        <f t="shared" si="113"/>
        <v>0</v>
      </c>
      <c r="AA850" s="4"/>
      <c r="AB850" s="79"/>
    </row>
    <row r="851" spans="1:28" ht="31.2" x14ac:dyDescent="0.4">
      <c r="A851" s="7" t="s">
        <v>18</v>
      </c>
      <c r="B851" s="6">
        <v>812</v>
      </c>
      <c r="C851" s="7" t="s">
        <v>3313</v>
      </c>
      <c r="D851" s="7" t="s">
        <v>3501</v>
      </c>
      <c r="E851" s="7" t="s">
        <v>3502</v>
      </c>
      <c r="F851" s="7" t="s">
        <v>3503</v>
      </c>
      <c r="G851" s="7" t="s">
        <v>3504</v>
      </c>
      <c r="H851" s="5"/>
      <c r="I851" s="21" t="s">
        <v>3505</v>
      </c>
      <c r="J851" s="7" t="s">
        <v>24</v>
      </c>
      <c r="K851" s="7" t="s">
        <v>3239</v>
      </c>
      <c r="L851" s="14">
        <v>1218195100</v>
      </c>
      <c r="M851" s="3">
        <v>178916160</v>
      </c>
      <c r="N851" s="14">
        <v>15000000</v>
      </c>
      <c r="O851" s="40"/>
      <c r="P851" s="40"/>
      <c r="Q851" s="3">
        <f t="shared" si="114"/>
        <v>1412111260</v>
      </c>
      <c r="R851" s="7"/>
      <c r="S851" s="7"/>
      <c r="T851" s="30">
        <v>15000000</v>
      </c>
      <c r="U851" s="7"/>
      <c r="V851" s="7"/>
      <c r="W851" s="36">
        <v>1218195100</v>
      </c>
      <c r="X851" s="36">
        <f t="shared" si="115"/>
        <v>178916160</v>
      </c>
      <c r="Y851" s="36">
        <f t="shared" si="116"/>
        <v>0</v>
      </c>
      <c r="Z851" s="36">
        <f t="shared" si="113"/>
        <v>0</v>
      </c>
      <c r="AA851" s="16">
        <v>1218195100</v>
      </c>
      <c r="AB851" s="79"/>
    </row>
    <row r="852" spans="1:28" ht="31.2" x14ac:dyDescent="0.4">
      <c r="A852" s="7" t="s">
        <v>1601</v>
      </c>
      <c r="B852" s="6">
        <v>813</v>
      </c>
      <c r="C852" s="7" t="s">
        <v>3506</v>
      </c>
      <c r="D852" s="7" t="s">
        <v>3507</v>
      </c>
      <c r="E852" s="7" t="s">
        <v>3508</v>
      </c>
      <c r="F852" s="7" t="s">
        <v>3509</v>
      </c>
      <c r="G852" s="7" t="s">
        <v>3510</v>
      </c>
      <c r="H852" s="5"/>
      <c r="I852" s="21" t="s">
        <v>3511</v>
      </c>
      <c r="J852" s="7" t="s">
        <v>24</v>
      </c>
      <c r="K852" s="7" t="s">
        <v>3512</v>
      </c>
      <c r="L852" s="14">
        <v>2652068258</v>
      </c>
      <c r="M852" s="14">
        <v>680801625</v>
      </c>
      <c r="N852" s="14">
        <v>15000000</v>
      </c>
      <c r="O852" s="7" t="s">
        <v>3840</v>
      </c>
      <c r="P852" s="3">
        <v>24000000</v>
      </c>
      <c r="Q852" s="3">
        <f t="shared" si="114"/>
        <v>3371869883</v>
      </c>
      <c r="R852" s="7"/>
      <c r="S852" s="7"/>
      <c r="T852" s="72"/>
      <c r="U852" s="7"/>
      <c r="V852" s="7"/>
      <c r="W852" s="36">
        <v>2652068258</v>
      </c>
      <c r="X852" s="36">
        <f t="shared" si="115"/>
        <v>680801625</v>
      </c>
      <c r="Y852" s="36">
        <f t="shared" si="116"/>
        <v>15000000</v>
      </c>
      <c r="Z852" s="36">
        <f t="shared" si="113"/>
        <v>24000000</v>
      </c>
      <c r="AA852" s="16">
        <v>2652068258</v>
      </c>
      <c r="AB852" s="83"/>
    </row>
    <row r="853" spans="1:28" ht="84" x14ac:dyDescent="0.3">
      <c r="A853" s="7" t="s">
        <v>1601</v>
      </c>
      <c r="B853" s="6">
        <v>814</v>
      </c>
      <c r="C853" s="7" t="s">
        <v>3506</v>
      </c>
      <c r="D853" s="7" t="s">
        <v>3513</v>
      </c>
      <c r="E853" s="5"/>
      <c r="F853" s="7" t="s">
        <v>3514</v>
      </c>
      <c r="G853" s="5"/>
      <c r="H853" s="5"/>
      <c r="I853" s="21" t="s">
        <v>3515</v>
      </c>
      <c r="J853" s="7" t="s">
        <v>24</v>
      </c>
      <c r="K853" s="7" t="s">
        <v>3516</v>
      </c>
      <c r="L853" s="14">
        <v>285679923760</v>
      </c>
      <c r="M853" s="5"/>
      <c r="N853" s="14">
        <v>7500000</v>
      </c>
      <c r="O853" s="40"/>
      <c r="P853" s="40"/>
      <c r="Q853" s="3">
        <f t="shared" si="114"/>
        <v>285687423760</v>
      </c>
      <c r="R853" s="3">
        <v>285679923760</v>
      </c>
      <c r="S853" s="7"/>
      <c r="T853" s="72"/>
      <c r="U853" s="7"/>
      <c r="V853" s="7"/>
      <c r="W853" s="36"/>
      <c r="X853" s="36">
        <f t="shared" si="115"/>
        <v>0</v>
      </c>
      <c r="Y853" s="36">
        <f t="shared" si="116"/>
        <v>7500000</v>
      </c>
      <c r="Z853" s="36">
        <f t="shared" si="113"/>
        <v>0</v>
      </c>
      <c r="AA853" s="4"/>
      <c r="AB853" s="79"/>
    </row>
    <row r="854" spans="1:28" ht="42" x14ac:dyDescent="0.3">
      <c r="A854" s="7" t="s">
        <v>1601</v>
      </c>
      <c r="B854" s="6">
        <v>815</v>
      </c>
      <c r="C854" s="7" t="s">
        <v>3506</v>
      </c>
      <c r="D854" s="7" t="s">
        <v>3517</v>
      </c>
      <c r="E854" s="5"/>
      <c r="F854" s="7" t="s">
        <v>3518</v>
      </c>
      <c r="G854" s="5"/>
      <c r="H854" s="5"/>
      <c r="I854" s="21" t="s">
        <v>3519</v>
      </c>
      <c r="J854" s="7" t="s">
        <v>24</v>
      </c>
      <c r="K854" s="7" t="s">
        <v>3520</v>
      </c>
      <c r="L854" s="14">
        <v>886470700</v>
      </c>
      <c r="M854" s="5"/>
      <c r="N854" s="14">
        <v>15000000</v>
      </c>
      <c r="O854" s="40"/>
      <c r="P854" s="40"/>
      <c r="Q854" s="3">
        <f t="shared" si="114"/>
        <v>901470700</v>
      </c>
      <c r="R854" s="3">
        <v>886470700</v>
      </c>
      <c r="S854" s="7"/>
      <c r="T854" s="30">
        <v>15000000</v>
      </c>
      <c r="U854" s="7"/>
      <c r="V854" s="7"/>
      <c r="W854" s="36"/>
      <c r="X854" s="36">
        <f t="shared" si="115"/>
        <v>0</v>
      </c>
      <c r="Y854" s="36">
        <f t="shared" si="116"/>
        <v>0</v>
      </c>
      <c r="Z854" s="36">
        <f t="shared" si="113"/>
        <v>0</v>
      </c>
      <c r="AA854" s="4"/>
      <c r="AB854" s="79"/>
    </row>
    <row r="855" spans="1:28" ht="63" x14ac:dyDescent="0.3">
      <c r="A855" s="7" t="s">
        <v>46</v>
      </c>
      <c r="B855" s="6">
        <v>816</v>
      </c>
      <c r="C855" s="7" t="s">
        <v>3506</v>
      </c>
      <c r="D855" s="7" t="s">
        <v>3521</v>
      </c>
      <c r="E855" s="5"/>
      <c r="F855" s="7" t="s">
        <v>3522</v>
      </c>
      <c r="G855" s="5"/>
      <c r="H855" s="5"/>
      <c r="I855" s="21" t="s">
        <v>3070</v>
      </c>
      <c r="J855" s="7" t="s">
        <v>24</v>
      </c>
      <c r="K855" s="7" t="s">
        <v>3523</v>
      </c>
      <c r="L855" s="14">
        <v>1059226080</v>
      </c>
      <c r="M855" s="5"/>
      <c r="N855" s="14">
        <v>15000000</v>
      </c>
      <c r="O855" s="40"/>
      <c r="P855" s="40"/>
      <c r="Q855" s="3">
        <f t="shared" si="114"/>
        <v>1074226080</v>
      </c>
      <c r="R855" s="3">
        <v>1059226080</v>
      </c>
      <c r="S855" s="7"/>
      <c r="T855" s="30">
        <v>15000000</v>
      </c>
      <c r="U855" s="7"/>
      <c r="V855" s="7"/>
      <c r="W855" s="36"/>
      <c r="X855" s="36">
        <f t="shared" si="115"/>
        <v>0</v>
      </c>
      <c r="Y855" s="36">
        <f t="shared" si="116"/>
        <v>0</v>
      </c>
      <c r="Z855" s="36">
        <f t="shared" si="113"/>
        <v>0</v>
      </c>
      <c r="AA855" s="4"/>
      <c r="AB855" s="79"/>
    </row>
    <row r="856" spans="1:28" ht="126" x14ac:dyDescent="0.3">
      <c r="A856" s="7" t="s">
        <v>1601</v>
      </c>
      <c r="B856" s="6">
        <v>817</v>
      </c>
      <c r="C856" s="7" t="s">
        <v>3506</v>
      </c>
      <c r="D856" s="7" t="s">
        <v>3524</v>
      </c>
      <c r="E856" s="5"/>
      <c r="F856" s="7" t="s">
        <v>3525</v>
      </c>
      <c r="G856" s="5"/>
      <c r="H856" s="5"/>
      <c r="I856" s="21" t="s">
        <v>3526</v>
      </c>
      <c r="J856" s="7" t="s">
        <v>24</v>
      </c>
      <c r="K856" s="7" t="s">
        <v>3527</v>
      </c>
      <c r="L856" s="14">
        <v>5929074343</v>
      </c>
      <c r="M856" s="5"/>
      <c r="N856" s="14">
        <v>15000000</v>
      </c>
      <c r="O856" s="40" t="s">
        <v>637</v>
      </c>
      <c r="P856" s="10">
        <v>24000000</v>
      </c>
      <c r="Q856" s="3">
        <f t="shared" si="114"/>
        <v>5968074343</v>
      </c>
      <c r="R856" s="3">
        <v>5929074343</v>
      </c>
      <c r="S856" s="7"/>
      <c r="T856" s="30">
        <v>15000000</v>
      </c>
      <c r="U856" s="3">
        <v>24000000</v>
      </c>
      <c r="V856" s="7"/>
      <c r="W856" s="36"/>
      <c r="X856" s="36">
        <f t="shared" si="115"/>
        <v>0</v>
      </c>
      <c r="Y856" s="36">
        <f t="shared" si="116"/>
        <v>0</v>
      </c>
      <c r="Z856" s="36">
        <f t="shared" si="113"/>
        <v>0</v>
      </c>
      <c r="AA856" s="4"/>
      <c r="AB856" s="79"/>
    </row>
    <row r="857" spans="1:28" ht="46.8" x14ac:dyDescent="0.3">
      <c r="A857" s="7" t="s">
        <v>1601</v>
      </c>
      <c r="B857" s="6">
        <v>818</v>
      </c>
      <c r="C857" s="7" t="s">
        <v>3506</v>
      </c>
      <c r="D857" s="7" t="s">
        <v>3528</v>
      </c>
      <c r="E857" s="5"/>
      <c r="F857" s="7" t="s">
        <v>3529</v>
      </c>
      <c r="G857" s="5"/>
      <c r="H857" s="5"/>
      <c r="I857" s="21" t="s">
        <v>3530</v>
      </c>
      <c r="J857" s="7" t="s">
        <v>24</v>
      </c>
      <c r="K857" s="7" t="s">
        <v>3531</v>
      </c>
      <c r="L857" s="14">
        <v>3385207540</v>
      </c>
      <c r="M857" s="5"/>
      <c r="N857" s="14">
        <v>15000000</v>
      </c>
      <c r="O857" s="40"/>
      <c r="P857" s="40"/>
      <c r="Q857" s="3">
        <f t="shared" si="114"/>
        <v>3400207540</v>
      </c>
      <c r="R857" s="3">
        <v>3385207540</v>
      </c>
      <c r="S857" s="7"/>
      <c r="T857" s="30">
        <v>15000000</v>
      </c>
      <c r="U857" s="7"/>
      <c r="V857" s="7"/>
      <c r="W857" s="36"/>
      <c r="X857" s="36">
        <f t="shared" si="115"/>
        <v>0</v>
      </c>
      <c r="Y857" s="36">
        <f t="shared" si="116"/>
        <v>0</v>
      </c>
      <c r="Z857" s="36">
        <f t="shared" si="113"/>
        <v>0</v>
      </c>
      <c r="AA857" s="4"/>
      <c r="AB857" s="79"/>
    </row>
    <row r="858" spans="1:28" ht="46.8" x14ac:dyDescent="0.3">
      <c r="A858" s="7" t="s">
        <v>1601</v>
      </c>
      <c r="B858" s="6">
        <v>819</v>
      </c>
      <c r="C858" s="7" t="s">
        <v>3506</v>
      </c>
      <c r="D858" s="7" t="s">
        <v>3532</v>
      </c>
      <c r="E858" s="5"/>
      <c r="F858" s="7" t="s">
        <v>3533</v>
      </c>
      <c r="G858" s="5"/>
      <c r="H858" s="5"/>
      <c r="I858" s="21" t="s">
        <v>3534</v>
      </c>
      <c r="J858" s="7" t="s">
        <v>24</v>
      </c>
      <c r="K858" s="7" t="s">
        <v>3535</v>
      </c>
      <c r="L858" s="14">
        <v>1230685480</v>
      </c>
      <c r="M858" s="5"/>
      <c r="N858" s="14">
        <v>15000000</v>
      </c>
      <c r="O858" s="40"/>
      <c r="P858" s="40"/>
      <c r="Q858" s="3">
        <f t="shared" si="114"/>
        <v>1245685480</v>
      </c>
      <c r="R858" s="3">
        <v>1230685480</v>
      </c>
      <c r="S858" s="7"/>
      <c r="T858" s="30">
        <v>15000000</v>
      </c>
      <c r="U858" s="7"/>
      <c r="V858" s="7"/>
      <c r="W858" s="36"/>
      <c r="X858" s="36">
        <f t="shared" si="115"/>
        <v>0</v>
      </c>
      <c r="Y858" s="36">
        <f t="shared" si="116"/>
        <v>0</v>
      </c>
      <c r="Z858" s="36">
        <f t="shared" si="113"/>
        <v>0</v>
      </c>
      <c r="AA858" s="4"/>
      <c r="AB858" s="79"/>
    </row>
    <row r="859" spans="1:28" ht="63" x14ac:dyDescent="0.3">
      <c r="A859" s="7" t="s">
        <v>1601</v>
      </c>
      <c r="B859" s="6">
        <v>820</v>
      </c>
      <c r="C859" s="7" t="s">
        <v>3506</v>
      </c>
      <c r="D859" s="7" t="s">
        <v>3536</v>
      </c>
      <c r="E859" s="5"/>
      <c r="F859" s="7" t="s">
        <v>3537</v>
      </c>
      <c r="G859" s="5"/>
      <c r="H859" s="5"/>
      <c r="I859" s="21" t="s">
        <v>3538</v>
      </c>
      <c r="J859" s="7" t="s">
        <v>24</v>
      </c>
      <c r="K859" s="7" t="s">
        <v>3539</v>
      </c>
      <c r="L859" s="14">
        <v>1248685600</v>
      </c>
      <c r="M859" s="5"/>
      <c r="N859" s="14">
        <v>15000000</v>
      </c>
      <c r="O859" s="40" t="s">
        <v>1144</v>
      </c>
      <c r="P859" s="10">
        <v>120000000</v>
      </c>
      <c r="Q859" s="3">
        <f t="shared" si="114"/>
        <v>1383685600</v>
      </c>
      <c r="R859" s="3">
        <v>1248685600</v>
      </c>
      <c r="S859" s="7"/>
      <c r="T859" s="30">
        <v>15000000</v>
      </c>
      <c r="U859" s="3">
        <v>120000000</v>
      </c>
      <c r="V859" s="7"/>
      <c r="W859" s="36"/>
      <c r="X859" s="36">
        <f t="shared" si="115"/>
        <v>0</v>
      </c>
      <c r="Y859" s="36">
        <f t="shared" si="116"/>
        <v>0</v>
      </c>
      <c r="Z859" s="36">
        <f t="shared" si="113"/>
        <v>0</v>
      </c>
      <c r="AA859" s="4"/>
      <c r="AB859" s="79"/>
    </row>
    <row r="860" spans="1:28" ht="42" x14ac:dyDescent="0.3">
      <c r="A860" s="7" t="s">
        <v>1601</v>
      </c>
      <c r="B860" s="6">
        <v>821</v>
      </c>
      <c r="C860" s="7" t="s">
        <v>3506</v>
      </c>
      <c r="D860" s="7" t="s">
        <v>3540</v>
      </c>
      <c r="E860" s="7" t="s">
        <v>3541</v>
      </c>
      <c r="F860" s="7" t="s">
        <v>3542</v>
      </c>
      <c r="G860" s="5"/>
      <c r="H860" s="5"/>
      <c r="I860" s="21" t="s">
        <v>3543</v>
      </c>
      <c r="J860" s="7" t="s">
        <v>24</v>
      </c>
      <c r="K860" s="7" t="s">
        <v>3544</v>
      </c>
      <c r="L860" s="14">
        <v>66562996457</v>
      </c>
      <c r="M860" s="14">
        <v>1413212834</v>
      </c>
      <c r="N860" s="14">
        <v>7500000</v>
      </c>
      <c r="O860" s="40"/>
      <c r="P860" s="40"/>
      <c r="Q860" s="3">
        <f t="shared" si="114"/>
        <v>67983709291</v>
      </c>
      <c r="R860" s="3">
        <v>66562996457</v>
      </c>
      <c r="S860" s="3">
        <v>1413212834</v>
      </c>
      <c r="T860" s="30">
        <v>7500000</v>
      </c>
      <c r="U860" s="7"/>
      <c r="V860" s="7"/>
      <c r="W860" s="36"/>
      <c r="X860" s="36">
        <f t="shared" si="115"/>
        <v>0</v>
      </c>
      <c r="Y860" s="36">
        <f t="shared" si="116"/>
        <v>0</v>
      </c>
      <c r="Z860" s="36">
        <f t="shared" si="113"/>
        <v>0</v>
      </c>
      <c r="AA860" s="4"/>
      <c r="AB860" s="79"/>
    </row>
    <row r="861" spans="1:28" ht="42" x14ac:dyDescent="0.3">
      <c r="A861" s="7" t="s">
        <v>1601</v>
      </c>
      <c r="B861" s="6">
        <v>822</v>
      </c>
      <c r="C861" s="7" t="s">
        <v>3506</v>
      </c>
      <c r="D861" s="7" t="s">
        <v>3545</v>
      </c>
      <c r="E861" s="5"/>
      <c r="F861" s="7" t="s">
        <v>3546</v>
      </c>
      <c r="G861" s="5"/>
      <c r="H861" s="7" t="s">
        <v>28</v>
      </c>
      <c r="I861" s="21" t="s">
        <v>3547</v>
      </c>
      <c r="J861" s="7" t="s">
        <v>24</v>
      </c>
      <c r="K861" s="7" t="s">
        <v>2524</v>
      </c>
      <c r="L861" s="19">
        <v>0</v>
      </c>
      <c r="M861" s="5"/>
      <c r="N861" s="21"/>
      <c r="O861" s="40"/>
      <c r="P861" s="40"/>
      <c r="Q861" s="3">
        <f t="shared" si="114"/>
        <v>0</v>
      </c>
      <c r="R861" s="6">
        <v>0</v>
      </c>
      <c r="S861" s="7"/>
      <c r="T861" s="72"/>
      <c r="U861" s="7"/>
      <c r="V861" s="7"/>
      <c r="W861" s="36"/>
      <c r="X861" s="36">
        <f t="shared" si="115"/>
        <v>0</v>
      </c>
      <c r="Y861" s="36">
        <f t="shared" si="116"/>
        <v>0</v>
      </c>
      <c r="Z861" s="36">
        <f t="shared" si="113"/>
        <v>0</v>
      </c>
      <c r="AA861" s="4"/>
      <c r="AB861" s="79"/>
    </row>
    <row r="862" spans="1:28" ht="31.2" x14ac:dyDescent="0.3">
      <c r="A862" s="7" t="s">
        <v>1601</v>
      </c>
      <c r="B862" s="6">
        <v>823</v>
      </c>
      <c r="C862" s="7" t="s">
        <v>3506</v>
      </c>
      <c r="D862" s="7" t="s">
        <v>3548</v>
      </c>
      <c r="E862" s="7" t="s">
        <v>3549</v>
      </c>
      <c r="F862" s="7" t="s">
        <v>3550</v>
      </c>
      <c r="G862" s="7" t="s">
        <v>3551</v>
      </c>
      <c r="H862" s="5"/>
      <c r="I862" s="21" t="s">
        <v>3552</v>
      </c>
      <c r="J862" s="7" t="s">
        <v>24</v>
      </c>
      <c r="K862" s="7" t="s">
        <v>3553</v>
      </c>
      <c r="L862" s="14">
        <v>10000000</v>
      </c>
      <c r="M862" s="14">
        <v>715604580</v>
      </c>
      <c r="N862" s="14">
        <v>15000000</v>
      </c>
      <c r="O862" s="40" t="s">
        <v>691</v>
      </c>
      <c r="P862" s="10">
        <v>24000000</v>
      </c>
      <c r="Q862" s="3">
        <f t="shared" si="114"/>
        <v>764604580</v>
      </c>
      <c r="R862" s="3">
        <v>10000000</v>
      </c>
      <c r="S862" s="3">
        <v>715604580</v>
      </c>
      <c r="T862" s="30">
        <v>15000000</v>
      </c>
      <c r="U862" s="3">
        <v>24000000</v>
      </c>
      <c r="V862" s="7"/>
      <c r="W862" s="36"/>
      <c r="X862" s="36">
        <f t="shared" si="115"/>
        <v>0</v>
      </c>
      <c r="Y862" s="36">
        <f t="shared" si="116"/>
        <v>0</v>
      </c>
      <c r="Z862" s="36">
        <f t="shared" si="113"/>
        <v>0</v>
      </c>
      <c r="AA862" s="4"/>
      <c r="AB862" s="79"/>
    </row>
    <row r="863" spans="1:28" ht="42" x14ac:dyDescent="0.3">
      <c r="A863" s="7" t="s">
        <v>1601</v>
      </c>
      <c r="B863" s="6">
        <v>824</v>
      </c>
      <c r="C863" s="7" t="s">
        <v>3506</v>
      </c>
      <c r="D863" s="7" t="s">
        <v>3554</v>
      </c>
      <c r="E863" s="7" t="s">
        <v>2343</v>
      </c>
      <c r="F863" s="7" t="s">
        <v>3555</v>
      </c>
      <c r="G863" s="7" t="s">
        <v>3556</v>
      </c>
      <c r="H863" s="5"/>
      <c r="I863" s="21" t="s">
        <v>3557</v>
      </c>
      <c r="J863" s="7" t="s">
        <v>24</v>
      </c>
      <c r="K863" s="7" t="s">
        <v>3558</v>
      </c>
      <c r="L863" s="14">
        <v>10000000</v>
      </c>
      <c r="M863" s="14">
        <v>417893364</v>
      </c>
      <c r="N863" s="14">
        <v>15000000</v>
      </c>
      <c r="O863" s="40" t="s">
        <v>2094</v>
      </c>
      <c r="P863" s="10">
        <v>24000000</v>
      </c>
      <c r="Q863" s="3">
        <f t="shared" si="114"/>
        <v>466893364</v>
      </c>
      <c r="R863" s="3">
        <v>10000000</v>
      </c>
      <c r="S863" s="3">
        <v>417893364</v>
      </c>
      <c r="T863" s="30">
        <v>15000000</v>
      </c>
      <c r="U863" s="3">
        <v>24000000</v>
      </c>
      <c r="V863" s="7"/>
      <c r="W863" s="36"/>
      <c r="X863" s="36">
        <f t="shared" si="115"/>
        <v>0</v>
      </c>
      <c r="Y863" s="36">
        <f t="shared" si="116"/>
        <v>0</v>
      </c>
      <c r="Z863" s="36">
        <f t="shared" si="113"/>
        <v>0</v>
      </c>
      <c r="AA863" s="4"/>
      <c r="AB863" s="79"/>
    </row>
    <row r="864" spans="1:28" ht="46.8" x14ac:dyDescent="0.3">
      <c r="A864" s="7" t="s">
        <v>1601</v>
      </c>
      <c r="B864" s="6">
        <v>825</v>
      </c>
      <c r="C864" s="7" t="s">
        <v>3506</v>
      </c>
      <c r="D864" s="7" t="s">
        <v>3559</v>
      </c>
      <c r="E864" s="7" t="s">
        <v>3560</v>
      </c>
      <c r="F864" s="7" t="s">
        <v>3561</v>
      </c>
      <c r="G864" s="5"/>
      <c r="H864" s="5"/>
      <c r="I864" s="21" t="s">
        <v>3562</v>
      </c>
      <c r="J864" s="7" t="s">
        <v>24</v>
      </c>
      <c r="K864" s="7" t="s">
        <v>3563</v>
      </c>
      <c r="L864" s="14">
        <v>1278949840</v>
      </c>
      <c r="M864" s="14">
        <v>451639776</v>
      </c>
      <c r="N864" s="14">
        <v>15000000</v>
      </c>
      <c r="O864" s="40" t="s">
        <v>637</v>
      </c>
      <c r="P864" s="10">
        <v>24000000</v>
      </c>
      <c r="Q864" s="3">
        <f t="shared" si="114"/>
        <v>1769589616</v>
      </c>
      <c r="R864" s="3">
        <v>1278949840</v>
      </c>
      <c r="S864" s="3">
        <v>451639776</v>
      </c>
      <c r="T864" s="72"/>
      <c r="U864" s="3">
        <v>24000000</v>
      </c>
      <c r="V864" s="7"/>
      <c r="W864" s="36"/>
      <c r="X864" s="36">
        <f t="shared" si="115"/>
        <v>0</v>
      </c>
      <c r="Y864" s="36">
        <f t="shared" si="116"/>
        <v>15000000</v>
      </c>
      <c r="Z864" s="36">
        <f t="shared" si="113"/>
        <v>0</v>
      </c>
      <c r="AA864" s="4"/>
      <c r="AB864" s="79"/>
    </row>
    <row r="865" spans="1:28" ht="31.2" x14ac:dyDescent="0.3">
      <c r="A865" s="7" t="s">
        <v>46</v>
      </c>
      <c r="B865" s="6">
        <v>826</v>
      </c>
      <c r="C865" s="7" t="s">
        <v>3506</v>
      </c>
      <c r="D865" s="7" t="s">
        <v>3481</v>
      </c>
      <c r="E865" s="7" t="s">
        <v>644</v>
      </c>
      <c r="F865" s="7" t="s">
        <v>3564</v>
      </c>
      <c r="G865" s="7" t="s">
        <v>3565</v>
      </c>
      <c r="H865" s="5"/>
      <c r="I865" s="21" t="s">
        <v>3566</v>
      </c>
      <c r="J865" s="7" t="s">
        <v>24</v>
      </c>
      <c r="K865" s="7" t="s">
        <v>3567</v>
      </c>
      <c r="L865" s="14">
        <v>1083708020</v>
      </c>
      <c r="M865" s="14">
        <v>1129749824</v>
      </c>
      <c r="N865" s="14">
        <v>15000000</v>
      </c>
      <c r="O865" s="40"/>
      <c r="P865" s="40"/>
      <c r="Q865" s="3">
        <f t="shared" si="114"/>
        <v>2228457844</v>
      </c>
      <c r="R865" s="3">
        <v>1083708020</v>
      </c>
      <c r="S865" s="3">
        <v>1129749824</v>
      </c>
      <c r="T865" s="30">
        <v>15000000</v>
      </c>
      <c r="U865" s="7"/>
      <c r="V865" s="7"/>
      <c r="W865" s="36"/>
      <c r="X865" s="36">
        <f t="shared" si="115"/>
        <v>0</v>
      </c>
      <c r="Y865" s="36">
        <f t="shared" si="116"/>
        <v>0</v>
      </c>
      <c r="Z865" s="36">
        <f t="shared" si="113"/>
        <v>0</v>
      </c>
      <c r="AA865" s="4"/>
      <c r="AB865" s="79"/>
    </row>
    <row r="866" spans="1:28" ht="63" x14ac:dyDescent="0.3">
      <c r="A866" s="7" t="s">
        <v>1601</v>
      </c>
      <c r="B866" s="6">
        <v>827</v>
      </c>
      <c r="C866" s="7" t="s">
        <v>3506</v>
      </c>
      <c r="D866" s="7" t="s">
        <v>3568</v>
      </c>
      <c r="E866" s="7" t="s">
        <v>3569</v>
      </c>
      <c r="F866" s="7" t="s">
        <v>3570</v>
      </c>
      <c r="G866" s="7" t="s">
        <v>3571</v>
      </c>
      <c r="H866" s="5"/>
      <c r="I866" s="21" t="s">
        <v>3572</v>
      </c>
      <c r="J866" s="7" t="s">
        <v>24</v>
      </c>
      <c r="K866" s="7" t="s">
        <v>3573</v>
      </c>
      <c r="L866" s="14">
        <v>669621130</v>
      </c>
      <c r="M866" s="15">
        <v>1200081192</v>
      </c>
      <c r="N866" s="14">
        <v>15000000</v>
      </c>
      <c r="O866" s="40" t="s">
        <v>1248</v>
      </c>
      <c r="P866" s="10">
        <v>8000000</v>
      </c>
      <c r="Q866" s="3">
        <f t="shared" si="114"/>
        <v>1892702322</v>
      </c>
      <c r="R866" s="3">
        <v>669621130</v>
      </c>
      <c r="S866" s="3">
        <v>1200081192</v>
      </c>
      <c r="T866" s="30">
        <v>15000000</v>
      </c>
      <c r="U866" s="3">
        <v>8000000</v>
      </c>
      <c r="V866" s="7"/>
      <c r="W866" s="36"/>
      <c r="X866" s="36">
        <f t="shared" si="115"/>
        <v>0</v>
      </c>
      <c r="Y866" s="36">
        <f t="shared" si="116"/>
        <v>0</v>
      </c>
      <c r="Z866" s="36">
        <f t="shared" si="113"/>
        <v>0</v>
      </c>
      <c r="AA866" s="4"/>
      <c r="AB866" s="79"/>
    </row>
    <row r="867" spans="1:28" ht="63" x14ac:dyDescent="0.3">
      <c r="A867" s="7" t="s">
        <v>1601</v>
      </c>
      <c r="B867" s="6">
        <v>828</v>
      </c>
      <c r="C867" s="7" t="s">
        <v>3506</v>
      </c>
      <c r="D867" s="7" t="s">
        <v>3574</v>
      </c>
      <c r="E867" s="5"/>
      <c r="F867" s="7" t="s">
        <v>3575</v>
      </c>
      <c r="G867" s="5"/>
      <c r="H867" s="5"/>
      <c r="I867" s="21" t="s">
        <v>3576</v>
      </c>
      <c r="J867" s="7" t="s">
        <v>24</v>
      </c>
      <c r="K867" s="7" t="s">
        <v>3577</v>
      </c>
      <c r="L867" s="14">
        <v>6071608000</v>
      </c>
      <c r="M867" s="5"/>
      <c r="N867" s="14">
        <v>15000000</v>
      </c>
      <c r="O867" s="40"/>
      <c r="P867" s="40"/>
      <c r="Q867" s="3">
        <f t="shared" si="114"/>
        <v>6086608000</v>
      </c>
      <c r="R867" s="3">
        <v>6071608000</v>
      </c>
      <c r="S867" s="7"/>
      <c r="T867" s="30">
        <v>15000000</v>
      </c>
      <c r="U867" s="7"/>
      <c r="V867" s="7"/>
      <c r="W867" s="36"/>
      <c r="X867" s="36">
        <f t="shared" si="115"/>
        <v>0</v>
      </c>
      <c r="Y867" s="36">
        <f t="shared" si="116"/>
        <v>0</v>
      </c>
      <c r="Z867" s="36">
        <f t="shared" si="113"/>
        <v>0</v>
      </c>
      <c r="AA867" s="4"/>
      <c r="AB867" s="79"/>
    </row>
    <row r="868" spans="1:28" ht="63" x14ac:dyDescent="0.3">
      <c r="A868" s="7" t="s">
        <v>1601</v>
      </c>
      <c r="B868" s="6">
        <v>829</v>
      </c>
      <c r="C868" s="7" t="s">
        <v>3506</v>
      </c>
      <c r="D868" s="7" t="s">
        <v>3578</v>
      </c>
      <c r="E868" s="5"/>
      <c r="F868" s="7" t="s">
        <v>3579</v>
      </c>
      <c r="G868" s="5"/>
      <c r="H868" s="5"/>
      <c r="I868" s="21" t="s">
        <v>3580</v>
      </c>
      <c r="J868" s="7" t="s">
        <v>24</v>
      </c>
      <c r="K868" s="7" t="s">
        <v>3581</v>
      </c>
      <c r="L868" s="14">
        <v>1770648232</v>
      </c>
      <c r="M868" s="5"/>
      <c r="N868" s="14">
        <v>15000000</v>
      </c>
      <c r="O868" s="40" t="s">
        <v>691</v>
      </c>
      <c r="P868" s="10">
        <v>33333335</v>
      </c>
      <c r="Q868" s="3">
        <f t="shared" si="114"/>
        <v>1818981567</v>
      </c>
      <c r="R868" s="3">
        <v>1770648232</v>
      </c>
      <c r="S868" s="7"/>
      <c r="T868" s="30">
        <v>15000000</v>
      </c>
      <c r="U868" s="3">
        <v>33333335</v>
      </c>
      <c r="V868" s="7"/>
      <c r="W868" s="36"/>
      <c r="X868" s="36">
        <f t="shared" si="115"/>
        <v>0</v>
      </c>
      <c r="Y868" s="36">
        <f t="shared" si="116"/>
        <v>0</v>
      </c>
      <c r="Z868" s="36">
        <f t="shared" si="113"/>
        <v>0</v>
      </c>
      <c r="AA868" s="4"/>
      <c r="AB868" s="79"/>
    </row>
    <row r="869" spans="1:28" ht="42" x14ac:dyDescent="0.3">
      <c r="A869" s="7" t="s">
        <v>1601</v>
      </c>
      <c r="B869" s="6">
        <v>830</v>
      </c>
      <c r="C869" s="7" t="s">
        <v>3506</v>
      </c>
      <c r="D869" s="7" t="s">
        <v>3582</v>
      </c>
      <c r="E869" s="5"/>
      <c r="F869" s="7" t="s">
        <v>3583</v>
      </c>
      <c r="G869" s="5"/>
      <c r="H869" s="5"/>
      <c r="I869" s="21" t="s">
        <v>3584</v>
      </c>
      <c r="J869" s="7" t="s">
        <v>24</v>
      </c>
      <c r="K869" s="7" t="s">
        <v>3376</v>
      </c>
      <c r="L869" s="14">
        <v>1108965112</v>
      </c>
      <c r="M869" s="5"/>
      <c r="N869" s="14">
        <v>15000000</v>
      </c>
      <c r="O869" s="40"/>
      <c r="P869" s="40"/>
      <c r="Q869" s="3">
        <f t="shared" si="114"/>
        <v>1123965112</v>
      </c>
      <c r="R869" s="3">
        <v>1108965112</v>
      </c>
      <c r="S869" s="7"/>
      <c r="T869" s="30">
        <v>15000000</v>
      </c>
      <c r="U869" s="7"/>
      <c r="V869" s="7"/>
      <c r="W869" s="36"/>
      <c r="X869" s="36">
        <f t="shared" si="115"/>
        <v>0</v>
      </c>
      <c r="Y869" s="36">
        <f t="shared" si="116"/>
        <v>0</v>
      </c>
      <c r="Z869" s="36">
        <f t="shared" si="113"/>
        <v>0</v>
      </c>
      <c r="AA869" s="4"/>
      <c r="AB869" s="79"/>
    </row>
    <row r="870" spans="1:28" ht="42" x14ac:dyDescent="0.3">
      <c r="A870" s="7" t="s">
        <v>1601</v>
      </c>
      <c r="B870" s="6">
        <v>831</v>
      </c>
      <c r="C870" s="7" t="s">
        <v>3506</v>
      </c>
      <c r="D870" s="7" t="s">
        <v>3585</v>
      </c>
      <c r="E870" s="5"/>
      <c r="F870" s="7" t="s">
        <v>3586</v>
      </c>
      <c r="G870" s="5"/>
      <c r="H870" s="5"/>
      <c r="I870" s="21" t="s">
        <v>2115</v>
      </c>
      <c r="J870" s="7" t="s">
        <v>24</v>
      </c>
      <c r="K870" s="7" t="s">
        <v>3587</v>
      </c>
      <c r="L870" s="14">
        <v>2946358656</v>
      </c>
      <c r="M870" s="5"/>
      <c r="N870" s="14">
        <v>15000000</v>
      </c>
      <c r="O870" s="40"/>
      <c r="P870" s="40"/>
      <c r="Q870" s="3">
        <f t="shared" si="114"/>
        <v>2961358656</v>
      </c>
      <c r="R870" s="3">
        <v>2946358656</v>
      </c>
      <c r="S870" s="7"/>
      <c r="T870" s="30">
        <v>15000000</v>
      </c>
      <c r="U870" s="7"/>
      <c r="V870" s="7"/>
      <c r="W870" s="36"/>
      <c r="X870" s="36">
        <f t="shared" si="115"/>
        <v>0</v>
      </c>
      <c r="Y870" s="36">
        <f t="shared" si="116"/>
        <v>0</v>
      </c>
      <c r="Z870" s="36">
        <f t="shared" si="113"/>
        <v>0</v>
      </c>
      <c r="AA870" s="4"/>
      <c r="AB870" s="79"/>
    </row>
    <row r="871" spans="1:28" ht="46.8" x14ac:dyDescent="0.3">
      <c r="A871" s="7" t="s">
        <v>2290</v>
      </c>
      <c r="B871" s="6">
        <v>832</v>
      </c>
      <c r="C871" s="7" t="s">
        <v>3506</v>
      </c>
      <c r="D871" s="7" t="s">
        <v>3588</v>
      </c>
      <c r="E871" s="7" t="s">
        <v>3589</v>
      </c>
      <c r="F871" s="7" t="s">
        <v>3590</v>
      </c>
      <c r="G871" s="5"/>
      <c r="H871" s="5"/>
      <c r="I871" s="21" t="s">
        <v>3591</v>
      </c>
      <c r="J871" s="7" t="s">
        <v>24</v>
      </c>
      <c r="K871" s="7" t="s">
        <v>3592</v>
      </c>
      <c r="L871" s="14">
        <v>10000000</v>
      </c>
      <c r="M871" s="14">
        <v>549610320</v>
      </c>
      <c r="N871" s="14">
        <v>15000000</v>
      </c>
      <c r="O871" s="40"/>
      <c r="P871" s="40"/>
      <c r="Q871" s="3">
        <f t="shared" si="114"/>
        <v>574610320</v>
      </c>
      <c r="R871" s="3">
        <v>10000000</v>
      </c>
      <c r="S871" s="3">
        <v>549610320</v>
      </c>
      <c r="T871" s="30">
        <v>15000000</v>
      </c>
      <c r="U871" s="7"/>
      <c r="V871" s="7"/>
      <c r="W871" s="36"/>
      <c r="X871" s="36">
        <f t="shared" si="115"/>
        <v>0</v>
      </c>
      <c r="Y871" s="36">
        <f t="shared" si="116"/>
        <v>0</v>
      </c>
      <c r="Z871" s="36">
        <f t="shared" si="113"/>
        <v>0</v>
      </c>
      <c r="AA871" s="4"/>
      <c r="AB871" s="79"/>
    </row>
    <row r="872" spans="1:28" ht="46.8" x14ac:dyDescent="0.3">
      <c r="A872" s="7" t="s">
        <v>2290</v>
      </c>
      <c r="B872" s="6">
        <v>833</v>
      </c>
      <c r="C872" s="7" t="s">
        <v>3506</v>
      </c>
      <c r="D872" s="7" t="s">
        <v>3593</v>
      </c>
      <c r="E872" s="7" t="s">
        <v>2864</v>
      </c>
      <c r="F872" s="7" t="s">
        <v>3594</v>
      </c>
      <c r="G872" s="5"/>
      <c r="H872" s="5"/>
      <c r="I872" s="21" t="s">
        <v>3595</v>
      </c>
      <c r="J872" s="7" t="s">
        <v>24</v>
      </c>
      <c r="K872" s="7" t="s">
        <v>2867</v>
      </c>
      <c r="L872" s="14">
        <v>10000000</v>
      </c>
      <c r="M872" s="14">
        <v>624471036</v>
      </c>
      <c r="N872" s="14">
        <v>15000000</v>
      </c>
      <c r="O872" s="40"/>
      <c r="P872" s="40"/>
      <c r="Q872" s="3">
        <f t="shared" si="114"/>
        <v>649471036</v>
      </c>
      <c r="R872" s="3">
        <v>10000000</v>
      </c>
      <c r="S872" s="3">
        <v>624471036</v>
      </c>
      <c r="T872" s="72"/>
      <c r="U872" s="7"/>
      <c r="V872" s="7"/>
      <c r="W872" s="36"/>
      <c r="X872" s="36">
        <f t="shared" si="115"/>
        <v>0</v>
      </c>
      <c r="Y872" s="36">
        <f t="shared" si="116"/>
        <v>15000000</v>
      </c>
      <c r="Z872" s="36">
        <f t="shared" si="113"/>
        <v>0</v>
      </c>
      <c r="AA872" s="4"/>
      <c r="AB872" s="79"/>
    </row>
    <row r="873" spans="1:28" ht="63" x14ac:dyDescent="0.4">
      <c r="A873" s="7" t="s">
        <v>2290</v>
      </c>
      <c r="B873" s="6">
        <v>834</v>
      </c>
      <c r="C873" s="7" t="s">
        <v>3506</v>
      </c>
      <c r="D873" s="7" t="s">
        <v>3596</v>
      </c>
      <c r="E873" s="7" t="s">
        <v>3597</v>
      </c>
      <c r="F873" s="7" t="s">
        <v>3598</v>
      </c>
      <c r="G873" s="7" t="s">
        <v>3599</v>
      </c>
      <c r="H873" s="5"/>
      <c r="I873" s="21" t="s">
        <v>3600</v>
      </c>
      <c r="J873" s="7" t="s">
        <v>24</v>
      </c>
      <c r="K873" s="7" t="s">
        <v>3567</v>
      </c>
      <c r="L873" s="14">
        <v>10000000</v>
      </c>
      <c r="M873" s="14">
        <v>325771956</v>
      </c>
      <c r="N873" s="14">
        <v>15000000</v>
      </c>
      <c r="O873" s="40"/>
      <c r="P873" s="40"/>
      <c r="Q873" s="3">
        <f t="shared" si="114"/>
        <v>350771956</v>
      </c>
      <c r="R873" s="7"/>
      <c r="S873" s="7"/>
      <c r="T873" s="72"/>
      <c r="U873" s="7"/>
      <c r="V873" s="7"/>
      <c r="W873" s="36">
        <v>10000000</v>
      </c>
      <c r="X873" s="36">
        <f t="shared" si="115"/>
        <v>325771956</v>
      </c>
      <c r="Y873" s="36">
        <f t="shared" si="116"/>
        <v>15000000</v>
      </c>
      <c r="Z873" s="36">
        <f t="shared" si="113"/>
        <v>0</v>
      </c>
      <c r="AA873" s="16">
        <v>10000000</v>
      </c>
      <c r="AB873" s="79"/>
    </row>
    <row r="874" spans="1:28" ht="31.2" x14ac:dyDescent="0.3">
      <c r="A874" s="7" t="s">
        <v>2290</v>
      </c>
      <c r="B874" s="6">
        <v>835</v>
      </c>
      <c r="C874" s="7" t="s">
        <v>3506</v>
      </c>
      <c r="D874" s="7" t="s">
        <v>3601</v>
      </c>
      <c r="E874" s="5"/>
      <c r="F874" s="7" t="s">
        <v>3602</v>
      </c>
      <c r="G874" s="5"/>
      <c r="H874" s="5"/>
      <c r="I874" s="21" t="s">
        <v>3603</v>
      </c>
      <c r="J874" s="7" t="s">
        <v>24</v>
      </c>
      <c r="K874" s="7" t="s">
        <v>3604</v>
      </c>
      <c r="L874" s="14">
        <v>2547765012</v>
      </c>
      <c r="M874" s="5"/>
      <c r="N874" s="14">
        <v>15000000</v>
      </c>
      <c r="O874" s="40"/>
      <c r="P874" s="40"/>
      <c r="Q874" s="3">
        <f t="shared" si="114"/>
        <v>2562765012</v>
      </c>
      <c r="R874" s="3">
        <v>2547765012</v>
      </c>
      <c r="S874" s="7"/>
      <c r="T874" s="30">
        <v>15000000</v>
      </c>
      <c r="U874" s="7"/>
      <c r="V874" s="7"/>
      <c r="W874" s="36"/>
      <c r="X874" s="36">
        <f t="shared" si="115"/>
        <v>0</v>
      </c>
      <c r="Y874" s="36">
        <f t="shared" si="116"/>
        <v>0</v>
      </c>
      <c r="Z874" s="36">
        <f t="shared" si="113"/>
        <v>0</v>
      </c>
      <c r="AA874" s="4"/>
      <c r="AB874" s="79"/>
    </row>
    <row r="875" spans="1:28" ht="63" x14ac:dyDescent="0.3">
      <c r="A875" s="7" t="s">
        <v>2290</v>
      </c>
      <c r="B875" s="6">
        <v>836</v>
      </c>
      <c r="C875" s="7" t="s">
        <v>3506</v>
      </c>
      <c r="D875" s="7" t="s">
        <v>3605</v>
      </c>
      <c r="E875" s="5"/>
      <c r="F875" s="7" t="s">
        <v>3606</v>
      </c>
      <c r="G875" s="5"/>
      <c r="H875" s="5"/>
      <c r="I875" s="21" t="s">
        <v>3607</v>
      </c>
      <c r="J875" s="7" t="s">
        <v>24</v>
      </c>
      <c r="K875" s="7" t="s">
        <v>3396</v>
      </c>
      <c r="L875" s="14">
        <v>2743648019</v>
      </c>
      <c r="M875" s="5"/>
      <c r="N875" s="14">
        <v>15000000</v>
      </c>
      <c r="O875" s="40"/>
      <c r="P875" s="40"/>
      <c r="Q875" s="3">
        <f t="shared" si="114"/>
        <v>2758648019</v>
      </c>
      <c r="R875" s="3">
        <v>2743648019</v>
      </c>
      <c r="S875" s="7"/>
      <c r="T875" s="30">
        <v>15000000</v>
      </c>
      <c r="U875" s="7"/>
      <c r="V875" s="7"/>
      <c r="W875" s="36"/>
      <c r="X875" s="36">
        <f t="shared" si="115"/>
        <v>0</v>
      </c>
      <c r="Y875" s="36">
        <f t="shared" si="116"/>
        <v>0</v>
      </c>
      <c r="Z875" s="36">
        <f t="shared" si="113"/>
        <v>0</v>
      </c>
      <c r="AA875" s="4"/>
      <c r="AB875" s="79"/>
    </row>
    <row r="876" spans="1:28" ht="46.8" x14ac:dyDescent="0.3">
      <c r="A876" s="7" t="s">
        <v>2290</v>
      </c>
      <c r="B876" s="6">
        <v>837</v>
      </c>
      <c r="C876" s="7" t="s">
        <v>3506</v>
      </c>
      <c r="D876" s="7" t="s">
        <v>3608</v>
      </c>
      <c r="E876" s="5"/>
      <c r="F876" s="7" t="s">
        <v>3609</v>
      </c>
      <c r="G876" s="5"/>
      <c r="H876" s="5"/>
      <c r="I876" s="21" t="s">
        <v>3610</v>
      </c>
      <c r="J876" s="7" t="s">
        <v>24</v>
      </c>
      <c r="K876" s="7" t="s">
        <v>3611</v>
      </c>
      <c r="L876" s="14">
        <v>1011264694</v>
      </c>
      <c r="M876" s="5"/>
      <c r="N876" s="14">
        <v>7500000</v>
      </c>
      <c r="O876" s="40"/>
      <c r="P876" s="40"/>
      <c r="Q876" s="3">
        <f t="shared" si="114"/>
        <v>1018764694</v>
      </c>
      <c r="R876" s="3">
        <v>1011264694</v>
      </c>
      <c r="S876" s="7"/>
      <c r="T876" s="30">
        <v>7500000</v>
      </c>
      <c r="U876" s="7"/>
      <c r="V876" s="7"/>
      <c r="W876" s="36"/>
      <c r="X876" s="36">
        <f t="shared" si="115"/>
        <v>0</v>
      </c>
      <c r="Y876" s="36">
        <f t="shared" si="116"/>
        <v>0</v>
      </c>
      <c r="Z876" s="36">
        <f t="shared" si="113"/>
        <v>0</v>
      </c>
      <c r="AA876" s="4"/>
      <c r="AB876" s="79"/>
    </row>
    <row r="877" spans="1:28" ht="46.8" x14ac:dyDescent="0.3">
      <c r="A877" s="7" t="s">
        <v>2290</v>
      </c>
      <c r="B877" s="6">
        <v>838</v>
      </c>
      <c r="C877" s="7" t="s">
        <v>3506</v>
      </c>
      <c r="D877" s="7" t="s">
        <v>3612</v>
      </c>
      <c r="E877" s="7" t="s">
        <v>3421</v>
      </c>
      <c r="F877" s="7" t="s">
        <v>3613</v>
      </c>
      <c r="G877" s="7" t="s">
        <v>3614</v>
      </c>
      <c r="H877" s="5"/>
      <c r="I877" s="21" t="s">
        <v>3615</v>
      </c>
      <c r="J877" s="7" t="s">
        <v>24</v>
      </c>
      <c r="K877" s="7" t="s">
        <v>3616</v>
      </c>
      <c r="L877" s="14">
        <v>584627066</v>
      </c>
      <c r="M877" s="14">
        <v>143656766</v>
      </c>
      <c r="N877" s="14">
        <v>15000000</v>
      </c>
      <c r="O877" s="40"/>
      <c r="P877" s="40"/>
      <c r="Q877" s="3">
        <f t="shared" si="114"/>
        <v>743283832</v>
      </c>
      <c r="R877" s="3">
        <v>584627066</v>
      </c>
      <c r="S877" s="3">
        <v>143656766</v>
      </c>
      <c r="T877" s="30">
        <v>15000000</v>
      </c>
      <c r="U877" s="7"/>
      <c r="V877" s="7"/>
      <c r="W877" s="36"/>
      <c r="X877" s="36">
        <f t="shared" si="115"/>
        <v>0</v>
      </c>
      <c r="Y877" s="36">
        <f t="shared" si="116"/>
        <v>0</v>
      </c>
      <c r="Z877" s="36">
        <f t="shared" si="113"/>
        <v>0</v>
      </c>
      <c r="AA877" s="4"/>
      <c r="AB877" s="79"/>
    </row>
    <row r="878" spans="1:28" ht="63" x14ac:dyDescent="0.4">
      <c r="A878" s="7" t="s">
        <v>2290</v>
      </c>
      <c r="B878" s="6">
        <v>839</v>
      </c>
      <c r="C878" s="7" t="s">
        <v>3506</v>
      </c>
      <c r="D878" s="7" t="s">
        <v>3617</v>
      </c>
      <c r="E878" s="7" t="s">
        <v>3619</v>
      </c>
      <c r="F878" s="7" t="s">
        <v>3620</v>
      </c>
      <c r="G878" s="7" t="s">
        <v>3621</v>
      </c>
      <c r="H878" s="5"/>
      <c r="I878" s="21" t="s">
        <v>3622</v>
      </c>
      <c r="J878" s="7" t="s">
        <v>24</v>
      </c>
      <c r="K878" s="7" t="s">
        <v>3033</v>
      </c>
      <c r="L878" s="14">
        <v>10000000</v>
      </c>
      <c r="M878" s="14">
        <v>882094598</v>
      </c>
      <c r="N878" s="14">
        <v>15000000</v>
      </c>
      <c r="O878" s="7" t="s">
        <v>3618</v>
      </c>
      <c r="P878" s="3">
        <v>24000000</v>
      </c>
      <c r="Q878" s="3">
        <f t="shared" si="114"/>
        <v>931094598</v>
      </c>
      <c r="R878" s="7"/>
      <c r="S878" s="7"/>
      <c r="T878" s="72"/>
      <c r="U878" s="7"/>
      <c r="V878" s="7"/>
      <c r="W878" s="36">
        <v>10000000</v>
      </c>
      <c r="X878" s="36">
        <f t="shared" si="115"/>
        <v>882094598</v>
      </c>
      <c r="Y878" s="36">
        <f t="shared" si="116"/>
        <v>15000000</v>
      </c>
      <c r="Z878" s="36">
        <f t="shared" si="113"/>
        <v>24000000</v>
      </c>
      <c r="AA878" s="16">
        <v>10000000</v>
      </c>
      <c r="AB878" s="83"/>
    </row>
    <row r="879" spans="1:28" ht="62.4" x14ac:dyDescent="0.4">
      <c r="A879" s="7" t="s">
        <v>2290</v>
      </c>
      <c r="B879" s="6">
        <v>840</v>
      </c>
      <c r="C879" s="7" t="s">
        <v>3506</v>
      </c>
      <c r="D879" s="7" t="s">
        <v>3623</v>
      </c>
      <c r="E879" s="7" t="s">
        <v>2869</v>
      </c>
      <c r="F879" s="5"/>
      <c r="G879" s="5"/>
      <c r="H879" s="7" t="s">
        <v>3624</v>
      </c>
      <c r="I879" s="21" t="s">
        <v>3625</v>
      </c>
      <c r="J879" s="7" t="s">
        <v>24</v>
      </c>
      <c r="K879" s="7" t="s">
        <v>3396</v>
      </c>
      <c r="L879" s="14">
        <v>10000000</v>
      </c>
      <c r="M879" s="5"/>
      <c r="N879" s="14">
        <v>15000000</v>
      </c>
      <c r="O879" s="40"/>
      <c r="P879" s="40"/>
      <c r="Q879" s="3">
        <f t="shared" si="114"/>
        <v>25000000</v>
      </c>
      <c r="R879" s="7"/>
      <c r="S879" s="7"/>
      <c r="T879" s="72"/>
      <c r="U879" s="7"/>
      <c r="V879" s="7"/>
      <c r="W879" s="36">
        <v>10000000</v>
      </c>
      <c r="X879" s="36">
        <f t="shared" si="115"/>
        <v>0</v>
      </c>
      <c r="Y879" s="36">
        <f t="shared" si="116"/>
        <v>15000000</v>
      </c>
      <c r="Z879" s="36">
        <f t="shared" si="113"/>
        <v>0</v>
      </c>
      <c r="AA879" s="16">
        <v>10000000</v>
      </c>
      <c r="AB879" s="79"/>
    </row>
    <row r="880" spans="1:28" ht="42" x14ac:dyDescent="0.3">
      <c r="A880" s="7" t="s">
        <v>2290</v>
      </c>
      <c r="B880" s="6">
        <v>841</v>
      </c>
      <c r="C880" s="7" t="s">
        <v>3506</v>
      </c>
      <c r="D880" s="7" t="s">
        <v>3626</v>
      </c>
      <c r="E880" s="5"/>
      <c r="F880" s="7" t="s">
        <v>3627</v>
      </c>
      <c r="G880" s="5"/>
      <c r="H880" s="5"/>
      <c r="I880" s="21" t="s">
        <v>3628</v>
      </c>
      <c r="J880" s="7" t="s">
        <v>24</v>
      </c>
      <c r="K880" s="7" t="s">
        <v>3629</v>
      </c>
      <c r="L880" s="14">
        <v>2056824640</v>
      </c>
      <c r="M880" s="5"/>
      <c r="N880" s="14">
        <v>15000000</v>
      </c>
      <c r="O880" s="40"/>
      <c r="P880" s="40"/>
      <c r="Q880" s="3">
        <f t="shared" si="114"/>
        <v>2071824640</v>
      </c>
      <c r="R880" s="3">
        <v>2056824640</v>
      </c>
      <c r="S880" s="7"/>
      <c r="T880" s="30">
        <v>15000000</v>
      </c>
      <c r="U880" s="7"/>
      <c r="V880" s="7"/>
      <c r="W880" s="36"/>
      <c r="X880" s="36">
        <f t="shared" si="115"/>
        <v>0</v>
      </c>
      <c r="Y880" s="36">
        <f t="shared" si="116"/>
        <v>0</v>
      </c>
      <c r="Z880" s="36">
        <f t="shared" si="113"/>
        <v>0</v>
      </c>
      <c r="AA880" s="4"/>
      <c r="AB880" s="79"/>
    </row>
    <row r="881" spans="1:28" ht="42" x14ac:dyDescent="0.4">
      <c r="A881" s="7" t="s">
        <v>2290</v>
      </c>
      <c r="B881" s="6">
        <v>842</v>
      </c>
      <c r="C881" s="7" t="s">
        <v>3506</v>
      </c>
      <c r="D881" s="7" t="s">
        <v>3630</v>
      </c>
      <c r="E881" s="5"/>
      <c r="F881" s="7" t="s">
        <v>3631</v>
      </c>
      <c r="G881" s="5"/>
      <c r="H881" s="5"/>
      <c r="I881" s="21" t="s">
        <v>3632</v>
      </c>
      <c r="J881" s="7" t="s">
        <v>24</v>
      </c>
      <c r="K881" s="7" t="s">
        <v>2517</v>
      </c>
      <c r="L881" s="14">
        <v>4969395064</v>
      </c>
      <c r="M881" s="5"/>
      <c r="N881" s="14">
        <v>15000000</v>
      </c>
      <c r="O881" s="40"/>
      <c r="P881" s="40"/>
      <c r="Q881" s="3">
        <f t="shared" si="114"/>
        <v>4984395064</v>
      </c>
      <c r="R881" s="7"/>
      <c r="S881" s="7"/>
      <c r="T881" s="72"/>
      <c r="U881" s="7"/>
      <c r="V881" s="7"/>
      <c r="W881" s="36">
        <v>4969395064</v>
      </c>
      <c r="X881" s="36">
        <f t="shared" si="115"/>
        <v>0</v>
      </c>
      <c r="Y881" s="36">
        <f t="shared" si="116"/>
        <v>15000000</v>
      </c>
      <c r="Z881" s="36">
        <f t="shared" si="113"/>
        <v>0</v>
      </c>
      <c r="AA881" s="16">
        <v>4969395064</v>
      </c>
      <c r="AB881" s="79"/>
    </row>
    <row r="882" spans="1:28" ht="46.8" x14ac:dyDescent="0.3">
      <c r="A882" s="7" t="s">
        <v>2290</v>
      </c>
      <c r="B882" s="6">
        <v>843</v>
      </c>
      <c r="C882" s="7" t="s">
        <v>3506</v>
      </c>
      <c r="D882" s="7" t="s">
        <v>3633</v>
      </c>
      <c r="E882" s="5"/>
      <c r="F882" s="7" t="s">
        <v>3634</v>
      </c>
      <c r="G882" s="5"/>
      <c r="H882" s="5"/>
      <c r="I882" s="21" t="s">
        <v>3635</v>
      </c>
      <c r="J882" s="7" t="s">
        <v>24</v>
      </c>
      <c r="K882" s="7" t="s">
        <v>3636</v>
      </c>
      <c r="L882" s="14">
        <v>899231594</v>
      </c>
      <c r="M882" s="5"/>
      <c r="N882" s="14">
        <v>15000000</v>
      </c>
      <c r="O882" s="40"/>
      <c r="P882" s="40"/>
      <c r="Q882" s="3">
        <f t="shared" si="114"/>
        <v>914231594</v>
      </c>
      <c r="R882" s="3">
        <v>899231594</v>
      </c>
      <c r="S882" s="7"/>
      <c r="T882" s="30">
        <v>15000000</v>
      </c>
      <c r="U882" s="7"/>
      <c r="V882" s="7"/>
      <c r="W882" s="36"/>
      <c r="X882" s="36">
        <f t="shared" si="115"/>
        <v>0</v>
      </c>
      <c r="Y882" s="36">
        <f t="shared" si="116"/>
        <v>0</v>
      </c>
      <c r="Z882" s="36">
        <f t="shared" si="113"/>
        <v>0</v>
      </c>
      <c r="AA882" s="4"/>
      <c r="AB882" s="79"/>
    </row>
    <row r="883" spans="1:28" ht="63" x14ac:dyDescent="0.3">
      <c r="A883" s="7" t="s">
        <v>2290</v>
      </c>
      <c r="B883" s="6">
        <v>844</v>
      </c>
      <c r="C883" s="7" t="s">
        <v>3506</v>
      </c>
      <c r="D883" s="7" t="s">
        <v>3637</v>
      </c>
      <c r="E883" s="5"/>
      <c r="F883" s="7" t="s">
        <v>3638</v>
      </c>
      <c r="G883" s="5"/>
      <c r="H883" s="5"/>
      <c r="I883" s="21" t="s">
        <v>3639</v>
      </c>
      <c r="J883" s="7" t="s">
        <v>24</v>
      </c>
      <c r="K883" s="7" t="s">
        <v>3640</v>
      </c>
      <c r="L883" s="14">
        <v>2090430751</v>
      </c>
      <c r="M883" s="5"/>
      <c r="N883" s="14">
        <v>15000000</v>
      </c>
      <c r="O883" s="40"/>
      <c r="P883" s="40"/>
      <c r="Q883" s="3">
        <f t="shared" si="114"/>
        <v>2105430751</v>
      </c>
      <c r="R883" s="3">
        <v>2090430751</v>
      </c>
      <c r="S883" s="7"/>
      <c r="T883" s="30">
        <v>15000000</v>
      </c>
      <c r="U883" s="7"/>
      <c r="V883" s="7"/>
      <c r="W883" s="36"/>
      <c r="X883" s="36">
        <f t="shared" si="115"/>
        <v>0</v>
      </c>
      <c r="Y883" s="36">
        <f t="shared" si="116"/>
        <v>0</v>
      </c>
      <c r="Z883" s="36">
        <f t="shared" si="113"/>
        <v>0</v>
      </c>
      <c r="AA883" s="4"/>
      <c r="AB883" s="79"/>
    </row>
    <row r="884" spans="1:28" ht="78" x14ac:dyDescent="0.4">
      <c r="A884" s="7" t="s">
        <v>2290</v>
      </c>
      <c r="B884" s="6">
        <v>845</v>
      </c>
      <c r="C884" s="7" t="s">
        <v>3506</v>
      </c>
      <c r="D884" s="7" t="s">
        <v>3641</v>
      </c>
      <c r="E884" s="5"/>
      <c r="F884" s="7" t="s">
        <v>3642</v>
      </c>
      <c r="G884" s="5"/>
      <c r="H884" s="7" t="s">
        <v>40</v>
      </c>
      <c r="I884" s="21" t="s">
        <v>3643</v>
      </c>
      <c r="J884" s="7" t="s">
        <v>24</v>
      </c>
      <c r="K884" s="7" t="s">
        <v>3396</v>
      </c>
      <c r="L884" s="14">
        <v>10000000</v>
      </c>
      <c r="M884" s="5"/>
      <c r="N884" s="14">
        <v>15000000</v>
      </c>
      <c r="O884" s="40"/>
      <c r="P884" s="40"/>
      <c r="Q884" s="3">
        <f t="shared" si="114"/>
        <v>25000000</v>
      </c>
      <c r="R884" s="7"/>
      <c r="S884" s="7"/>
      <c r="T884" s="72"/>
      <c r="U884" s="7"/>
      <c r="V884" s="7"/>
      <c r="W884" s="36">
        <v>10000000</v>
      </c>
      <c r="X884" s="36">
        <f t="shared" si="115"/>
        <v>0</v>
      </c>
      <c r="Y884" s="36">
        <f t="shared" si="116"/>
        <v>15000000</v>
      </c>
      <c r="Z884" s="36">
        <f t="shared" si="113"/>
        <v>0</v>
      </c>
      <c r="AA884" s="16">
        <v>10000000</v>
      </c>
      <c r="AB884" s="79"/>
    </row>
    <row r="885" spans="1:28" ht="46.8" x14ac:dyDescent="0.3">
      <c r="A885" s="7" t="s">
        <v>2290</v>
      </c>
      <c r="B885" s="6">
        <v>846</v>
      </c>
      <c r="C885" s="7" t="s">
        <v>3506</v>
      </c>
      <c r="D885" s="7" t="s">
        <v>3644</v>
      </c>
      <c r="E885" s="7" t="s">
        <v>3645</v>
      </c>
      <c r="F885" s="7" t="s">
        <v>3646</v>
      </c>
      <c r="G885" s="7" t="s">
        <v>3647</v>
      </c>
      <c r="H885" s="5"/>
      <c r="I885" s="21" t="s">
        <v>3648</v>
      </c>
      <c r="J885" s="7" t="s">
        <v>24</v>
      </c>
      <c r="K885" s="7" t="s">
        <v>3649</v>
      </c>
      <c r="L885" s="14">
        <v>1282649070</v>
      </c>
      <c r="M885" s="14">
        <v>622528830</v>
      </c>
      <c r="N885" s="14">
        <v>15000000</v>
      </c>
      <c r="O885" s="40"/>
      <c r="P885" s="40"/>
      <c r="Q885" s="3">
        <f t="shared" si="114"/>
        <v>1920177900</v>
      </c>
      <c r="R885" s="3">
        <v>1282649070</v>
      </c>
      <c r="S885" s="3">
        <v>622528830</v>
      </c>
      <c r="T885" s="30">
        <v>15000000</v>
      </c>
      <c r="U885" s="7"/>
      <c r="V885" s="7"/>
      <c r="W885" s="36"/>
      <c r="X885" s="36">
        <f t="shared" si="115"/>
        <v>0</v>
      </c>
      <c r="Y885" s="36">
        <f t="shared" si="116"/>
        <v>0</v>
      </c>
      <c r="Z885" s="36">
        <f t="shared" si="113"/>
        <v>0</v>
      </c>
      <c r="AA885" s="4"/>
      <c r="AB885" s="79"/>
    </row>
    <row r="886" spans="1:28" ht="42" x14ac:dyDescent="0.3">
      <c r="A886" s="7" t="s">
        <v>2290</v>
      </c>
      <c r="B886" s="6">
        <v>847</v>
      </c>
      <c r="C886" s="7" t="s">
        <v>3506</v>
      </c>
      <c r="D886" s="7" t="s">
        <v>3650</v>
      </c>
      <c r="E886" s="7" t="s">
        <v>764</v>
      </c>
      <c r="F886" s="7" t="s">
        <v>3651</v>
      </c>
      <c r="G886" s="7" t="s">
        <v>3652</v>
      </c>
      <c r="H886" s="5"/>
      <c r="I886" s="21" t="s">
        <v>3653</v>
      </c>
      <c r="J886" s="7" t="s">
        <v>24</v>
      </c>
      <c r="K886" s="7" t="s">
        <v>3654</v>
      </c>
      <c r="L886" s="14">
        <v>4605269577</v>
      </c>
      <c r="M886" s="14">
        <v>842764824</v>
      </c>
      <c r="N886" s="14">
        <v>15000000</v>
      </c>
      <c r="O886" s="7" t="s">
        <v>1269</v>
      </c>
      <c r="P886" s="3">
        <v>10000000</v>
      </c>
      <c r="Q886" s="3">
        <f t="shared" si="114"/>
        <v>5473034401</v>
      </c>
      <c r="R886" s="3">
        <v>4605269577</v>
      </c>
      <c r="S886" s="3">
        <v>842764824</v>
      </c>
      <c r="T886" s="72"/>
      <c r="U886" s="7"/>
      <c r="V886" s="7"/>
      <c r="W886" s="36"/>
      <c r="X886" s="36">
        <f t="shared" si="115"/>
        <v>0</v>
      </c>
      <c r="Y886" s="36">
        <f t="shared" si="116"/>
        <v>15000000</v>
      </c>
      <c r="Z886" s="36">
        <f t="shared" si="113"/>
        <v>10000000</v>
      </c>
      <c r="AA886" s="4"/>
      <c r="AB886" s="83"/>
    </row>
    <row r="887" spans="1:28" ht="63" x14ac:dyDescent="0.3">
      <c r="A887" s="7" t="s">
        <v>1601</v>
      </c>
      <c r="B887" s="6">
        <v>848</v>
      </c>
      <c r="C887" s="7" t="s">
        <v>3506</v>
      </c>
      <c r="D887" s="7" t="s">
        <v>3513</v>
      </c>
      <c r="E887" s="7" t="s">
        <v>2442</v>
      </c>
      <c r="F887" s="7" t="s">
        <v>3655</v>
      </c>
      <c r="G887" s="5"/>
      <c r="H887" s="5"/>
      <c r="I887" s="21" t="s">
        <v>3656</v>
      </c>
      <c r="J887" s="7" t="s">
        <v>24</v>
      </c>
      <c r="K887" s="7" t="s">
        <v>3657</v>
      </c>
      <c r="L887" s="14">
        <v>2033222254</v>
      </c>
      <c r="M887" s="14">
        <v>396693696</v>
      </c>
      <c r="N887" s="14">
        <v>15000000</v>
      </c>
      <c r="O887" s="40" t="s">
        <v>1208</v>
      </c>
      <c r="P887" s="10">
        <v>42000000</v>
      </c>
      <c r="Q887" s="3">
        <f t="shared" si="114"/>
        <v>2486915950</v>
      </c>
      <c r="R887" s="3">
        <v>2033222254</v>
      </c>
      <c r="S887" s="3">
        <v>396693696</v>
      </c>
      <c r="T887" s="72"/>
      <c r="U887" s="3">
        <v>42000000</v>
      </c>
      <c r="V887" s="7"/>
      <c r="W887" s="36"/>
      <c r="X887" s="36">
        <f t="shared" si="115"/>
        <v>0</v>
      </c>
      <c r="Y887" s="36">
        <f t="shared" si="116"/>
        <v>15000000</v>
      </c>
      <c r="Z887" s="36">
        <f t="shared" si="113"/>
        <v>0</v>
      </c>
      <c r="AA887" s="4"/>
      <c r="AB887" s="79"/>
    </row>
    <row r="888" spans="1:28" ht="63" x14ac:dyDescent="0.3">
      <c r="A888" s="7" t="s">
        <v>46</v>
      </c>
      <c r="B888" s="6">
        <v>849</v>
      </c>
      <c r="C888" s="7" t="s">
        <v>3506</v>
      </c>
      <c r="D888" s="7" t="s">
        <v>3658</v>
      </c>
      <c r="E888" s="7" t="s">
        <v>3645</v>
      </c>
      <c r="F888" s="7" t="s">
        <v>3659</v>
      </c>
      <c r="G888" s="7" t="s">
        <v>3660</v>
      </c>
      <c r="H888" s="5"/>
      <c r="I888" s="21" t="s">
        <v>3661</v>
      </c>
      <c r="J888" s="7" t="s">
        <v>24</v>
      </c>
      <c r="K888" s="7" t="s">
        <v>3452</v>
      </c>
      <c r="L888" s="14">
        <v>2057610960</v>
      </c>
      <c r="M888" s="14">
        <v>313086065</v>
      </c>
      <c r="N888" s="14">
        <v>15000000</v>
      </c>
      <c r="O888" s="40" t="s">
        <v>3448</v>
      </c>
      <c r="P888" s="10">
        <v>8000000</v>
      </c>
      <c r="Q888" s="3">
        <f t="shared" si="114"/>
        <v>2393697025</v>
      </c>
      <c r="R888" s="3">
        <v>2057610960</v>
      </c>
      <c r="S888" s="3">
        <v>313086065</v>
      </c>
      <c r="T888" s="30">
        <v>15000000</v>
      </c>
      <c r="U888" s="3">
        <v>8000000</v>
      </c>
      <c r="V888" s="7"/>
      <c r="W888" s="36"/>
      <c r="X888" s="36">
        <f t="shared" si="115"/>
        <v>0</v>
      </c>
      <c r="Y888" s="36">
        <f t="shared" si="116"/>
        <v>0</v>
      </c>
      <c r="Z888" s="36">
        <f t="shared" si="113"/>
        <v>0</v>
      </c>
      <c r="AA888" s="4"/>
      <c r="AB888" s="79"/>
    </row>
    <row r="889" spans="1:28" ht="63" x14ac:dyDescent="0.3">
      <c r="A889" s="7" t="s">
        <v>46</v>
      </c>
      <c r="B889" s="6">
        <v>850</v>
      </c>
      <c r="C889" s="7" t="s">
        <v>3506</v>
      </c>
      <c r="D889" s="7" t="s">
        <v>3662</v>
      </c>
      <c r="E889" s="7" t="s">
        <v>3508</v>
      </c>
      <c r="F889" s="7" t="s">
        <v>3663</v>
      </c>
      <c r="G889" s="7" t="s">
        <v>3664</v>
      </c>
      <c r="H889" s="5"/>
      <c r="I889" s="21" t="s">
        <v>3665</v>
      </c>
      <c r="J889" s="7" t="s">
        <v>24</v>
      </c>
      <c r="K889" s="7" t="s">
        <v>3666</v>
      </c>
      <c r="L889" s="14">
        <v>881213560</v>
      </c>
      <c r="M889" s="14">
        <v>58467420</v>
      </c>
      <c r="N889" s="14">
        <v>15000000</v>
      </c>
      <c r="O889" s="40" t="s">
        <v>3477</v>
      </c>
      <c r="P889" s="10">
        <v>72000000</v>
      </c>
      <c r="Q889" s="3">
        <f t="shared" si="114"/>
        <v>1026680980</v>
      </c>
      <c r="R889" s="3">
        <v>881213560</v>
      </c>
      <c r="S889" s="3">
        <v>58467420</v>
      </c>
      <c r="T889" s="30">
        <v>15000000</v>
      </c>
      <c r="U889" s="3">
        <v>72000000</v>
      </c>
      <c r="V889" s="7"/>
      <c r="W889" s="36"/>
      <c r="X889" s="36">
        <f t="shared" si="115"/>
        <v>0</v>
      </c>
      <c r="Y889" s="36">
        <f t="shared" si="116"/>
        <v>0</v>
      </c>
      <c r="Z889" s="36">
        <f t="shared" si="113"/>
        <v>0</v>
      </c>
      <c r="AA889" s="4"/>
      <c r="AB889" s="79"/>
    </row>
    <row r="890" spans="1:28" s="98" customFormat="1" ht="46.8" x14ac:dyDescent="0.3">
      <c r="A890" s="89" t="s">
        <v>46</v>
      </c>
      <c r="B890" s="99">
        <v>851</v>
      </c>
      <c r="C890" s="89" t="s">
        <v>3506</v>
      </c>
      <c r="D890" s="89" t="s">
        <v>3667</v>
      </c>
      <c r="E890" s="89" t="s">
        <v>3668</v>
      </c>
      <c r="F890" s="89" t="s">
        <v>3669</v>
      </c>
      <c r="G890" s="89" t="s">
        <v>3670</v>
      </c>
      <c r="H890" s="100"/>
      <c r="I890" s="101" t="s">
        <v>3671</v>
      </c>
      <c r="J890" s="89" t="s">
        <v>24</v>
      </c>
      <c r="K890" s="89" t="s">
        <v>3672</v>
      </c>
      <c r="L890" s="90">
        <v>412442880</v>
      </c>
      <c r="M890" s="90">
        <v>623213760</v>
      </c>
      <c r="N890" s="90">
        <v>15000000</v>
      </c>
      <c r="O890" s="91" t="s">
        <v>1162</v>
      </c>
      <c r="P890" s="103">
        <v>48000000</v>
      </c>
      <c r="Q890" s="93">
        <f t="shared" si="114"/>
        <v>1098656640</v>
      </c>
      <c r="R890" s="93">
        <v>412442880</v>
      </c>
      <c r="S890" s="93">
        <v>623213760</v>
      </c>
      <c r="T890" s="94">
        <v>15000000</v>
      </c>
      <c r="U890" s="89"/>
      <c r="V890" s="89"/>
      <c r="W890" s="95"/>
      <c r="X890" s="95">
        <f t="shared" si="115"/>
        <v>0</v>
      </c>
      <c r="Y890" s="95">
        <f t="shared" si="116"/>
        <v>0</v>
      </c>
      <c r="Z890" s="95">
        <f t="shared" si="113"/>
        <v>48000000</v>
      </c>
      <c r="AA890" s="96"/>
      <c r="AB890" s="97" t="s">
        <v>3854</v>
      </c>
    </row>
    <row r="891" spans="1:28" ht="46.8" x14ac:dyDescent="0.4">
      <c r="A891" s="7" t="s">
        <v>1601</v>
      </c>
      <c r="B891" s="6">
        <v>852</v>
      </c>
      <c r="C891" s="7" t="s">
        <v>3506</v>
      </c>
      <c r="D891" s="7" t="s">
        <v>3673</v>
      </c>
      <c r="E891" s="5"/>
      <c r="F891" s="7" t="s">
        <v>3674</v>
      </c>
      <c r="G891" s="5"/>
      <c r="H891" s="5"/>
      <c r="I891" s="21" t="s">
        <v>3675</v>
      </c>
      <c r="J891" s="7" t="s">
        <v>24</v>
      </c>
      <c r="K891" s="7" t="s">
        <v>3676</v>
      </c>
      <c r="L891" s="14">
        <v>10000000</v>
      </c>
      <c r="M891" s="5"/>
      <c r="N891" s="14">
        <v>15000000</v>
      </c>
      <c r="O891" s="40"/>
      <c r="P891" s="40"/>
      <c r="Q891" s="3">
        <f t="shared" si="114"/>
        <v>25000000</v>
      </c>
      <c r="R891" s="7"/>
      <c r="S891" s="7"/>
      <c r="T891" s="72"/>
      <c r="U891" s="7"/>
      <c r="V891" s="7"/>
      <c r="W891" s="36">
        <v>10000000</v>
      </c>
      <c r="X891" s="36">
        <f t="shared" si="115"/>
        <v>0</v>
      </c>
      <c r="Y891" s="36">
        <f t="shared" si="116"/>
        <v>15000000</v>
      </c>
      <c r="Z891" s="36">
        <f t="shared" si="113"/>
        <v>0</v>
      </c>
      <c r="AA891" s="16">
        <v>10000000</v>
      </c>
      <c r="AB891" s="79"/>
    </row>
    <row r="892" spans="1:28" ht="63" x14ac:dyDescent="0.4">
      <c r="A892" s="7" t="s">
        <v>46</v>
      </c>
      <c r="B892" s="6">
        <v>853</v>
      </c>
      <c r="C892" s="7" t="s">
        <v>3506</v>
      </c>
      <c r="D892" s="7" t="s">
        <v>3677</v>
      </c>
      <c r="E892" s="7" t="s">
        <v>2869</v>
      </c>
      <c r="F892" s="5"/>
      <c r="G892" s="5"/>
      <c r="H892" s="7" t="s">
        <v>3678</v>
      </c>
      <c r="I892" s="21" t="s">
        <v>3679</v>
      </c>
      <c r="J892" s="7" t="s">
        <v>24</v>
      </c>
      <c r="K892" s="7" t="s">
        <v>3396</v>
      </c>
      <c r="L892" s="14">
        <v>10000000</v>
      </c>
      <c r="M892" s="5"/>
      <c r="N892" s="14">
        <v>15000000</v>
      </c>
      <c r="O892" s="40"/>
      <c r="P892" s="40"/>
      <c r="Q892" s="3">
        <f t="shared" si="114"/>
        <v>25000000</v>
      </c>
      <c r="R892" s="7"/>
      <c r="S892" s="7"/>
      <c r="T892" s="72"/>
      <c r="U892" s="7"/>
      <c r="V892" s="7"/>
      <c r="W892" s="36">
        <v>10000000</v>
      </c>
      <c r="X892" s="36">
        <f t="shared" si="115"/>
        <v>0</v>
      </c>
      <c r="Y892" s="36">
        <f t="shared" si="116"/>
        <v>15000000</v>
      </c>
      <c r="Z892" s="36">
        <f t="shared" si="113"/>
        <v>0</v>
      </c>
      <c r="AA892" s="16">
        <v>10000000</v>
      </c>
      <c r="AB892" s="79"/>
    </row>
    <row r="893" spans="1:28" ht="62.4" x14ac:dyDescent="0.3">
      <c r="A893" s="7" t="s">
        <v>18</v>
      </c>
      <c r="B893" s="6">
        <v>854</v>
      </c>
      <c r="C893" s="7" t="s">
        <v>3506</v>
      </c>
      <c r="D893" s="7" t="s">
        <v>3680</v>
      </c>
      <c r="E893" s="7" t="s">
        <v>3681</v>
      </c>
      <c r="F893" s="7" t="s">
        <v>3682</v>
      </c>
      <c r="G893" s="7" t="s">
        <v>3683</v>
      </c>
      <c r="H893" s="5"/>
      <c r="I893" s="21" t="s">
        <v>3684</v>
      </c>
      <c r="J893" s="7" t="s">
        <v>24</v>
      </c>
      <c r="K893" s="7" t="s">
        <v>3685</v>
      </c>
      <c r="L893" s="14">
        <v>862843600</v>
      </c>
      <c r="M893" s="14">
        <v>224872200</v>
      </c>
      <c r="N893" s="14">
        <v>15000000</v>
      </c>
      <c r="O893" s="40" t="s">
        <v>3195</v>
      </c>
      <c r="P893" s="10">
        <v>72000000</v>
      </c>
      <c r="Q893" s="3">
        <f t="shared" si="114"/>
        <v>1174715800</v>
      </c>
      <c r="R893" s="9">
        <v>862843600</v>
      </c>
      <c r="S893" s="3">
        <v>224872200</v>
      </c>
      <c r="T893" s="30">
        <v>15000000</v>
      </c>
      <c r="U893" s="3">
        <v>24000000</v>
      </c>
      <c r="V893" s="7"/>
      <c r="W893" s="36"/>
      <c r="X893" s="36">
        <f t="shared" si="115"/>
        <v>0</v>
      </c>
      <c r="Y893" s="36">
        <f t="shared" si="116"/>
        <v>0</v>
      </c>
      <c r="Z893" s="36">
        <f t="shared" si="113"/>
        <v>48000000</v>
      </c>
      <c r="AA893" s="4"/>
      <c r="AB893" s="80" t="s">
        <v>3827</v>
      </c>
    </row>
    <row r="894" spans="1:28" ht="31.8" customHeight="1" x14ac:dyDescent="0.3">
      <c r="A894" s="7"/>
      <c r="B894" s="148">
        <v>855</v>
      </c>
      <c r="C894" s="148" t="s">
        <v>3506</v>
      </c>
      <c r="D894" s="7"/>
      <c r="E894" s="7"/>
      <c r="F894" s="148" t="s">
        <v>3688</v>
      </c>
      <c r="G894" s="7"/>
      <c r="H894" s="5"/>
      <c r="I894" s="150" t="s">
        <v>3689</v>
      </c>
      <c r="J894" s="148" t="s">
        <v>24</v>
      </c>
      <c r="K894" s="148" t="s">
        <v>1908</v>
      </c>
      <c r="L894" s="14"/>
      <c r="M894" s="14"/>
      <c r="N894" s="14"/>
      <c r="O894" s="40" t="s">
        <v>3849</v>
      </c>
      <c r="P894" s="10">
        <v>24000000</v>
      </c>
      <c r="Q894" s="3"/>
      <c r="R894" s="9"/>
      <c r="S894" s="3"/>
      <c r="T894" s="30"/>
      <c r="U894" s="3">
        <v>24000000</v>
      </c>
      <c r="V894" s="7"/>
      <c r="W894" s="36"/>
      <c r="X894" s="36"/>
      <c r="Y894" s="36"/>
      <c r="Z894" s="36">
        <f>P894-U894</f>
        <v>0</v>
      </c>
      <c r="AA894" s="4"/>
      <c r="AB894" s="80"/>
    </row>
    <row r="895" spans="1:28" ht="31.2" x14ac:dyDescent="0.3">
      <c r="A895" s="7" t="s">
        <v>46</v>
      </c>
      <c r="B895" s="149"/>
      <c r="C895" s="149"/>
      <c r="D895" s="7" t="s">
        <v>3686</v>
      </c>
      <c r="E895" s="5"/>
      <c r="F895" s="149"/>
      <c r="G895" s="5"/>
      <c r="H895" s="5"/>
      <c r="I895" s="151"/>
      <c r="J895" s="149"/>
      <c r="K895" s="149"/>
      <c r="L895" s="14">
        <v>2066275000</v>
      </c>
      <c r="M895" s="5"/>
      <c r="N895" s="14">
        <v>15000000</v>
      </c>
      <c r="O895" s="40" t="s">
        <v>3848</v>
      </c>
      <c r="P895" s="10">
        <v>24000000</v>
      </c>
      <c r="Q895" s="3">
        <f>L895+M895+N895+P895</f>
        <v>2105275000</v>
      </c>
      <c r="R895" s="3">
        <v>2066275000</v>
      </c>
      <c r="S895" s="7"/>
      <c r="T895" s="30">
        <v>15000000</v>
      </c>
      <c r="U895" s="3">
        <v>24000000</v>
      </c>
      <c r="V895" s="7"/>
      <c r="W895" s="36"/>
      <c r="X895" s="36">
        <f t="shared" ref="X895:Y897" si="117">M895-S895</f>
        <v>0</v>
      </c>
      <c r="Y895" s="36">
        <f t="shared" si="117"/>
        <v>0</v>
      </c>
      <c r="Z895" s="36">
        <f t="shared" si="113"/>
        <v>0</v>
      </c>
      <c r="AA895" s="4"/>
      <c r="AB895" s="80" t="s">
        <v>3860</v>
      </c>
    </row>
    <row r="896" spans="1:28" ht="46.8" x14ac:dyDescent="0.3">
      <c r="A896" s="7" t="s">
        <v>46</v>
      </c>
      <c r="B896" s="6">
        <v>856</v>
      </c>
      <c r="C896" s="7" t="s">
        <v>3506</v>
      </c>
      <c r="D896" s="7" t="s">
        <v>3690</v>
      </c>
      <c r="E896" s="5"/>
      <c r="F896" s="7" t="s">
        <v>3691</v>
      </c>
      <c r="G896" s="5"/>
      <c r="H896" s="5"/>
      <c r="I896" s="21" t="s">
        <v>3692</v>
      </c>
      <c r="J896" s="7" t="s">
        <v>24</v>
      </c>
      <c r="K896" s="7" t="s">
        <v>3693</v>
      </c>
      <c r="L896" s="14">
        <v>7009180374</v>
      </c>
      <c r="M896" s="5"/>
      <c r="N896" s="14">
        <v>7500000</v>
      </c>
      <c r="O896" s="40"/>
      <c r="P896" s="40"/>
      <c r="Q896" s="3">
        <f>L896+M896+N896+P896</f>
        <v>7016680374</v>
      </c>
      <c r="R896" s="3">
        <v>7009180374</v>
      </c>
      <c r="S896" s="7"/>
      <c r="T896" s="30">
        <v>7500000</v>
      </c>
      <c r="U896" s="7"/>
      <c r="V896" s="7"/>
      <c r="W896" s="36"/>
      <c r="X896" s="36">
        <f t="shared" si="117"/>
        <v>0</v>
      </c>
      <c r="Y896" s="36">
        <f t="shared" si="117"/>
        <v>0</v>
      </c>
      <c r="Z896" s="36">
        <f t="shared" si="113"/>
        <v>0</v>
      </c>
      <c r="AA896" s="4"/>
      <c r="AB896" s="79"/>
    </row>
    <row r="897" spans="1:28" ht="42" x14ac:dyDescent="0.3">
      <c r="A897" s="7" t="s">
        <v>46</v>
      </c>
      <c r="B897" s="6">
        <v>857</v>
      </c>
      <c r="C897" s="7" t="s">
        <v>3506</v>
      </c>
      <c r="D897" s="7" t="s">
        <v>3694</v>
      </c>
      <c r="E897" s="5"/>
      <c r="F897" s="7" t="s">
        <v>3695</v>
      </c>
      <c r="G897" s="5"/>
      <c r="H897" s="5"/>
      <c r="I897" s="21" t="s">
        <v>3696</v>
      </c>
      <c r="J897" s="7" t="s">
        <v>24</v>
      </c>
      <c r="K897" s="7" t="s">
        <v>3697</v>
      </c>
      <c r="L897" s="14">
        <v>59125532717</v>
      </c>
      <c r="M897" s="5"/>
      <c r="N897" s="14">
        <v>7500000</v>
      </c>
      <c r="O897" s="40"/>
      <c r="P897" s="76">
        <v>0</v>
      </c>
      <c r="Q897" s="3">
        <f>L897+M897+N897+P897</f>
        <v>59133032717</v>
      </c>
      <c r="R897" s="3">
        <v>59125532717</v>
      </c>
      <c r="S897" s="7"/>
      <c r="T897" s="30">
        <v>7500000</v>
      </c>
      <c r="U897" s="7"/>
      <c r="V897" s="7"/>
      <c r="W897" s="36"/>
      <c r="X897" s="36">
        <f t="shared" si="117"/>
        <v>0</v>
      </c>
      <c r="Y897" s="36">
        <f t="shared" si="117"/>
        <v>0</v>
      </c>
      <c r="Z897" s="36">
        <f t="shared" si="113"/>
        <v>0</v>
      </c>
      <c r="AA897" s="4"/>
      <c r="AB897" s="79"/>
    </row>
    <row r="898" spans="1:28" ht="32.4" customHeight="1" x14ac:dyDescent="0.3">
      <c r="A898" s="7"/>
      <c r="B898" s="148">
        <v>858</v>
      </c>
      <c r="C898" s="148" t="s">
        <v>3506</v>
      </c>
      <c r="D898" s="7"/>
      <c r="E898" s="5"/>
      <c r="F898" s="148" t="s">
        <v>3700</v>
      </c>
      <c r="G898" s="5"/>
      <c r="H898" s="5"/>
      <c r="I898" s="150" t="s">
        <v>3701</v>
      </c>
      <c r="J898" s="148" t="s">
        <v>24</v>
      </c>
      <c r="K898" s="148" t="s">
        <v>3702</v>
      </c>
      <c r="L898" s="14"/>
      <c r="M898" s="5"/>
      <c r="N898" s="14"/>
      <c r="O898" s="40" t="s">
        <v>3841</v>
      </c>
      <c r="P898" s="76">
        <v>72000000</v>
      </c>
      <c r="Q898" s="3"/>
      <c r="R898" s="3"/>
      <c r="S898" s="7"/>
      <c r="T898" s="30"/>
      <c r="U898" s="3">
        <v>72000000</v>
      </c>
      <c r="V898" s="7"/>
      <c r="W898" s="36"/>
      <c r="X898" s="36"/>
      <c r="Y898" s="36"/>
      <c r="Z898" s="36">
        <f t="shared" si="113"/>
        <v>0</v>
      </c>
      <c r="AA898" s="4"/>
      <c r="AB898" s="79"/>
    </row>
    <row r="899" spans="1:28" ht="49.8" customHeight="1" x14ac:dyDescent="0.3">
      <c r="A899" s="7" t="s">
        <v>46</v>
      </c>
      <c r="B899" s="149"/>
      <c r="C899" s="149"/>
      <c r="D899" s="7" t="s">
        <v>3698</v>
      </c>
      <c r="E899" s="7" t="s">
        <v>3508</v>
      </c>
      <c r="F899" s="149"/>
      <c r="G899" s="5"/>
      <c r="H899" s="5"/>
      <c r="I899" s="166"/>
      <c r="J899" s="149"/>
      <c r="K899" s="149"/>
      <c r="L899" s="14">
        <v>3420319048</v>
      </c>
      <c r="M899" s="11">
        <v>642406970</v>
      </c>
      <c r="N899" s="14">
        <v>15000000</v>
      </c>
      <c r="O899" s="7" t="s">
        <v>3834</v>
      </c>
      <c r="P899" s="3">
        <v>144000000</v>
      </c>
      <c r="Q899" s="3">
        <f t="shared" ref="Q899:Q926" si="118">L899+M899+N899+P899</f>
        <v>4221726018</v>
      </c>
      <c r="R899" s="3">
        <v>3420319048</v>
      </c>
      <c r="S899" s="3">
        <v>642406970</v>
      </c>
      <c r="T899" s="30">
        <v>15000000</v>
      </c>
      <c r="U899" s="3"/>
      <c r="V899" s="7"/>
      <c r="W899" s="36"/>
      <c r="X899" s="36">
        <f t="shared" ref="X899:X926" si="119">M899-S899</f>
        <v>0</v>
      </c>
      <c r="Y899" s="36">
        <f t="shared" ref="Y899:Y926" si="120">N899-T899</f>
        <v>0</v>
      </c>
      <c r="Z899" s="36">
        <f t="shared" si="113"/>
        <v>144000000</v>
      </c>
      <c r="AA899" s="4"/>
      <c r="AB899" s="83" t="s">
        <v>3863</v>
      </c>
    </row>
    <row r="900" spans="1:28" ht="73.8" customHeight="1" x14ac:dyDescent="0.3">
      <c r="A900" s="7" t="s">
        <v>46</v>
      </c>
      <c r="B900" s="6">
        <v>859</v>
      </c>
      <c r="C900" s="7" t="s">
        <v>3506</v>
      </c>
      <c r="D900" s="7" t="s">
        <v>3703</v>
      </c>
      <c r="E900" s="7" t="s">
        <v>3704</v>
      </c>
      <c r="F900" s="7" t="s">
        <v>3705</v>
      </c>
      <c r="G900" s="5"/>
      <c r="H900" s="5"/>
      <c r="I900" s="21" t="s">
        <v>3706</v>
      </c>
      <c r="J900" s="7" t="s">
        <v>24</v>
      </c>
      <c r="K900" s="7" t="s">
        <v>3616</v>
      </c>
      <c r="L900" s="14">
        <v>10000000</v>
      </c>
      <c r="M900" s="14">
        <v>361037124</v>
      </c>
      <c r="N900" s="14">
        <v>15000000</v>
      </c>
      <c r="O900" s="40"/>
      <c r="P900" s="40"/>
      <c r="Q900" s="3">
        <f t="shared" si="118"/>
        <v>386037124</v>
      </c>
      <c r="R900" s="3">
        <v>10000000</v>
      </c>
      <c r="S900" s="3">
        <v>361037124</v>
      </c>
      <c r="T900" s="30">
        <v>15000000</v>
      </c>
      <c r="U900" s="7"/>
      <c r="V900" s="7"/>
      <c r="W900" s="36"/>
      <c r="X900" s="36">
        <f t="shared" si="119"/>
        <v>0</v>
      </c>
      <c r="Y900" s="36">
        <f t="shared" si="120"/>
        <v>0</v>
      </c>
      <c r="Z900" s="36">
        <f t="shared" si="113"/>
        <v>0</v>
      </c>
      <c r="AA900" s="4"/>
      <c r="AB900" s="79"/>
    </row>
    <row r="901" spans="1:28" ht="69" customHeight="1" x14ac:dyDescent="0.3">
      <c r="A901" s="7" t="s">
        <v>46</v>
      </c>
      <c r="B901" s="6">
        <v>860</v>
      </c>
      <c r="C901" s="7" t="s">
        <v>3506</v>
      </c>
      <c r="D901" s="7" t="s">
        <v>3707</v>
      </c>
      <c r="E901" s="7" t="s">
        <v>3508</v>
      </c>
      <c r="F901" s="7" t="s">
        <v>3708</v>
      </c>
      <c r="G901" s="7" t="s">
        <v>3709</v>
      </c>
      <c r="H901" s="5"/>
      <c r="I901" s="21" t="s">
        <v>3710</v>
      </c>
      <c r="J901" s="7" t="s">
        <v>24</v>
      </c>
      <c r="K901" s="7" t="s">
        <v>3711</v>
      </c>
      <c r="L901" s="14">
        <v>758458178</v>
      </c>
      <c r="M901" s="14">
        <v>44608716</v>
      </c>
      <c r="N901" s="14">
        <v>15000000</v>
      </c>
      <c r="O901" s="40" t="s">
        <v>3477</v>
      </c>
      <c r="P901" s="10">
        <v>144000000</v>
      </c>
      <c r="Q901" s="3">
        <f t="shared" si="118"/>
        <v>962066894</v>
      </c>
      <c r="R901" s="3">
        <v>758458178</v>
      </c>
      <c r="S901" s="3">
        <v>44608716</v>
      </c>
      <c r="T901" s="30">
        <v>15000000</v>
      </c>
      <c r="U901" s="3">
        <v>144000000</v>
      </c>
      <c r="V901" s="7"/>
      <c r="W901" s="36"/>
      <c r="X901" s="36">
        <f t="shared" si="119"/>
        <v>0</v>
      </c>
      <c r="Y901" s="36">
        <f t="shared" si="120"/>
        <v>0</v>
      </c>
      <c r="Z901" s="36">
        <f t="shared" si="113"/>
        <v>0</v>
      </c>
      <c r="AA901" s="4"/>
      <c r="AB901" s="79"/>
    </row>
    <row r="902" spans="1:28" ht="63" x14ac:dyDescent="0.3">
      <c r="A902" s="7" t="s">
        <v>46</v>
      </c>
      <c r="B902" s="6">
        <v>861</v>
      </c>
      <c r="C902" s="7" t="s">
        <v>3506</v>
      </c>
      <c r="D902" s="7" t="s">
        <v>3712</v>
      </c>
      <c r="E902" s="5"/>
      <c r="F902" s="7" t="s">
        <v>3713</v>
      </c>
      <c r="G902" s="5"/>
      <c r="H902" s="5"/>
      <c r="I902" s="21" t="s">
        <v>3714</v>
      </c>
      <c r="J902" s="7" t="s">
        <v>24</v>
      </c>
      <c r="K902" s="7" t="s">
        <v>3285</v>
      </c>
      <c r="L902" s="14">
        <v>5951052520</v>
      </c>
      <c r="M902" s="5"/>
      <c r="N902" s="14">
        <v>7500000</v>
      </c>
      <c r="O902" s="40"/>
      <c r="P902" s="40"/>
      <c r="Q902" s="3">
        <f t="shared" si="118"/>
        <v>5958552520</v>
      </c>
      <c r="R902" s="3">
        <v>5951052520</v>
      </c>
      <c r="S902" s="7"/>
      <c r="T902" s="30">
        <v>7500000</v>
      </c>
      <c r="U902" s="7"/>
      <c r="V902" s="7"/>
      <c r="W902" s="36"/>
      <c r="X902" s="36">
        <f t="shared" si="119"/>
        <v>0</v>
      </c>
      <c r="Y902" s="36">
        <f t="shared" si="120"/>
        <v>0</v>
      </c>
      <c r="Z902" s="36">
        <f t="shared" ref="Z902:Z926" si="121">P902-U902</f>
        <v>0</v>
      </c>
      <c r="AA902" s="4"/>
      <c r="AB902" s="79"/>
    </row>
    <row r="903" spans="1:28" ht="46.8" x14ac:dyDescent="0.3">
      <c r="A903" s="7" t="s">
        <v>46</v>
      </c>
      <c r="B903" s="6">
        <v>862</v>
      </c>
      <c r="C903" s="7" t="s">
        <v>3506</v>
      </c>
      <c r="D903" s="7" t="s">
        <v>3715</v>
      </c>
      <c r="E903" s="5"/>
      <c r="F903" s="7" t="s">
        <v>3716</v>
      </c>
      <c r="G903" s="5"/>
      <c r="H903" s="5"/>
      <c r="I903" s="21" t="s">
        <v>3717</v>
      </c>
      <c r="J903" s="7" t="s">
        <v>24</v>
      </c>
      <c r="K903" s="7" t="s">
        <v>3718</v>
      </c>
      <c r="L903" s="14">
        <v>1656027040</v>
      </c>
      <c r="M903" s="5"/>
      <c r="N903" s="14">
        <v>15000000</v>
      </c>
      <c r="O903" s="40"/>
      <c r="P903" s="40"/>
      <c r="Q903" s="3">
        <f t="shared" si="118"/>
        <v>1671027040</v>
      </c>
      <c r="R903" s="3">
        <v>1656027040</v>
      </c>
      <c r="S903" s="7"/>
      <c r="T903" s="72"/>
      <c r="U903" s="7"/>
      <c r="V903" s="7"/>
      <c r="W903" s="36"/>
      <c r="X903" s="36">
        <f t="shared" si="119"/>
        <v>0</v>
      </c>
      <c r="Y903" s="36">
        <f t="shared" si="120"/>
        <v>15000000</v>
      </c>
      <c r="Z903" s="36">
        <f t="shared" si="121"/>
        <v>0</v>
      </c>
      <c r="AA903" s="4"/>
      <c r="AB903" s="79"/>
    </row>
    <row r="904" spans="1:28" ht="46.8" x14ac:dyDescent="0.3">
      <c r="A904" s="7" t="s">
        <v>46</v>
      </c>
      <c r="B904" s="6">
        <v>863</v>
      </c>
      <c r="C904" s="7" t="s">
        <v>3506</v>
      </c>
      <c r="D904" s="7" t="s">
        <v>3719</v>
      </c>
      <c r="E904" s="5"/>
      <c r="F904" s="7" t="s">
        <v>3720</v>
      </c>
      <c r="G904" s="5"/>
      <c r="H904" s="5"/>
      <c r="I904" s="21" t="s">
        <v>3721</v>
      </c>
      <c r="J904" s="7" t="s">
        <v>24</v>
      </c>
      <c r="K904" s="7" t="s">
        <v>3535</v>
      </c>
      <c r="L904" s="14">
        <v>2882807920</v>
      </c>
      <c r="M904" s="5"/>
      <c r="N904" s="14">
        <v>15000000</v>
      </c>
      <c r="O904" s="40" t="s">
        <v>308</v>
      </c>
      <c r="P904" s="10">
        <v>16000000</v>
      </c>
      <c r="Q904" s="3">
        <f t="shared" si="118"/>
        <v>2913807920</v>
      </c>
      <c r="R904" s="3">
        <v>2882807920</v>
      </c>
      <c r="S904" s="7"/>
      <c r="T904" s="30">
        <v>15000000</v>
      </c>
      <c r="U904" s="3">
        <v>16000000</v>
      </c>
      <c r="V904" s="7"/>
      <c r="W904" s="36"/>
      <c r="X904" s="36">
        <f t="shared" si="119"/>
        <v>0</v>
      </c>
      <c r="Y904" s="36">
        <f t="shared" si="120"/>
        <v>0</v>
      </c>
      <c r="Z904" s="36">
        <f t="shared" si="121"/>
        <v>0</v>
      </c>
      <c r="AA904" s="4"/>
      <c r="AB904" s="79"/>
    </row>
    <row r="905" spans="1:28" ht="63" x14ac:dyDescent="0.4">
      <c r="A905" s="7" t="s">
        <v>46</v>
      </c>
      <c r="B905" s="6">
        <v>864</v>
      </c>
      <c r="C905" s="7" t="s">
        <v>3506</v>
      </c>
      <c r="D905" s="7" t="s">
        <v>3722</v>
      </c>
      <c r="E905" s="5"/>
      <c r="F905" s="7" t="s">
        <v>3723</v>
      </c>
      <c r="G905" s="5"/>
      <c r="H905" s="5"/>
      <c r="I905" s="21" t="s">
        <v>2566</v>
      </c>
      <c r="J905" s="7" t="s">
        <v>24</v>
      </c>
      <c r="K905" s="7" t="s">
        <v>3724</v>
      </c>
      <c r="L905" s="14">
        <v>3398093390</v>
      </c>
      <c r="M905" s="5"/>
      <c r="N905" s="14">
        <v>7500000</v>
      </c>
      <c r="O905" s="40"/>
      <c r="P905" s="40"/>
      <c r="Q905" s="3">
        <f t="shared" si="118"/>
        <v>3405593390</v>
      </c>
      <c r="R905" s="7"/>
      <c r="S905" s="7"/>
      <c r="T905" s="72"/>
      <c r="U905" s="7"/>
      <c r="V905" s="7"/>
      <c r="W905" s="36">
        <v>3398093390</v>
      </c>
      <c r="X905" s="36">
        <f t="shared" si="119"/>
        <v>0</v>
      </c>
      <c r="Y905" s="36">
        <f t="shared" si="120"/>
        <v>7500000</v>
      </c>
      <c r="Z905" s="36">
        <f t="shared" si="121"/>
        <v>0</v>
      </c>
      <c r="AA905" s="16">
        <v>3398093390</v>
      </c>
      <c r="AB905" s="79"/>
    </row>
    <row r="906" spans="1:28" ht="63" x14ac:dyDescent="0.3">
      <c r="A906" s="7" t="s">
        <v>1601</v>
      </c>
      <c r="B906" s="6">
        <v>865</v>
      </c>
      <c r="C906" s="7" t="s">
        <v>3725</v>
      </c>
      <c r="D906" s="7" t="s">
        <v>3726</v>
      </c>
      <c r="E906" s="7" t="s">
        <v>3728</v>
      </c>
      <c r="F906" s="7" t="s">
        <v>3729</v>
      </c>
      <c r="G906" s="7" t="s">
        <v>3730</v>
      </c>
      <c r="H906" s="5"/>
      <c r="I906" s="21" t="s">
        <v>3731</v>
      </c>
      <c r="J906" s="7" t="s">
        <v>24</v>
      </c>
      <c r="K906" s="7" t="s">
        <v>1666</v>
      </c>
      <c r="L906" s="14">
        <v>163511848</v>
      </c>
      <c r="M906" s="14">
        <v>1198719060</v>
      </c>
      <c r="N906" s="14">
        <v>15000000</v>
      </c>
      <c r="O906" s="40" t="s">
        <v>3727</v>
      </c>
      <c r="P906" s="10">
        <v>24000000</v>
      </c>
      <c r="Q906" s="3">
        <f t="shared" si="118"/>
        <v>1401230908</v>
      </c>
      <c r="R906" s="3">
        <v>163511848</v>
      </c>
      <c r="S906" s="3">
        <v>1198719060</v>
      </c>
      <c r="T906" s="30">
        <v>15000000</v>
      </c>
      <c r="U906" s="3">
        <v>24000000</v>
      </c>
      <c r="V906" s="7"/>
      <c r="W906" s="36"/>
      <c r="X906" s="36">
        <f t="shared" si="119"/>
        <v>0</v>
      </c>
      <c r="Y906" s="36">
        <f t="shared" si="120"/>
        <v>0</v>
      </c>
      <c r="Z906" s="36">
        <f t="shared" si="121"/>
        <v>0</v>
      </c>
      <c r="AA906" s="4"/>
      <c r="AB906" s="79"/>
    </row>
    <row r="907" spans="1:28" ht="42" x14ac:dyDescent="0.3">
      <c r="A907" s="7" t="s">
        <v>18</v>
      </c>
      <c r="B907" s="6">
        <v>866</v>
      </c>
      <c r="C907" s="7" t="s">
        <v>3725</v>
      </c>
      <c r="D907" s="7" t="s">
        <v>3732</v>
      </c>
      <c r="E907" s="7" t="s">
        <v>3734</v>
      </c>
      <c r="F907" s="7" t="s">
        <v>3735</v>
      </c>
      <c r="G907" s="7" t="s">
        <v>3736</v>
      </c>
      <c r="H907" s="5"/>
      <c r="I907" s="21" t="s">
        <v>3737</v>
      </c>
      <c r="J907" s="7" t="s">
        <v>24</v>
      </c>
      <c r="K907" s="7" t="s">
        <v>3738</v>
      </c>
      <c r="L907" s="14">
        <v>7139329719</v>
      </c>
      <c r="M907" s="14">
        <v>1963433700</v>
      </c>
      <c r="N907" s="14">
        <v>15000000</v>
      </c>
      <c r="O907" s="40" t="s">
        <v>3733</v>
      </c>
      <c r="P907" s="10">
        <v>8000000</v>
      </c>
      <c r="Q907" s="3">
        <f t="shared" si="118"/>
        <v>9125763419</v>
      </c>
      <c r="R907" s="36">
        <v>7139329719</v>
      </c>
      <c r="S907" s="3">
        <v>1963433700</v>
      </c>
      <c r="T907" s="30">
        <v>15000000</v>
      </c>
      <c r="U907" s="3">
        <v>8000000</v>
      </c>
      <c r="V907" s="7"/>
      <c r="W907" s="36"/>
      <c r="X907" s="36">
        <f t="shared" si="119"/>
        <v>0</v>
      </c>
      <c r="Y907" s="36">
        <f t="shared" si="120"/>
        <v>0</v>
      </c>
      <c r="Z907" s="36">
        <f t="shared" si="121"/>
        <v>0</v>
      </c>
      <c r="AA907" s="4"/>
      <c r="AB907" s="79"/>
    </row>
    <row r="908" spans="1:28" ht="42" x14ac:dyDescent="0.3">
      <c r="A908" s="7" t="s">
        <v>18</v>
      </c>
      <c r="B908" s="6">
        <v>867</v>
      </c>
      <c r="C908" s="7" t="s">
        <v>3725</v>
      </c>
      <c r="D908" s="7" t="s">
        <v>3739</v>
      </c>
      <c r="E908" s="7" t="s">
        <v>1138</v>
      </c>
      <c r="F908" s="7" t="s">
        <v>3740</v>
      </c>
      <c r="G908" s="7" t="s">
        <v>3741</v>
      </c>
      <c r="H908" s="5"/>
      <c r="I908" s="21" t="s">
        <v>3742</v>
      </c>
      <c r="J908" s="7" t="s">
        <v>24</v>
      </c>
      <c r="K908" s="7" t="s">
        <v>3743</v>
      </c>
      <c r="L908" s="14">
        <v>9156375016</v>
      </c>
      <c r="M908" s="3">
        <v>362103231</v>
      </c>
      <c r="N908" s="14">
        <v>15000000</v>
      </c>
      <c r="O908" s="40"/>
      <c r="P908" s="40"/>
      <c r="Q908" s="3">
        <f t="shared" si="118"/>
        <v>9533478247</v>
      </c>
      <c r="R908" s="3">
        <v>9156375016</v>
      </c>
      <c r="S908" s="3">
        <v>362103231</v>
      </c>
      <c r="T908" s="30">
        <v>15000000</v>
      </c>
      <c r="U908" s="7"/>
      <c r="V908" s="7"/>
      <c r="W908" s="36"/>
      <c r="X908" s="36">
        <f t="shared" si="119"/>
        <v>0</v>
      </c>
      <c r="Y908" s="36">
        <f t="shared" si="120"/>
        <v>0</v>
      </c>
      <c r="Z908" s="36">
        <f t="shared" si="121"/>
        <v>0</v>
      </c>
      <c r="AA908" s="4"/>
      <c r="AB908" s="79"/>
    </row>
    <row r="909" spans="1:28" ht="42" x14ac:dyDescent="0.3">
      <c r="A909" s="7" t="s">
        <v>18</v>
      </c>
      <c r="B909" s="6">
        <v>868</v>
      </c>
      <c r="C909" s="7" t="s">
        <v>3725</v>
      </c>
      <c r="D909" s="7" t="s">
        <v>3744</v>
      </c>
      <c r="E909" s="5"/>
      <c r="F909" s="7" t="s">
        <v>3745</v>
      </c>
      <c r="G909" s="7" t="s">
        <v>3746</v>
      </c>
      <c r="H909" s="5"/>
      <c r="I909" s="21" t="s">
        <v>3747</v>
      </c>
      <c r="J909" s="7" t="s">
        <v>24</v>
      </c>
      <c r="K909" s="7" t="s">
        <v>1908</v>
      </c>
      <c r="L909" s="14">
        <v>5200666300</v>
      </c>
      <c r="M909" s="5"/>
      <c r="N909" s="14">
        <v>15000000</v>
      </c>
      <c r="O909" s="40"/>
      <c r="P909" s="40"/>
      <c r="Q909" s="3">
        <f t="shared" si="118"/>
        <v>5215666300</v>
      </c>
      <c r="R909" s="36">
        <v>5200666300</v>
      </c>
      <c r="S909" s="7"/>
      <c r="T909" s="30">
        <v>15000000</v>
      </c>
      <c r="U909" s="7"/>
      <c r="V909" s="7"/>
      <c r="W909" s="36"/>
      <c r="X909" s="36">
        <f t="shared" si="119"/>
        <v>0</v>
      </c>
      <c r="Y909" s="36">
        <f t="shared" si="120"/>
        <v>0</v>
      </c>
      <c r="Z909" s="36">
        <f t="shared" si="121"/>
        <v>0</v>
      </c>
      <c r="AA909" s="4"/>
      <c r="AB909" s="79"/>
    </row>
    <row r="910" spans="1:28" ht="46.8" x14ac:dyDescent="0.3">
      <c r="A910" s="7" t="s">
        <v>18</v>
      </c>
      <c r="B910" s="6">
        <v>869</v>
      </c>
      <c r="C910" s="7" t="s">
        <v>3725</v>
      </c>
      <c r="D910" s="7" t="s">
        <v>3748</v>
      </c>
      <c r="E910" s="7" t="s">
        <v>3749</v>
      </c>
      <c r="F910" s="7" t="s">
        <v>3750</v>
      </c>
      <c r="G910" s="7" t="s">
        <v>3751</v>
      </c>
      <c r="H910" s="5"/>
      <c r="I910" s="21" t="s">
        <v>3752</v>
      </c>
      <c r="J910" s="7" t="s">
        <v>24</v>
      </c>
      <c r="K910" s="7" t="s">
        <v>3563</v>
      </c>
      <c r="L910" s="14">
        <v>8361271432</v>
      </c>
      <c r="M910" s="14">
        <v>1995580618</v>
      </c>
      <c r="N910" s="14">
        <v>15000000</v>
      </c>
      <c r="O910" s="7" t="s">
        <v>637</v>
      </c>
      <c r="P910" s="3">
        <v>24000000</v>
      </c>
      <c r="Q910" s="3">
        <f t="shared" si="118"/>
        <v>10395852050</v>
      </c>
      <c r="R910" s="3">
        <v>8361271432</v>
      </c>
      <c r="S910" s="3">
        <v>1995580618</v>
      </c>
      <c r="T910" s="72"/>
      <c r="U910" s="7"/>
      <c r="V910" s="7"/>
      <c r="W910" s="36"/>
      <c r="X910" s="36">
        <f t="shared" si="119"/>
        <v>0</v>
      </c>
      <c r="Y910" s="36">
        <f t="shared" si="120"/>
        <v>15000000</v>
      </c>
      <c r="Z910" s="36">
        <f t="shared" si="121"/>
        <v>24000000</v>
      </c>
      <c r="AA910" s="4"/>
      <c r="AB910" s="83"/>
    </row>
    <row r="911" spans="1:28" ht="63" x14ac:dyDescent="0.3">
      <c r="A911" s="7" t="s">
        <v>1601</v>
      </c>
      <c r="B911" s="6">
        <v>870</v>
      </c>
      <c r="C911" s="7" t="s">
        <v>3725</v>
      </c>
      <c r="D911" s="7" t="s">
        <v>3753</v>
      </c>
      <c r="E911" s="5"/>
      <c r="F911" s="7" t="s">
        <v>3754</v>
      </c>
      <c r="G911" s="7" t="s">
        <v>3755</v>
      </c>
      <c r="H911" s="5"/>
      <c r="I911" s="21" t="s">
        <v>3756</v>
      </c>
      <c r="J911" s="7" t="s">
        <v>24</v>
      </c>
      <c r="K911" s="7" t="s">
        <v>3757</v>
      </c>
      <c r="L911" s="14">
        <v>2814083592</v>
      </c>
      <c r="M911" s="5"/>
      <c r="N911" s="14">
        <v>15000000</v>
      </c>
      <c r="O911" s="40"/>
      <c r="P911" s="40"/>
      <c r="Q911" s="3">
        <f t="shared" si="118"/>
        <v>2829083592</v>
      </c>
      <c r="R911" s="3">
        <v>2814083592</v>
      </c>
      <c r="S911" s="7"/>
      <c r="T911" s="30">
        <v>15000000</v>
      </c>
      <c r="U911" s="7"/>
      <c r="V911" s="7"/>
      <c r="W911" s="36"/>
      <c r="X911" s="36">
        <f t="shared" si="119"/>
        <v>0</v>
      </c>
      <c r="Y911" s="36">
        <f t="shared" si="120"/>
        <v>0</v>
      </c>
      <c r="Z911" s="36">
        <f t="shared" si="121"/>
        <v>0</v>
      </c>
      <c r="AA911" s="4"/>
      <c r="AB911" s="79"/>
    </row>
    <row r="912" spans="1:28" ht="42" x14ac:dyDescent="0.3">
      <c r="A912" s="7" t="s">
        <v>1601</v>
      </c>
      <c r="B912" s="6">
        <v>871</v>
      </c>
      <c r="C912" s="7" t="s">
        <v>3725</v>
      </c>
      <c r="D912" s="7" t="s">
        <v>3758</v>
      </c>
      <c r="E912" s="7" t="s">
        <v>3759</v>
      </c>
      <c r="F912" s="7" t="s">
        <v>3760</v>
      </c>
      <c r="G912" s="7" t="s">
        <v>3761</v>
      </c>
      <c r="H912" s="5"/>
      <c r="I912" s="21" t="s">
        <v>3762</v>
      </c>
      <c r="J912" s="7" t="s">
        <v>24</v>
      </c>
      <c r="K912" s="7" t="s">
        <v>3763</v>
      </c>
      <c r="L912" s="14">
        <v>1141870600</v>
      </c>
      <c r="M912" s="3">
        <v>10000000</v>
      </c>
      <c r="N912" s="14">
        <v>15000000</v>
      </c>
      <c r="O912" s="40" t="s">
        <v>1208</v>
      </c>
      <c r="P912" s="10">
        <v>24000000</v>
      </c>
      <c r="Q912" s="3">
        <f t="shared" si="118"/>
        <v>1190870600</v>
      </c>
      <c r="R912" s="3">
        <v>1141870600</v>
      </c>
      <c r="S912" s="7"/>
      <c r="T912" s="30">
        <v>15000000</v>
      </c>
      <c r="U912" s="3">
        <v>24000000</v>
      </c>
      <c r="V912" s="7"/>
      <c r="W912" s="36"/>
      <c r="X912" s="36">
        <f t="shared" si="119"/>
        <v>10000000</v>
      </c>
      <c r="Y912" s="36">
        <f t="shared" si="120"/>
        <v>0</v>
      </c>
      <c r="Z912" s="36">
        <f t="shared" si="121"/>
        <v>0</v>
      </c>
      <c r="AA912" s="4"/>
      <c r="AB912" s="79"/>
    </row>
    <row r="913" spans="1:28" ht="78" x14ac:dyDescent="0.3">
      <c r="A913" s="7" t="s">
        <v>1601</v>
      </c>
      <c r="B913" s="6">
        <v>872</v>
      </c>
      <c r="C913" s="7" t="s">
        <v>3725</v>
      </c>
      <c r="D913" s="7" t="s">
        <v>3764</v>
      </c>
      <c r="E913" s="7" t="s">
        <v>3765</v>
      </c>
      <c r="F913" s="5"/>
      <c r="G913" s="7" t="s">
        <v>3766</v>
      </c>
      <c r="H913" s="7" t="s">
        <v>3767</v>
      </c>
      <c r="I913" s="21" t="s">
        <v>3768</v>
      </c>
      <c r="J913" s="7" t="s">
        <v>24</v>
      </c>
      <c r="K913" s="7" t="s">
        <v>3769</v>
      </c>
      <c r="L913" s="14">
        <v>8297551400</v>
      </c>
      <c r="M913" s="5"/>
      <c r="N913" s="14">
        <v>15000000</v>
      </c>
      <c r="O913" s="40"/>
      <c r="P913" s="40"/>
      <c r="Q913" s="3">
        <f t="shared" si="118"/>
        <v>8312551400</v>
      </c>
      <c r="R913" s="3">
        <v>8297551400</v>
      </c>
      <c r="S913" s="7"/>
      <c r="T913" s="72"/>
      <c r="U913" s="7"/>
      <c r="V913" s="10">
        <v>-8297551400</v>
      </c>
      <c r="W913" s="36"/>
      <c r="X913" s="36">
        <f t="shared" si="119"/>
        <v>0</v>
      </c>
      <c r="Y913" s="36">
        <f t="shared" si="120"/>
        <v>15000000</v>
      </c>
      <c r="Z913" s="36">
        <f t="shared" si="121"/>
        <v>0</v>
      </c>
      <c r="AA913" s="4"/>
      <c r="AB913" s="79"/>
    </row>
    <row r="914" spans="1:28" ht="63" x14ac:dyDescent="0.3">
      <c r="A914" s="7" t="s">
        <v>18</v>
      </c>
      <c r="B914" s="6">
        <v>873</v>
      </c>
      <c r="C914" s="7" t="s">
        <v>3725</v>
      </c>
      <c r="D914" s="7" t="s">
        <v>3770</v>
      </c>
      <c r="E914" s="5"/>
      <c r="F914" s="7" t="s">
        <v>3772</v>
      </c>
      <c r="G914" s="5"/>
      <c r="H914" s="5"/>
      <c r="I914" s="21" t="s">
        <v>3773</v>
      </c>
      <c r="J914" s="7" t="s">
        <v>24</v>
      </c>
      <c r="K914" s="7" t="s">
        <v>3774</v>
      </c>
      <c r="L914" s="14">
        <v>11775251750</v>
      </c>
      <c r="M914" s="5"/>
      <c r="N914" s="14">
        <v>15000000</v>
      </c>
      <c r="O914" s="40" t="s">
        <v>3771</v>
      </c>
      <c r="P914" s="10">
        <v>126000000</v>
      </c>
      <c r="Q914" s="3">
        <f t="shared" si="118"/>
        <v>11916251750</v>
      </c>
      <c r="R914" s="3">
        <v>11775251750</v>
      </c>
      <c r="S914" s="7"/>
      <c r="T914" s="30">
        <v>15000000</v>
      </c>
      <c r="U914" s="3">
        <v>84000000</v>
      </c>
      <c r="V914" s="7"/>
      <c r="W914" s="36"/>
      <c r="X914" s="36">
        <f t="shared" si="119"/>
        <v>0</v>
      </c>
      <c r="Y914" s="36">
        <f t="shared" si="120"/>
        <v>0</v>
      </c>
      <c r="Z914" s="36">
        <f t="shared" si="121"/>
        <v>42000000</v>
      </c>
      <c r="AA914" s="4"/>
      <c r="AB914" s="80" t="s">
        <v>3828</v>
      </c>
    </row>
    <row r="915" spans="1:28" ht="63" x14ac:dyDescent="0.3">
      <c r="A915" s="7" t="s">
        <v>1601</v>
      </c>
      <c r="B915" s="6">
        <v>874</v>
      </c>
      <c r="C915" s="7" t="s">
        <v>3775</v>
      </c>
      <c r="D915" s="5"/>
      <c r="E915" s="7" t="s">
        <v>3777</v>
      </c>
      <c r="F915" s="7" t="s">
        <v>3778</v>
      </c>
      <c r="G915" s="5"/>
      <c r="H915" s="7" t="s">
        <v>40</v>
      </c>
      <c r="I915" s="21" t="s">
        <v>3768</v>
      </c>
      <c r="J915" s="7" t="s">
        <v>24</v>
      </c>
      <c r="K915" s="7" t="s">
        <v>3769</v>
      </c>
      <c r="L915" s="14">
        <v>10717985200</v>
      </c>
      <c r="M915" s="5"/>
      <c r="N915" s="14">
        <v>15000000</v>
      </c>
      <c r="O915" s="7" t="s">
        <v>3776</v>
      </c>
      <c r="P915" s="3">
        <v>24000000</v>
      </c>
      <c r="Q915" s="3">
        <f t="shared" si="118"/>
        <v>10756985200</v>
      </c>
      <c r="R915" s="3">
        <v>10717985200</v>
      </c>
      <c r="S915" s="7"/>
      <c r="T915" s="72"/>
      <c r="U915" s="3">
        <v>24000000</v>
      </c>
      <c r="V915" s="7"/>
      <c r="W915" s="36"/>
      <c r="X915" s="36">
        <f t="shared" si="119"/>
        <v>0</v>
      </c>
      <c r="Y915" s="36">
        <f t="shared" si="120"/>
        <v>15000000</v>
      </c>
      <c r="Z915" s="36">
        <f t="shared" si="121"/>
        <v>0</v>
      </c>
      <c r="AA915" s="4"/>
      <c r="AB915" s="79"/>
    </row>
    <row r="916" spans="1:28" ht="42" x14ac:dyDescent="0.3">
      <c r="A916" s="7" t="s">
        <v>1601</v>
      </c>
      <c r="B916" s="6">
        <v>875</v>
      </c>
      <c r="C916" s="7" t="s">
        <v>3775</v>
      </c>
      <c r="D916" s="7" t="s">
        <v>3779</v>
      </c>
      <c r="E916" s="7" t="s">
        <v>3777</v>
      </c>
      <c r="F916" s="7" t="s">
        <v>3780</v>
      </c>
      <c r="G916" s="5"/>
      <c r="H916" s="7" t="s">
        <v>40</v>
      </c>
      <c r="I916" s="21" t="s">
        <v>3781</v>
      </c>
      <c r="J916" s="7" t="s">
        <v>24</v>
      </c>
      <c r="K916" s="7" t="s">
        <v>3769</v>
      </c>
      <c r="L916" s="14">
        <v>2704930000</v>
      </c>
      <c r="M916" s="5"/>
      <c r="N916" s="14">
        <v>15000000</v>
      </c>
      <c r="O916" s="7"/>
      <c r="P916" s="7"/>
      <c r="Q916" s="3">
        <f t="shared" si="118"/>
        <v>2719930000</v>
      </c>
      <c r="R916" s="3">
        <v>2704930000</v>
      </c>
      <c r="S916" s="7"/>
      <c r="T916" s="72"/>
      <c r="U916" s="7"/>
      <c r="V916" s="7"/>
      <c r="W916" s="36"/>
      <c r="X916" s="36">
        <f t="shared" si="119"/>
        <v>0</v>
      </c>
      <c r="Y916" s="36">
        <f t="shared" si="120"/>
        <v>15000000</v>
      </c>
      <c r="Z916" s="36">
        <f t="shared" si="121"/>
        <v>0</v>
      </c>
      <c r="AA916" s="4"/>
      <c r="AB916" s="79"/>
    </row>
    <row r="917" spans="1:28" ht="42" x14ac:dyDescent="0.3">
      <c r="A917" s="7" t="s">
        <v>1601</v>
      </c>
      <c r="B917" s="6">
        <v>876</v>
      </c>
      <c r="C917" s="7" t="s">
        <v>3775</v>
      </c>
      <c r="D917" s="7" t="s">
        <v>3782</v>
      </c>
      <c r="E917" s="7" t="s">
        <v>3777</v>
      </c>
      <c r="F917" s="7" t="s">
        <v>3015</v>
      </c>
      <c r="G917" s="5"/>
      <c r="H917" s="7" t="s">
        <v>40</v>
      </c>
      <c r="I917" s="21" t="s">
        <v>3783</v>
      </c>
      <c r="J917" s="7" t="s">
        <v>24</v>
      </c>
      <c r="K917" s="7" t="s">
        <v>3769</v>
      </c>
      <c r="L917" s="14">
        <v>2852252840</v>
      </c>
      <c r="M917" s="5"/>
      <c r="N917" s="14">
        <v>15000000</v>
      </c>
      <c r="O917" s="7" t="s">
        <v>3776</v>
      </c>
      <c r="P917" s="3">
        <v>24000000</v>
      </c>
      <c r="Q917" s="3">
        <f t="shared" si="118"/>
        <v>2891252840</v>
      </c>
      <c r="R917" s="3">
        <v>2852252840</v>
      </c>
      <c r="S917" s="7"/>
      <c r="T917" s="72"/>
      <c r="U917" s="3">
        <v>24000000</v>
      </c>
      <c r="V917" s="7"/>
      <c r="W917" s="36"/>
      <c r="X917" s="36">
        <f t="shared" si="119"/>
        <v>0</v>
      </c>
      <c r="Y917" s="36">
        <f t="shared" si="120"/>
        <v>15000000</v>
      </c>
      <c r="Z917" s="36">
        <f t="shared" si="121"/>
        <v>0</v>
      </c>
      <c r="AA917" s="4"/>
      <c r="AB917" s="79"/>
    </row>
    <row r="918" spans="1:28" ht="78" x14ac:dyDescent="0.3">
      <c r="A918" s="7" t="s">
        <v>18</v>
      </c>
      <c r="B918" s="6">
        <v>877</v>
      </c>
      <c r="C918" s="7" t="s">
        <v>3784</v>
      </c>
      <c r="D918" s="7" t="s">
        <v>3785</v>
      </c>
      <c r="E918" s="5"/>
      <c r="F918" s="7" t="s">
        <v>3786</v>
      </c>
      <c r="G918" s="5"/>
      <c r="H918" s="5"/>
      <c r="I918" s="21" t="s">
        <v>3787</v>
      </c>
      <c r="J918" s="7" t="s">
        <v>24</v>
      </c>
      <c r="K918" s="7" t="s">
        <v>2943</v>
      </c>
      <c r="L918" s="14">
        <v>668410816</v>
      </c>
      <c r="M918" s="5"/>
      <c r="N918" s="14">
        <v>15000000</v>
      </c>
      <c r="O918" s="7"/>
      <c r="P918" s="7"/>
      <c r="Q918" s="3">
        <f t="shared" si="118"/>
        <v>683410816</v>
      </c>
      <c r="R918" s="3">
        <v>668410816</v>
      </c>
      <c r="S918" s="7"/>
      <c r="T918" s="30">
        <v>15000000</v>
      </c>
      <c r="U918" s="7"/>
      <c r="V918" s="7"/>
      <c r="W918" s="36"/>
      <c r="X918" s="36">
        <f t="shared" si="119"/>
        <v>0</v>
      </c>
      <c r="Y918" s="36">
        <f t="shared" si="120"/>
        <v>0</v>
      </c>
      <c r="Z918" s="36">
        <f t="shared" si="121"/>
        <v>0</v>
      </c>
      <c r="AA918" s="4"/>
      <c r="AB918" s="79"/>
    </row>
    <row r="919" spans="1:28" ht="78" x14ac:dyDescent="0.4">
      <c r="A919" s="40" t="s">
        <v>18</v>
      </c>
      <c r="B919" s="6">
        <v>878</v>
      </c>
      <c r="C919" s="7" t="s">
        <v>3784</v>
      </c>
      <c r="D919" s="7" t="s">
        <v>3788</v>
      </c>
      <c r="E919" s="4"/>
      <c r="F919" s="7" t="s">
        <v>3789</v>
      </c>
      <c r="G919" s="4"/>
      <c r="H919" s="4"/>
      <c r="I919" s="47" t="s">
        <v>3790</v>
      </c>
      <c r="J919" s="40" t="s">
        <v>24</v>
      </c>
      <c r="K919" s="40" t="s">
        <v>2943</v>
      </c>
      <c r="L919" s="16">
        <v>930126309</v>
      </c>
      <c r="M919" s="4"/>
      <c r="N919" s="16">
        <v>7500000</v>
      </c>
      <c r="O919" s="40"/>
      <c r="P919" s="40"/>
      <c r="Q919" s="3">
        <f t="shared" si="118"/>
        <v>937626309</v>
      </c>
      <c r="R919" s="3">
        <v>930126309</v>
      </c>
      <c r="S919" s="7"/>
      <c r="T919" s="72"/>
      <c r="U919" s="40"/>
      <c r="V919" s="40"/>
      <c r="W919" s="36"/>
      <c r="X919" s="36">
        <f t="shared" si="119"/>
        <v>0</v>
      </c>
      <c r="Y919" s="36">
        <f t="shared" si="120"/>
        <v>7500000</v>
      </c>
      <c r="Z919" s="36">
        <f t="shared" si="121"/>
        <v>0</v>
      </c>
      <c r="AA919" s="4"/>
      <c r="AB919" s="79"/>
    </row>
    <row r="920" spans="1:28" ht="62.4" x14ac:dyDescent="0.4">
      <c r="A920" s="7" t="s">
        <v>18</v>
      </c>
      <c r="B920" s="6">
        <v>879</v>
      </c>
      <c r="C920" s="7" t="s">
        <v>3784</v>
      </c>
      <c r="D920" s="7" t="s">
        <v>3791</v>
      </c>
      <c r="E920" s="5"/>
      <c r="F920" s="7" t="s">
        <v>3792</v>
      </c>
      <c r="G920" s="5"/>
      <c r="H920" s="5"/>
      <c r="I920" s="47" t="s">
        <v>3793</v>
      </c>
      <c r="J920" s="7" t="s">
        <v>24</v>
      </c>
      <c r="K920" s="7" t="s">
        <v>2826</v>
      </c>
      <c r="L920" s="14">
        <v>250126298</v>
      </c>
      <c r="M920" s="5"/>
      <c r="N920" s="14">
        <v>15000000</v>
      </c>
      <c r="O920" s="7"/>
      <c r="P920" s="7"/>
      <c r="Q920" s="3">
        <f t="shared" si="118"/>
        <v>265126298</v>
      </c>
      <c r="R920" s="3">
        <v>250126298</v>
      </c>
      <c r="S920" s="7"/>
      <c r="T920" s="72"/>
      <c r="U920" s="7"/>
      <c r="V920" s="7"/>
      <c r="W920" s="36"/>
      <c r="X920" s="36">
        <f t="shared" si="119"/>
        <v>0</v>
      </c>
      <c r="Y920" s="36">
        <f t="shared" si="120"/>
        <v>15000000</v>
      </c>
      <c r="Z920" s="36">
        <f t="shared" si="121"/>
        <v>0</v>
      </c>
      <c r="AA920" s="4"/>
      <c r="AB920" s="79"/>
    </row>
    <row r="921" spans="1:28" ht="93.6" x14ac:dyDescent="0.3">
      <c r="A921" s="7" t="s">
        <v>2290</v>
      </c>
      <c r="B921" s="6">
        <v>880</v>
      </c>
      <c r="C921" s="7" t="s">
        <v>2864</v>
      </c>
      <c r="D921" s="7" t="s">
        <v>3641</v>
      </c>
      <c r="E921" s="5"/>
      <c r="F921" s="7" t="s">
        <v>3794</v>
      </c>
      <c r="G921" s="5"/>
      <c r="H921" s="7" t="s">
        <v>40</v>
      </c>
      <c r="I921" s="21" t="s">
        <v>3795</v>
      </c>
      <c r="J921" s="7" t="s">
        <v>24</v>
      </c>
      <c r="K921" s="7" t="s">
        <v>3396</v>
      </c>
      <c r="L921" s="14">
        <v>493278040</v>
      </c>
      <c r="M921" s="14"/>
      <c r="N921" s="5"/>
      <c r="O921" s="40"/>
      <c r="P921" s="40"/>
      <c r="Q921" s="3">
        <f t="shared" si="118"/>
        <v>493278040</v>
      </c>
      <c r="R921" s="7"/>
      <c r="S921" s="7"/>
      <c r="T921" s="72"/>
      <c r="U921" s="7"/>
      <c r="V921" s="7"/>
      <c r="W921" s="36">
        <v>493278040</v>
      </c>
      <c r="X921" s="36">
        <f t="shared" si="119"/>
        <v>0</v>
      </c>
      <c r="Y921" s="36">
        <f t="shared" si="120"/>
        <v>0</v>
      </c>
      <c r="Z921" s="36">
        <f t="shared" si="121"/>
        <v>0</v>
      </c>
      <c r="AA921" s="4"/>
      <c r="AB921" s="79"/>
    </row>
    <row r="922" spans="1:28" ht="93.6" x14ac:dyDescent="0.3">
      <c r="A922" s="7" t="s">
        <v>18</v>
      </c>
      <c r="B922" s="6">
        <v>881</v>
      </c>
      <c r="C922" s="7" t="s">
        <v>3796</v>
      </c>
      <c r="D922" s="5"/>
      <c r="E922" s="5"/>
      <c r="F922" s="7" t="s">
        <v>3797</v>
      </c>
      <c r="G922" s="5"/>
      <c r="H922" s="5"/>
      <c r="I922" s="21" t="s">
        <v>3798</v>
      </c>
      <c r="J922" s="7" t="s">
        <v>24</v>
      </c>
      <c r="K922" s="7" t="s">
        <v>3396</v>
      </c>
      <c r="L922" s="14">
        <v>564348340</v>
      </c>
      <c r="M922" s="5"/>
      <c r="N922" s="14">
        <v>15000000</v>
      </c>
      <c r="O922" s="40"/>
      <c r="P922" s="40"/>
      <c r="Q922" s="3">
        <f t="shared" si="118"/>
        <v>579348340</v>
      </c>
      <c r="R922" s="3">
        <v>564348340</v>
      </c>
      <c r="S922" s="7"/>
      <c r="T922" s="72"/>
      <c r="U922" s="7"/>
      <c r="V922" s="7"/>
      <c r="W922" s="36"/>
      <c r="X922" s="36">
        <f t="shared" si="119"/>
        <v>0</v>
      </c>
      <c r="Y922" s="36">
        <f t="shared" si="120"/>
        <v>15000000</v>
      </c>
      <c r="Z922" s="36">
        <f t="shared" si="121"/>
        <v>0</v>
      </c>
      <c r="AA922" s="4"/>
      <c r="AB922" s="79"/>
    </row>
    <row r="923" spans="1:28" ht="93.6" x14ac:dyDescent="0.3">
      <c r="A923" s="7" t="s">
        <v>46</v>
      </c>
      <c r="B923" s="6">
        <v>882</v>
      </c>
      <c r="C923" s="7" t="s">
        <v>3796</v>
      </c>
      <c r="D923" s="5"/>
      <c r="E923" s="5"/>
      <c r="F923" s="7" t="s">
        <v>3799</v>
      </c>
      <c r="G923" s="5"/>
      <c r="H923" s="5"/>
      <c r="I923" s="21" t="s">
        <v>3800</v>
      </c>
      <c r="J923" s="7" t="s">
        <v>24</v>
      </c>
      <c r="K923" s="7" t="s">
        <v>3396</v>
      </c>
      <c r="L923" s="14">
        <v>589933648</v>
      </c>
      <c r="M923" s="5"/>
      <c r="N923" s="14">
        <v>15000000</v>
      </c>
      <c r="O923" s="40"/>
      <c r="P923" s="40"/>
      <c r="Q923" s="3">
        <f t="shared" si="118"/>
        <v>604933648</v>
      </c>
      <c r="R923" s="3">
        <v>589933648</v>
      </c>
      <c r="S923" s="7"/>
      <c r="T923" s="72"/>
      <c r="U923" s="7"/>
      <c r="V923" s="7"/>
      <c r="W923" s="36"/>
      <c r="X923" s="36">
        <f t="shared" si="119"/>
        <v>0</v>
      </c>
      <c r="Y923" s="36">
        <f t="shared" si="120"/>
        <v>15000000</v>
      </c>
      <c r="Z923" s="36">
        <f t="shared" si="121"/>
        <v>0</v>
      </c>
      <c r="AA923" s="4"/>
      <c r="AB923" s="79"/>
    </row>
    <row r="924" spans="1:28" ht="93.6" x14ac:dyDescent="0.3">
      <c r="A924" s="7" t="s">
        <v>46</v>
      </c>
      <c r="B924" s="6">
        <v>883</v>
      </c>
      <c r="C924" s="7" t="s">
        <v>3796</v>
      </c>
      <c r="D924" s="5"/>
      <c r="E924" s="5"/>
      <c r="F924" s="7" t="s">
        <v>3801</v>
      </c>
      <c r="G924" s="5"/>
      <c r="H924" s="5"/>
      <c r="I924" s="21" t="s">
        <v>3802</v>
      </c>
      <c r="J924" s="7" t="s">
        <v>24</v>
      </c>
      <c r="K924" s="7" t="s">
        <v>3396</v>
      </c>
      <c r="L924" s="14">
        <v>396622432</v>
      </c>
      <c r="M924" s="5"/>
      <c r="N924" s="14">
        <v>15000000</v>
      </c>
      <c r="O924" s="40"/>
      <c r="P924" s="40"/>
      <c r="Q924" s="3">
        <f t="shared" si="118"/>
        <v>411622432</v>
      </c>
      <c r="R924" s="3">
        <v>396622432</v>
      </c>
      <c r="S924" s="7"/>
      <c r="T924" s="30">
        <v>15000000</v>
      </c>
      <c r="U924" s="7"/>
      <c r="V924" s="7"/>
      <c r="W924" s="36"/>
      <c r="X924" s="36">
        <f t="shared" si="119"/>
        <v>0</v>
      </c>
      <c r="Y924" s="36">
        <f t="shared" si="120"/>
        <v>0</v>
      </c>
      <c r="Z924" s="36">
        <f t="shared" si="121"/>
        <v>0</v>
      </c>
      <c r="AA924" s="4"/>
      <c r="AB924" s="79"/>
    </row>
    <row r="925" spans="1:28" ht="63" x14ac:dyDescent="0.3">
      <c r="A925" s="7" t="s">
        <v>46</v>
      </c>
      <c r="B925" s="6">
        <v>884</v>
      </c>
      <c r="C925" s="7" t="s">
        <v>3803</v>
      </c>
      <c r="D925" s="5"/>
      <c r="E925" s="5"/>
      <c r="F925" s="7" t="s">
        <v>3804</v>
      </c>
      <c r="G925" s="5"/>
      <c r="H925" s="5"/>
      <c r="I925" s="21" t="s">
        <v>3805</v>
      </c>
      <c r="J925" s="7" t="s">
        <v>24</v>
      </c>
      <c r="K925" s="7" t="s">
        <v>3806</v>
      </c>
      <c r="L925" s="14">
        <v>149778000</v>
      </c>
      <c r="M925" s="5"/>
      <c r="N925" s="5"/>
      <c r="O925" s="40"/>
      <c r="P925" s="40"/>
      <c r="Q925" s="3">
        <f t="shared" si="118"/>
        <v>149778000</v>
      </c>
      <c r="R925" s="7"/>
      <c r="S925" s="7"/>
      <c r="T925" s="72"/>
      <c r="U925" s="7"/>
      <c r="V925" s="7"/>
      <c r="W925" s="36">
        <v>149778000</v>
      </c>
      <c r="X925" s="36">
        <f t="shared" si="119"/>
        <v>0</v>
      </c>
      <c r="Y925" s="36">
        <f t="shared" si="120"/>
        <v>0</v>
      </c>
      <c r="Z925" s="36">
        <f t="shared" si="121"/>
        <v>0</v>
      </c>
      <c r="AA925" s="4"/>
      <c r="AB925" s="79"/>
    </row>
    <row r="926" spans="1:28" ht="63" x14ac:dyDescent="0.3">
      <c r="A926" s="7" t="s">
        <v>46</v>
      </c>
      <c r="B926" s="6">
        <v>885</v>
      </c>
      <c r="C926" s="7" t="s">
        <v>3803</v>
      </c>
      <c r="D926" s="5"/>
      <c r="E926" s="5"/>
      <c r="F926" s="7" t="s">
        <v>594</v>
      </c>
      <c r="G926" s="5"/>
      <c r="H926" s="5"/>
      <c r="I926" s="21" t="s">
        <v>3805</v>
      </c>
      <c r="J926" s="7" t="s">
        <v>24</v>
      </c>
      <c r="K926" s="7" t="s">
        <v>3807</v>
      </c>
      <c r="L926" s="14">
        <v>95035000</v>
      </c>
      <c r="M926" s="5"/>
      <c r="N926" s="5"/>
      <c r="O926" s="40"/>
      <c r="P926" s="40"/>
      <c r="Q926" s="3">
        <f t="shared" si="118"/>
        <v>95035000</v>
      </c>
      <c r="R926" s="7"/>
      <c r="S926" s="7"/>
      <c r="T926" s="72"/>
      <c r="U926" s="7"/>
      <c r="V926" s="7"/>
      <c r="W926" s="36">
        <v>95035000</v>
      </c>
      <c r="X926" s="36">
        <f t="shared" si="119"/>
        <v>0</v>
      </c>
      <c r="Y926" s="36">
        <f t="shared" si="120"/>
        <v>0</v>
      </c>
      <c r="Z926" s="36">
        <f t="shared" si="121"/>
        <v>0</v>
      </c>
      <c r="AA926" s="4"/>
      <c r="AB926" s="79"/>
    </row>
  </sheetData>
  <autoFilter ref="A13:AS926" xr:uid="{D3F67B45-2CDF-43A5-A8CA-E88B6367DD9C}"/>
  <mergeCells count="161">
    <mergeCell ref="B776:B778"/>
    <mergeCell ref="C776:C778"/>
    <mergeCell ref="I638:I639"/>
    <mergeCell ref="J638:J639"/>
    <mergeCell ref="K638:K639"/>
    <mergeCell ref="B781:B782"/>
    <mergeCell ref="C781:C782"/>
    <mergeCell ref="F781:F782"/>
    <mergeCell ref="I781:I782"/>
    <mergeCell ref="J781:J782"/>
    <mergeCell ref="K781:K782"/>
    <mergeCell ref="F776:F778"/>
    <mergeCell ref="I776:I778"/>
    <mergeCell ref="J776:J778"/>
    <mergeCell ref="K776:K778"/>
    <mergeCell ref="B727:B728"/>
    <mergeCell ref="C727:C728"/>
    <mergeCell ref="F727:F728"/>
    <mergeCell ref="I727:I728"/>
    <mergeCell ref="J727:J728"/>
    <mergeCell ref="K727:K728"/>
    <mergeCell ref="B738:B739"/>
    <mergeCell ref="C738:C739"/>
    <mergeCell ref="F738:F739"/>
    <mergeCell ref="B789:B790"/>
    <mergeCell ref="C789:C790"/>
    <mergeCell ref="F789:F790"/>
    <mergeCell ref="B847:B848"/>
    <mergeCell ref="C847:C848"/>
    <mergeCell ref="F847:F848"/>
    <mergeCell ref="B815:B816"/>
    <mergeCell ref="C815:C816"/>
    <mergeCell ref="B796:B797"/>
    <mergeCell ref="C796:C797"/>
    <mergeCell ref="B791:B792"/>
    <mergeCell ref="C791:C792"/>
    <mergeCell ref="I789:I790"/>
    <mergeCell ref="J789:J790"/>
    <mergeCell ref="K789:K790"/>
    <mergeCell ref="I847:I848"/>
    <mergeCell ref="J847:J848"/>
    <mergeCell ref="J834:J835"/>
    <mergeCell ref="K834:K835"/>
    <mergeCell ref="F815:F816"/>
    <mergeCell ref="I815:I816"/>
    <mergeCell ref="J815:J816"/>
    <mergeCell ref="K815:K816"/>
    <mergeCell ref="F796:F797"/>
    <mergeCell ref="I796:I797"/>
    <mergeCell ref="J796:J797"/>
    <mergeCell ref="K796:K797"/>
    <mergeCell ref="F791:F792"/>
    <mergeCell ref="I791:I792"/>
    <mergeCell ref="J791:J792"/>
    <mergeCell ref="K791:K792"/>
    <mergeCell ref="K847:K848"/>
    <mergeCell ref="B898:B899"/>
    <mergeCell ref="C898:C899"/>
    <mergeCell ref="F898:F899"/>
    <mergeCell ref="I898:I899"/>
    <mergeCell ref="J898:J899"/>
    <mergeCell ref="K898:K899"/>
    <mergeCell ref="B894:B895"/>
    <mergeCell ref="C894:C895"/>
    <mergeCell ref="B834:B835"/>
    <mergeCell ref="C834:C835"/>
    <mergeCell ref="F834:F835"/>
    <mergeCell ref="I834:I835"/>
    <mergeCell ref="F894:F895"/>
    <mergeCell ref="I894:I895"/>
    <mergeCell ref="J894:J895"/>
    <mergeCell ref="K894:K895"/>
    <mergeCell ref="B53:B54"/>
    <mergeCell ref="C53:C54"/>
    <mergeCell ref="F53:F54"/>
    <mergeCell ref="B296:B297"/>
    <mergeCell ref="C296:C297"/>
    <mergeCell ref="F296:F297"/>
    <mergeCell ref="B403:B404"/>
    <mergeCell ref="I296:I297"/>
    <mergeCell ref="J296:J297"/>
    <mergeCell ref="B301:B302"/>
    <mergeCell ref="C301:C302"/>
    <mergeCell ref="F301:F302"/>
    <mergeCell ref="I301:I302"/>
    <mergeCell ref="J301:J302"/>
    <mergeCell ref="C403:C404"/>
    <mergeCell ref="F403:F404"/>
    <mergeCell ref="I403:I404"/>
    <mergeCell ref="J403:J404"/>
    <mergeCell ref="B264:B265"/>
    <mergeCell ref="C264:C265"/>
    <mergeCell ref="F264:F265"/>
    <mergeCell ref="I264:I265"/>
    <mergeCell ref="J264:J265"/>
    <mergeCell ref="B254:B255"/>
    <mergeCell ref="C254:C255"/>
    <mergeCell ref="F254:F255"/>
    <mergeCell ref="I254:I255"/>
    <mergeCell ref="J254:J255"/>
    <mergeCell ref="K254:K255"/>
    <mergeCell ref="B684:B685"/>
    <mergeCell ref="C684:C685"/>
    <mergeCell ref="E684:E685"/>
    <mergeCell ref="K296:K297"/>
    <mergeCell ref="K301:K302"/>
    <mergeCell ref="B564:B565"/>
    <mergeCell ref="C564:C565"/>
    <mergeCell ref="F564:F565"/>
    <mergeCell ref="I564:I565"/>
    <mergeCell ref="J564:J565"/>
    <mergeCell ref="K564:K565"/>
    <mergeCell ref="K403:K404"/>
    <mergeCell ref="K264:K265"/>
    <mergeCell ref="B638:B639"/>
    <mergeCell ref="C638:C639"/>
    <mergeCell ref="F638:F639"/>
    <mergeCell ref="R10:V10"/>
    <mergeCell ref="W10:Z10"/>
    <mergeCell ref="AA10:AA11"/>
    <mergeCell ref="AB10:AB11"/>
    <mergeCell ref="F684:F685"/>
    <mergeCell ref="G684:G685"/>
    <mergeCell ref="H684:H685"/>
    <mergeCell ref="I684:I685"/>
    <mergeCell ref="K684:K685"/>
    <mergeCell ref="I53:I54"/>
    <mergeCell ref="G10:G11"/>
    <mergeCell ref="H10:H11"/>
    <mergeCell ref="I10:I11"/>
    <mergeCell ref="J10:J11"/>
    <mergeCell ref="K10:K11"/>
    <mergeCell ref="J53:J54"/>
    <mergeCell ref="K53:K54"/>
    <mergeCell ref="A10:A11"/>
    <mergeCell ref="B10:B11"/>
    <mergeCell ref="C10:C11"/>
    <mergeCell ref="E10:E11"/>
    <mergeCell ref="O10:O11"/>
    <mergeCell ref="F10:F11"/>
    <mergeCell ref="B4:E4"/>
    <mergeCell ref="B5:E5"/>
    <mergeCell ref="H5:H8"/>
    <mergeCell ref="B6:E6"/>
    <mergeCell ref="B7:E7"/>
    <mergeCell ref="B8:E8"/>
    <mergeCell ref="K738:K739"/>
    <mergeCell ref="B753:B754"/>
    <mergeCell ref="C753:C754"/>
    <mergeCell ref="F753:F754"/>
    <mergeCell ref="I753:I754"/>
    <mergeCell ref="J753:J754"/>
    <mergeCell ref="K753:K754"/>
    <mergeCell ref="B286:B287"/>
    <mergeCell ref="C286:C287"/>
    <mergeCell ref="F286:F287"/>
    <mergeCell ref="I286:I287"/>
    <mergeCell ref="J286:J287"/>
    <mergeCell ref="K286:K287"/>
    <mergeCell ref="I738:I739"/>
    <mergeCell ref="J738:J739"/>
  </mergeCells>
  <pageMargins left="0.24" right="0.17" top="0.3" bottom="0.2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Tổng hơp RXT - Bình Thạnh</vt:lpstr>
      <vt:lpstr>Tổng hơp RXT - Bình Thạnh (2)</vt:lpstr>
      <vt:lpstr>Tạm cư </vt:lpstr>
      <vt:lpstr>'Tạm cư '!Print_Titles</vt:lpstr>
      <vt:lpstr>'Tổng hơp RXT - Bình Thạnh'!Print_Titles</vt:lpstr>
      <vt:lpstr>'Tổng hơp RXT - Bình Thạnh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2026-10-08T04:21:15Z</cp:lastPrinted>
  <dcterms:created xsi:type="dcterms:W3CDTF">2026-09-23T03:19:19Z</dcterms:created>
  <dcterms:modified xsi:type="dcterms:W3CDTF">2026-10-08T04:21:57Z</dcterms:modified>
</cp:coreProperties>
</file>